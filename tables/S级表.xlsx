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 tabRatio="869" firstSheet="12" activeTab="16"/>
  </bookViews>
  <sheets>
    <sheet name="代码表" sheetId="85" r:id="rId1"/>
    <sheet name="学校基本信息" sheetId="28" r:id="rId2"/>
    <sheet name="学校发展历史" sheetId="29" r:id="rId3"/>
    <sheet name="学校荣誉" sheetId="30" r:id="rId4"/>
    <sheet name="机构信息" sheetId="31" r:id="rId5"/>
    <sheet name="教研室或教学部信息" sheetId="73" r:id="rId6"/>
    <sheet name="教研室或教学部的成员" sheetId="74" r:id="rId7"/>
    <sheet name="行政班级信息" sheetId="32" r:id="rId8"/>
    <sheet name="教学场地（校区、教学楼、楼层、教室）信息" sheetId="33" r:id="rId9"/>
    <sheet name="学年学期" sheetId="34" r:id="rId10"/>
    <sheet name="节假日信息" sheetId="84" r:id="rId11"/>
    <sheet name="教职工基本信息" sheetId="2" r:id="rId12"/>
    <sheet name="教职工照片信息" sheetId="83" r:id="rId13"/>
    <sheet name="家庭成员信息" sheetId="87" r:id="rId14"/>
    <sheet name="合同信息" sheetId="89" r:id="rId15"/>
    <sheet name="每年的教职工基本信息" sheetId="54" r:id="rId16"/>
    <sheet name="每学期的教职工基本信息" sheetId="55" r:id="rId17"/>
    <sheet name="每个专业历年的任职教职工" sheetId="78" r:id="rId18"/>
    <sheet name="每个专业各学年的任职教职工" sheetId="79" r:id="rId19"/>
    <sheet name="教职工的聘用状态变动记录" sheetId="56" r:id="rId20"/>
    <sheet name="教职工延聘返聘记录" sheetId="37" r:id="rId21"/>
    <sheet name="教职工校内任职记录" sheetId="40" r:id="rId22"/>
    <sheet name="教职工教育经历信息" sheetId="41" r:id="rId23"/>
    <sheet name="教职工职称评定信息" sheetId="42" r:id="rId24"/>
    <sheet name="辅导员或班主任的任职信息" sheetId="43" r:id="rId25"/>
    <sheet name="辅导员或班主任所带班级" sheetId="44" r:id="rId26"/>
    <sheet name="荣誉成果信息" sheetId="45" r:id="rId27"/>
    <sheet name="荣誉成果中的成员" sheetId="80" r:id="rId28"/>
    <sheet name="荣誉成果中的参与部门" sheetId="46" r:id="rId29"/>
    <sheet name="教学成果信息" sheetId="47" r:id="rId30"/>
    <sheet name="教学成果中的成员" sheetId="81" r:id="rId31"/>
    <sheet name="教学成果中的参与部门" sheetId="48" r:id="rId32"/>
    <sheet name="教职工社会荣誉信息" sheetId="49" r:id="rId33"/>
    <sheet name="专业基本信息" sheetId="9" r:id="rId34"/>
    <sheet name="每学年的专业基本信息" sheetId="61" r:id="rId35"/>
    <sheet name="每年的专业基本信息" sheetId="60" r:id="rId36"/>
    <sheet name="专业带头人信息" sheetId="50" r:id="rId37"/>
    <sheet name="学校专业对应的国标专业" sheetId="10" r:id="rId38"/>
    <sheet name="国标专业目录" sheetId="15" r:id="rId39"/>
    <sheet name="专业备案信息" sheetId="11" r:id="rId40"/>
    <sheet name="专业的课程信息" sheetId="16" r:id="rId41"/>
    <sheet name="专业群信息" sheetId="3" r:id="rId42"/>
    <sheet name="专业群包含的专业" sheetId="4" r:id="rId43"/>
    <sheet name="课程基本信息" sheetId="14" r:id="rId44"/>
    <sheet name="教学周" sheetId="25" r:id="rId45"/>
    <sheet name="教学周包含的每天的时间" sheetId="65" r:id="rId46"/>
    <sheet name="上课时间信息" sheetId="24" r:id="rId47"/>
    <sheet name="教学班信息" sheetId="20" r:id="rId48"/>
    <sheet name="教学班的上课学生" sheetId="18" r:id="rId49"/>
    <sheet name="教学班的授课教师" sheetId="22" r:id="rId50"/>
    <sheet name="课程表" sheetId="17" r:id="rId51"/>
    <sheet name="课程表的授课教师" sheetId="19" r:id="rId52"/>
    <sheet name="每天的每节课信息" sheetId="53" r:id="rId53"/>
    <sheet name="每天的每节课的授课教师" sheetId="71" r:id="rId54"/>
    <sheet name="教学班所属的专业" sheetId="21" r:id="rId55"/>
    <sheet name="教学班所属的行政班" sheetId="72" r:id="rId56"/>
    <sheet name="学生基本信息" sheetId="12" r:id="rId57"/>
    <sheet name="每年的学生基本信息" sheetId="57" r:id="rId58"/>
    <sheet name="每学期的学生基本信息" sheetId="58" r:id="rId59"/>
    <sheet name="学生照片信息" sheetId="82" r:id="rId60"/>
    <sheet name="学生学籍异动信息" sheetId="13" r:id="rId61"/>
    <sheet name="评教结果信息" sheetId="26" r:id="rId62"/>
    <sheet name="学生评教（随堂评价、期中评价、期末评价）明细" sheetId="27" r:id="rId63"/>
    <sheet name="同行评价、督导评价、检查评价明细" sheetId="52" r:id="rId64"/>
    <sheet name="学生综合测评的总成绩" sheetId="59" r:id="rId65"/>
    <sheet name="学生综合测评的各类型的得分" sheetId="66" r:id="rId66"/>
    <sheet name="学生综合测评的加减分明细" sheetId="67" r:id="rId67"/>
    <sheet name="学生综合测评的测评类型" sheetId="68" r:id="rId68"/>
    <sheet name="学生综合测评的评分规则" sheetId="69" r:id="rId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<sst xmlns="http://schemas.openxmlformats.org/spreadsheetml/2006/main" count="8537" uniqueCount="1948">
  <si>
    <t>首页</t>
  </si>
  <si>
    <t>代码表</t>
  </si>
  <si>
    <t>数据表基本信息</t>
  </si>
  <si>
    <t>表名</t>
  </si>
  <si>
    <t>HQ_CODE</t>
  </si>
  <si>
    <t>描述</t>
  </si>
  <si>
    <t>注意事项</t>
  </si>
  <si>
    <t>这些信息学校都会有</t>
  </si>
  <si>
    <t>数据责任部门</t>
  </si>
  <si>
    <t>党办（通常来源党办部门、人才培养状态数据库、高基报表）</t>
  </si>
  <si>
    <t>标准工期（天）</t>
  </si>
  <si>
    <t>1天。备注：获得集成方案要求的数据后的处理时间，直到数据质量达标（需要数据治理的数据采集和质量检测模块）</t>
  </si>
  <si>
    <t>字段信息</t>
  </si>
  <si>
    <t>必填</t>
  </si>
  <si>
    <t>是否需要</t>
  </si>
  <si>
    <t>字段中文名</t>
  </si>
  <si>
    <t>字段中文名（优化）</t>
  </si>
  <si>
    <t>字段</t>
  </si>
  <si>
    <t>数据采集要求</t>
  </si>
  <si>
    <t>字段类型</t>
  </si>
  <si>
    <t>编码表</t>
  </si>
  <si>
    <t>*</t>
  </si>
  <si>
    <t>ID</t>
  </si>
  <si>
    <t>主键，无特殊含义，唯一标识，不可重复；</t>
  </si>
  <si>
    <t>VARCHAR2(60)</t>
  </si>
  <si>
    <t>代码</t>
  </si>
  <si>
    <t>CODE_</t>
  </si>
  <si>
    <t>VARCHAR2(20)</t>
  </si>
  <si>
    <t>名称</t>
  </si>
  <si>
    <t>NAME_</t>
  </si>
  <si>
    <t>VARCHAR2(512)</t>
  </si>
  <si>
    <t>分组类型</t>
  </si>
  <si>
    <t>GROUP_TYPE</t>
  </si>
  <si>
    <t>分组名</t>
  </si>
  <si>
    <t>GROUP_NAME</t>
  </si>
  <si>
    <t>国标/部标/行标/校标</t>
  </si>
  <si>
    <t>CODE_CATEGORY_TYPE</t>
  </si>
  <si>
    <t>序号</t>
  </si>
  <si>
    <t>ORDER_</t>
  </si>
  <si>
    <t>NUMBER(6)</t>
  </si>
  <si>
    <t>是否可用</t>
  </si>
  <si>
    <t>ISTRUE</t>
  </si>
  <si>
    <t>NUMBER(1)</t>
  </si>
  <si>
    <t>创建人ID</t>
  </si>
  <si>
    <t>ID_USER_CREATE</t>
  </si>
  <si>
    <t>创建时间</t>
  </si>
  <si>
    <t>CREATE_TIME</t>
  </si>
  <si>
    <t>VARCHAR2(30)</t>
  </si>
  <si>
    <t>修改人ID</t>
  </si>
  <si>
    <t>ID_USER_UPDATE</t>
  </si>
  <si>
    <t>修改时间</t>
  </si>
  <si>
    <t>UPDATE_TIME</t>
  </si>
  <si>
    <t>DES</t>
  </si>
  <si>
    <t>VARCHAR2(200)</t>
  </si>
  <si>
    <t>学校基本信息</t>
  </si>
  <si>
    <t>HQ_JC_XX</t>
  </si>
  <si>
    <t>关联表</t>
  </si>
  <si>
    <t>关联字段</t>
  </si>
  <si>
    <t>代码类型</t>
  </si>
  <si>
    <t>学校ID</t>
  </si>
  <si>
    <t>学校标识码</t>
  </si>
  <si>
    <t>DM</t>
  </si>
  <si>
    <t>教育部编制的在全国范围内唯一的、始终不变的10位学校标识码</t>
  </si>
  <si>
    <t>学校名称</t>
  </si>
  <si>
    <t>在教育行政部门备案的学校全称</t>
  </si>
  <si>
    <t>学校简称</t>
  </si>
  <si>
    <t>SHORT_NAME</t>
  </si>
  <si>
    <t>自定义学校简称</t>
  </si>
  <si>
    <t>学校英文名</t>
  </si>
  <si>
    <t>YWM</t>
  </si>
  <si>
    <t>在教育行政部门备案的英文名称</t>
  </si>
  <si>
    <t>所在省/自治区/直辖市_ID</t>
  </si>
  <si>
    <t>学校所在省/自治区/直辖市</t>
  </si>
  <si>
    <t>ORIGIN_PID</t>
  </si>
  <si>
    <r>
      <rPr>
        <sz val="12"/>
        <color theme="1"/>
        <rFont val="微软雅黑"/>
        <charset val="134"/>
      </rPr>
      <t>行政区划代码</t>
    </r>
    <r>
      <rPr>
        <b/>
        <sz val="12"/>
        <color rgb="FFFF0000"/>
        <rFont val="微软雅黑"/>
        <charset val="134"/>
      </rPr>
      <t>（6位）</t>
    </r>
  </si>
  <si>
    <t>select * from HQ_CODE_XZQH where level_ = 2</t>
  </si>
  <si>
    <t xml:space="preserve">HQ_CODE_XZQH </t>
  </si>
  <si>
    <t>所在城市/区/地市_ID</t>
  </si>
  <si>
    <t>学校所在城市/区/地市</t>
  </si>
  <si>
    <t>ORIGIN_ID</t>
  </si>
  <si>
    <t>select * from HQ_CODE_XZQH where level_ = 3</t>
  </si>
  <si>
    <t>学校办学类型CODE</t>
  </si>
  <si>
    <t>学校的办学类型</t>
  </si>
  <si>
    <t>XX_BXLX_CODE</t>
  </si>
  <si>
    <t>01 普通高等学校（大学、学院、独立学院、高等专科学校、高等职业学校、分校、大专班）、02 成人高等学校（职工高校、农民高校、管理干部学院、教育学院、独立函授学院、广播电视大学、其他成人高教机构）、03 培养研究生的科研机构、04 民办的其他高等教育机构</t>
  </si>
  <si>
    <t>select * from HQ_CODE t where t.group_type = 'XX_BXLX_CODE'</t>
  </si>
  <si>
    <t xml:space="preserve">HQ_CODE </t>
  </si>
  <si>
    <t>学校性质类别CODE</t>
  </si>
  <si>
    <t>学校性质</t>
  </si>
  <si>
    <t>XX_XZLB_CODE</t>
  </si>
  <si>
    <t>01综合大学/02理工院校/03农业院校/04林业院校/05医药院校/06师范院校/07语文院校/ 08财经院校/09政法院校/10体育院校/11艺术院校/12民族院校</t>
  </si>
  <si>
    <t>select * from HQ_CODE t where t.group_type = 'XX_XZLB_CODE'</t>
  </si>
  <si>
    <t>学校举办者名称</t>
  </si>
  <si>
    <t>学校的举办者</t>
  </si>
  <si>
    <t>JBZ_NAME</t>
  </si>
  <si>
    <t>例：河南省郑州市二七区政府（参考高基报表或咨询党办机构）</t>
  </si>
  <si>
    <t>学校举办者性质CODE</t>
  </si>
  <si>
    <t>学校举办者的性质</t>
  </si>
  <si>
    <t>XX_JBZXX_CODE</t>
  </si>
  <si>
    <t>01 教育部门、02 其它部门、03 地方企业、04 民办</t>
  </si>
  <si>
    <t>select * from HQ_CODE t where t.group_type = 'XX_JBZXX_CODE'</t>
  </si>
  <si>
    <t>学校举办者级别CODE</t>
  </si>
  <si>
    <t>学校举办者的级别</t>
  </si>
  <si>
    <t>XX_JBZJB_CODE</t>
  </si>
  <si>
    <t>01 政府、02 行业、03 企业（集团）、04 公民个人、09其他</t>
  </si>
  <si>
    <t>select * from HQ_CODE t where t.group_type = 'XX_JBZJB_CODE'</t>
  </si>
  <si>
    <t>属地管理教育行政部门名称</t>
  </si>
  <si>
    <t>学校所在地教育行政部门名称</t>
  </si>
  <si>
    <t>JYXZBM</t>
  </si>
  <si>
    <t>例：河南省郑州市二七区教育局（参考高基报表或咨询党办机构）</t>
  </si>
  <si>
    <t>属地管理教育行政部门代码</t>
  </si>
  <si>
    <t>学校所在地行政区划代码</t>
  </si>
  <si>
    <t>JYXZBM_ORIGIN_ID</t>
  </si>
  <si>
    <r>
      <rPr>
        <sz val="12"/>
        <color theme="1"/>
        <rFont val="微软雅黑"/>
        <charset val="134"/>
      </rPr>
      <t>属地管理教育行政部门所在地的行政区划代码</t>
    </r>
    <r>
      <rPr>
        <b/>
        <sz val="12"/>
        <color rgb="FFFF0000"/>
        <rFont val="微软雅黑"/>
        <charset val="134"/>
      </rPr>
      <t>（6位）</t>
    </r>
  </si>
  <si>
    <t>当前校名启用年月</t>
  </si>
  <si>
    <t>XXMC_CURRENT_YEAR_MONTH</t>
  </si>
  <si>
    <t>格式：YYYY-MM</t>
  </si>
  <si>
    <t>VARCHAR2(7)</t>
  </si>
  <si>
    <t>建校年月</t>
  </si>
  <si>
    <t>CREATE_YEAR_MONTH</t>
  </si>
  <si>
    <t>建校基础</t>
  </si>
  <si>
    <t>学校历史前身（不同发展阶段的校名）</t>
  </si>
  <si>
    <t>JXJC</t>
  </si>
  <si>
    <t>高等职业院校的筹建基础，具体包括哪几所学校</t>
  </si>
  <si>
    <t>校训</t>
  </si>
  <si>
    <t>MOTTO</t>
  </si>
  <si>
    <t>学校地址</t>
  </si>
  <si>
    <t>ADDRESS</t>
  </si>
  <si>
    <t>学校登记注册的详细地址</t>
  </si>
  <si>
    <t>邮政编码</t>
  </si>
  <si>
    <t>学校所在地邮政编码</t>
  </si>
  <si>
    <t>POSTALCODE</t>
  </si>
  <si>
    <t>单位邮箱</t>
  </si>
  <si>
    <t>学校官方邮箱</t>
  </si>
  <si>
    <t>EMAIL</t>
  </si>
  <si>
    <t>区号-办公电话</t>
  </si>
  <si>
    <t>学校联系电话</t>
  </si>
  <si>
    <t>OFFICE_PHONE</t>
  </si>
  <si>
    <t>例：0396-1234567</t>
  </si>
  <si>
    <t>区号-传真电话</t>
  </si>
  <si>
    <t>学校传真号</t>
  </si>
  <si>
    <t>FAX_PHONE</t>
  </si>
  <si>
    <t>校园(局域)网域名</t>
  </si>
  <si>
    <t>学校网址</t>
  </si>
  <si>
    <t>DOMAIN</t>
  </si>
  <si>
    <t>学校所在地-经度</t>
  </si>
  <si>
    <t>学校所在地的经度</t>
  </si>
  <si>
    <t>ADDRESS_JD</t>
  </si>
  <si>
    <t>学校所在地-纬度</t>
  </si>
  <si>
    <t>学校所在地的纬度</t>
  </si>
  <si>
    <t>ADDRESS_WD</t>
  </si>
  <si>
    <t>学校简介</t>
  </si>
  <si>
    <t>XXJJ</t>
  </si>
  <si>
    <t>来源：学校网站或党办机构</t>
  </si>
  <si>
    <t>VARCHAR2(2000)</t>
  </si>
  <si>
    <t>法人姓名</t>
  </si>
  <si>
    <t>学校法人的姓名</t>
  </si>
  <si>
    <t>FR_NAME</t>
  </si>
  <si>
    <t>法人工号</t>
  </si>
  <si>
    <t>学校法人的工号</t>
  </si>
  <si>
    <t>FR_TEA_NO</t>
  </si>
  <si>
    <t>HQ_RS_TEA</t>
  </si>
  <si>
    <t>TEA_NO</t>
  </si>
  <si>
    <t>法人职务</t>
  </si>
  <si>
    <t>学校法人的职务</t>
  </si>
  <si>
    <t>FR_ZW</t>
  </si>
  <si>
    <t>法人邮箱</t>
  </si>
  <si>
    <t>学校法人的邮箱</t>
  </si>
  <si>
    <t>FR_EMAIL</t>
  </si>
  <si>
    <t>法人区号-电话</t>
  </si>
  <si>
    <t>学校法人的联系电话</t>
  </si>
  <si>
    <t>FR_OFFICE_PHONE</t>
  </si>
  <si>
    <t>法人区号-传真</t>
  </si>
  <si>
    <t>学校法人的传真号</t>
  </si>
  <si>
    <t>FR_FAX_PHONE</t>
  </si>
  <si>
    <t>学校发展历史</t>
  </si>
  <si>
    <t>HQ_JC_XX_LSYG</t>
  </si>
  <si>
    <t>学校历史沿革信息。用途：***，影响：相关系统功能</t>
  </si>
  <si>
    <t>党办（通常来源党办部门、学校网站）</t>
  </si>
  <si>
    <t>简介</t>
  </si>
  <si>
    <t>学校发展历史简介</t>
  </si>
  <si>
    <t>获得年月</t>
  </si>
  <si>
    <t>学校发展历程中的关键时间点</t>
  </si>
  <si>
    <t>YEAR_MONTH</t>
  </si>
  <si>
    <t>学校荣誉</t>
  </si>
  <si>
    <t>HQ_JC_XX_RY</t>
  </si>
  <si>
    <t>学校荣誉。用途：***，影响：相关系统功能</t>
  </si>
  <si>
    <t>学校荣誉级别CODE</t>
  </si>
  <si>
    <t>学校所获荣誉级别</t>
  </si>
  <si>
    <t>XXRY_GRADE_CODE</t>
  </si>
  <si>
    <t>1：国家级；2：省部级；3：市厅局级；9：其他</t>
  </si>
  <si>
    <t>select * from HQ_CODE t where t.group_type = 'XXRY_GRADE_CODE'</t>
  </si>
  <si>
    <t>荣誉简介</t>
  </si>
  <si>
    <t>TITLE</t>
  </si>
  <si>
    <t>荣誉详情</t>
  </si>
  <si>
    <t>DETAILS</t>
  </si>
  <si>
    <t>荣誉的获得年月</t>
  </si>
  <si>
    <t>荣誉类型</t>
  </si>
  <si>
    <t>XXRY_TYPE_CODE</t>
  </si>
  <si>
    <t>是否立项</t>
  </si>
  <si>
    <t>荣誉是否立项</t>
  </si>
  <si>
    <t>IS_PROJECT_APPROVAL</t>
  </si>
  <si>
    <t>是否牵头</t>
  </si>
  <si>
    <t>学校是否是该项荣誉的牵头单位</t>
  </si>
  <si>
    <t>IS_TASK_THE_HEAD</t>
  </si>
  <si>
    <t>是否参与</t>
  </si>
  <si>
    <t>学校是否是该项荣誉的参与单位</t>
  </si>
  <si>
    <t>IS_JOIN</t>
  </si>
  <si>
    <t>是否承办</t>
  </si>
  <si>
    <t>学校是否是该项荣誉的承办单位</t>
  </si>
  <si>
    <t>IS_ASSUME_HOLD</t>
  </si>
  <si>
    <t>机构信息</t>
  </si>
  <si>
    <t>HQ_CODE_DEPT</t>
  </si>
  <si>
    <t>组织机构信息。用途：学校最基础的行政/教学组织机构，影响：系统无法运行</t>
  </si>
  <si>
    <r>
      <rPr>
        <sz val="12"/>
        <color theme="1"/>
        <rFont val="微软雅黑"/>
        <charset val="134"/>
      </rPr>
      <t>包含</t>
    </r>
    <r>
      <rPr>
        <b/>
        <sz val="12"/>
        <color theme="1"/>
        <rFont val="微软雅黑"/>
        <charset val="134"/>
      </rPr>
      <t>“学校/部门/院系/教学单位（基础教学部、体育教学部等）/科室/专业”</t>
    </r>
  </si>
  <si>
    <t>党办（通常来源人事处、教务处）</t>
  </si>
  <si>
    <t>机构编号</t>
  </si>
  <si>
    <t>代码不能重复</t>
  </si>
  <si>
    <t>机构名称（包括：学校名，二级学院名称党政团体名，行政单位名，系名，科室名）</t>
  </si>
  <si>
    <t>VARCHAR2(100)</t>
  </si>
  <si>
    <t>简称</t>
  </si>
  <si>
    <t>机构简称</t>
  </si>
  <si>
    <t>NAME_SHORT</t>
  </si>
  <si>
    <t>分类</t>
  </si>
  <si>
    <t>否</t>
  </si>
  <si>
    <t>父节点</t>
  </si>
  <si>
    <t>所属机构</t>
  </si>
  <si>
    <t>PID</t>
  </si>
  <si>
    <t>全息码</t>
  </si>
  <si>
    <t>PATH_</t>
  </si>
  <si>
    <t>例：0001/00010001</t>
  </si>
  <si>
    <t>层次</t>
  </si>
  <si>
    <t>LEVEL_</t>
  </si>
  <si>
    <t>0/1/2/3（不可变更）</t>
  </si>
  <si>
    <t>NUMBER(2)</t>
  </si>
  <si>
    <t>层次类型</t>
  </si>
  <si>
    <t>LEVEL_TYPE</t>
  </si>
  <si>
    <t>XX/BM/KS/YX/ZY/JXDW（不可变更）</t>
  </si>
  <si>
    <t>可用</t>
  </si>
  <si>
    <t>1/0</t>
  </si>
  <si>
    <t>排序号</t>
  </si>
  <si>
    <t>机构排序号</t>
  </si>
  <si>
    <t>例：1/2/3……</t>
  </si>
  <si>
    <t>NUMBER(4)</t>
  </si>
  <si>
    <t>拼音</t>
  </si>
  <si>
    <t>PINYIN</t>
  </si>
  <si>
    <t>简称拼音</t>
  </si>
  <si>
    <t>PINYIN_SHORT</t>
  </si>
  <si>
    <t>行政负责人</t>
  </si>
  <si>
    <t>ADMIN_MANAGE_TEA_NO</t>
  </si>
  <si>
    <t>【2021-06-10：增加】废弃</t>
  </si>
  <si>
    <t>党务负责人</t>
  </si>
  <si>
    <t>PARTY_MANAGE_TEA_NO</t>
  </si>
  <si>
    <t>PARTY_FZR_NO</t>
  </si>
  <si>
    <t>【2021-08-20：增加】</t>
  </si>
  <si>
    <t>FZR_NO</t>
  </si>
  <si>
    <t>废弃时间</t>
  </si>
  <si>
    <t>LOSE_DATE</t>
  </si>
  <si>
    <t>创建人</t>
  </si>
  <si>
    <t>更新人</t>
  </si>
  <si>
    <t>更新时间</t>
  </si>
  <si>
    <t>教研室或教学部信息</t>
  </si>
  <si>
    <t>HQ_CODE_DEPT_JYS</t>
  </si>
  <si>
    <t>组织机构-教研室表</t>
  </si>
  <si>
    <t>教务处</t>
  </si>
  <si>
    <t>院系</t>
  </si>
  <si>
    <r>
      <rPr>
        <sz val="12"/>
        <color theme="1"/>
        <rFont val="微软雅黑"/>
        <charset val="134"/>
      </rPr>
      <t>教研室或教学部的</t>
    </r>
    <r>
      <rPr>
        <sz val="12"/>
        <color theme="5"/>
        <rFont val="微软雅黑"/>
        <charset val="134"/>
      </rPr>
      <t>所属部门</t>
    </r>
  </si>
  <si>
    <t>DEPT_ID</t>
  </si>
  <si>
    <t>教研室或教学部的编号</t>
  </si>
  <si>
    <t>教研室或教学部的名称</t>
  </si>
  <si>
    <t>排序</t>
  </si>
  <si>
    <t>教研室或教学部学校教研室排序</t>
  </si>
  <si>
    <t>教研室排序</t>
  </si>
  <si>
    <t>学校教研室是否可用</t>
  </si>
  <si>
    <t>修改人</t>
  </si>
  <si>
    <t>教研室或教学部的成员</t>
  </si>
  <si>
    <t>HQ_CODE_DEPT_JYS_CY</t>
  </si>
  <si>
    <t>组织机构-教研室-成员表</t>
  </si>
  <si>
    <t>教研室ID</t>
  </si>
  <si>
    <t>教研室或教学部</t>
  </si>
  <si>
    <t>JYS_ID</t>
  </si>
  <si>
    <t>职工号</t>
  </si>
  <si>
    <t>教研室或教学部成员的职工号</t>
  </si>
  <si>
    <t>职工名称</t>
  </si>
  <si>
    <t>教研室或教学部成员的职工姓名</t>
  </si>
  <si>
    <t>TEA_NAME</t>
  </si>
  <si>
    <t>成员类型</t>
  </si>
  <si>
    <t>教研室或教学部成员的职务</t>
  </si>
  <si>
    <t>MEMBER_TYPE</t>
  </si>
  <si>
    <t>1:主任；2：副主任；3：成员</t>
  </si>
  <si>
    <t>教研室或教学部成员的排序号</t>
  </si>
  <si>
    <t>人员排序</t>
  </si>
  <si>
    <t>行政班级信息</t>
  </si>
  <si>
    <t>HQ_CODE_CLASSES</t>
  </si>
  <si>
    <t>行政班级信息。用途：学校最基础的行政班级，影响：系统无法运行</t>
  </si>
  <si>
    <t>教务处/学生处（根据学校管理情况而定）</t>
  </si>
  <si>
    <t>VARCHAR2(125)</t>
  </si>
  <si>
    <t>班级编号</t>
  </si>
  <si>
    <t>NO_</t>
  </si>
  <si>
    <t>不能重复</t>
  </si>
  <si>
    <t>班级名称</t>
  </si>
  <si>
    <t>VARCHAR2(64)</t>
  </si>
  <si>
    <t>所属专业CODE</t>
  </si>
  <si>
    <t>班级所属专业</t>
  </si>
  <si>
    <t>MAJOR_CODE</t>
  </si>
  <si>
    <t>对应：组织机构ID，行政组织结构表ID（HQ_CODE_DEPT）</t>
  </si>
  <si>
    <t>select * from HQ_CODE_DEPT where level_type = 'ZY'</t>
  </si>
  <si>
    <t>HQ_CODE_MAJOR</t>
  </si>
  <si>
    <t>学制</t>
  </si>
  <si>
    <t>班级对应学制</t>
  </si>
  <si>
    <t>LENGTH_SCHOOLING</t>
  </si>
  <si>
    <t>例：1/2/3/4/5……</t>
  </si>
  <si>
    <t>培养层次CODE</t>
  </si>
  <si>
    <t>班级学生的最终培养层次</t>
  </si>
  <si>
    <t>PYCC_CODE</t>
  </si>
  <si>
    <r>
      <rPr>
        <sz val="12"/>
        <color theme="1"/>
        <rFont val="微软雅黑"/>
        <charset val="134"/>
      </rPr>
      <t>1：博士；2：硕士；3：本科；4：专科；9：其他</t>
    </r>
    <r>
      <rPr>
        <b/>
        <sz val="12"/>
        <color rgb="FFFF0000"/>
        <rFont val="微软雅黑"/>
        <charset val="134"/>
      </rPr>
      <t>（不可变更）</t>
    </r>
  </si>
  <si>
    <t>select * from HQ_CODE t where t.group_type = 'PYCC_CODE'</t>
  </si>
  <si>
    <t>入学年级</t>
  </si>
  <si>
    <t>班级学生的入学年级</t>
  </si>
  <si>
    <t>GRADE</t>
  </si>
  <si>
    <t>例：2018/2019</t>
  </si>
  <si>
    <t>预计毕业年</t>
  </si>
  <si>
    <t>班级学生预计的毕业年份</t>
  </si>
  <si>
    <t>GRADUATE_YEAR</t>
  </si>
  <si>
    <t>例：2021/2022</t>
  </si>
  <si>
    <t>预计毕业学年</t>
  </si>
  <si>
    <t>班级学生预计的毕业学年</t>
  </si>
  <si>
    <t>GRADUATE_SCHOOLYEAR</t>
  </si>
  <si>
    <t>例：2020-2021</t>
  </si>
  <si>
    <t>VARCHAR2(32)</t>
  </si>
  <si>
    <t>预计毕业日期</t>
  </si>
  <si>
    <t>班级学生预计的毕业日期</t>
  </si>
  <si>
    <t>GRADUATE_DATE</t>
  </si>
  <si>
    <t>例：2021-07-01</t>
  </si>
  <si>
    <t>班级拼音</t>
  </si>
  <si>
    <t>班级简称</t>
  </si>
  <si>
    <t>班级简称的拼音</t>
  </si>
  <si>
    <t>当前培养层次</t>
  </si>
  <si>
    <t>NOW_PYCC_CODE</t>
  </si>
  <si>
    <t>本科、专科……</t>
  </si>
  <si>
    <t>当前年级</t>
  </si>
  <si>
    <t>班级当前在读学生所在年级</t>
  </si>
  <si>
    <t>NOW_GRADE_NO</t>
  </si>
  <si>
    <t>排序字段</t>
  </si>
  <si>
    <t>班级排序号</t>
  </si>
  <si>
    <t xml:space="preserve"> NUMBER(6)</t>
  </si>
  <si>
    <t>CLASSROOM_ID</t>
  </si>
  <si>
    <t>VARCHAR2(600)</t>
  </si>
  <si>
    <t>教学场地（校区、教学楼、楼层、教室）信息</t>
  </si>
  <si>
    <t>HQ_JC_JS_ZZJG</t>
  </si>
  <si>
    <t>教室组织机构信息。用途：教学地点信息，影响：相关数据无法显示</t>
  </si>
  <si>
    <r>
      <rPr>
        <sz val="12"/>
        <color theme="1"/>
        <rFont val="微软雅黑"/>
        <charset val="134"/>
      </rPr>
      <t>包含</t>
    </r>
    <r>
      <rPr>
        <b/>
        <sz val="12"/>
        <color theme="1"/>
        <rFont val="微软雅黑"/>
        <charset val="134"/>
      </rPr>
      <t>“学校XX/校区XQ/教学楼JXL/楼层LC/教室JS”</t>
    </r>
  </si>
  <si>
    <t>教务处（通常来源教务排课部门）</t>
  </si>
  <si>
    <t>学校/校区/教学楼/楼层/教室的代码</t>
  </si>
  <si>
    <t>学校/校区/教学楼/楼层/教室的名称</t>
  </si>
  <si>
    <t>学校/校区/教学楼/楼层/教室的隶属</t>
  </si>
  <si>
    <t>0/1/2/3</t>
  </si>
  <si>
    <t>XX/XQ/JXL/LC/JS</t>
  </si>
  <si>
    <t>教室类型</t>
  </si>
  <si>
    <t>教室类型（按照用途分类）</t>
  </si>
  <si>
    <t>JSLX_CODE</t>
  </si>
  <si>
    <r>
      <rPr>
        <sz val="12"/>
        <color theme="1"/>
        <rFont val="微软雅黑"/>
        <charset val="134"/>
      </rPr>
      <t>1：多媒体教室；2：语音室；3：实验室；4：计算机房；5：普通教室；6：专用教室；9：其他</t>
    </r>
    <r>
      <rPr>
        <b/>
        <sz val="12"/>
        <color rgb="FFFF0000"/>
        <rFont val="微软雅黑"/>
        <charset val="134"/>
      </rPr>
      <t>（不可变更）</t>
    </r>
  </si>
  <si>
    <t>座位数</t>
  </si>
  <si>
    <t>教室的座位数</t>
  </si>
  <si>
    <t>ZW_COUNT</t>
  </si>
  <si>
    <t>教学楼</t>
  </si>
  <si>
    <t>教室所属教学楼</t>
  </si>
  <si>
    <r>
      <rPr>
        <sz val="12"/>
        <color theme="1"/>
        <rFont val="微软雅黑"/>
        <charset val="134"/>
      </rPr>
      <t>J</t>
    </r>
    <r>
      <rPr>
        <sz val="12"/>
        <color theme="1"/>
        <rFont val="微软雅黑"/>
        <charset val="134"/>
      </rPr>
      <t>XL_ID</t>
    </r>
  </si>
  <si>
    <t>校区</t>
  </si>
  <si>
    <t>教室所属校区</t>
  </si>
  <si>
    <r>
      <rPr>
        <sz val="12"/>
        <color theme="1"/>
        <rFont val="微软雅黑"/>
        <charset val="134"/>
      </rPr>
      <t>X</t>
    </r>
    <r>
      <rPr>
        <sz val="12"/>
        <color theme="1"/>
        <rFont val="微软雅黑"/>
        <charset val="134"/>
      </rPr>
      <t>Q_ID</t>
    </r>
  </si>
  <si>
    <t>创建年月</t>
  </si>
  <si>
    <t>教室的创建年月</t>
  </si>
  <si>
    <t>例：2020-10</t>
  </si>
  <si>
    <t>学年学期信息</t>
  </si>
  <si>
    <t>HQ_CODE_XNXQ</t>
  </si>
  <si>
    <t>每学期的开始、结束时间。用途：记录学期教学周时间和学期数据计算范围；影响：系统无法运行</t>
  </si>
  <si>
    <t>及时更新最新数据</t>
  </si>
  <si>
    <t>学年</t>
  </si>
  <si>
    <t>SCHOOL_YEAR</t>
  </si>
  <si>
    <t>例：2019-2020</t>
  </si>
  <si>
    <t>VARCHAR2(40)</t>
  </si>
  <si>
    <t>学期</t>
  </si>
  <si>
    <t>TERM_CODE</t>
  </si>
  <si>
    <t>01/02</t>
  </si>
  <si>
    <t>教学开始时间</t>
  </si>
  <si>
    <t>学期开始时间</t>
  </si>
  <si>
    <t>TEACH_BEGIN_DATE</t>
  </si>
  <si>
    <t>格式：YYYY-MM-DD</t>
  </si>
  <si>
    <t>教学结束时间</t>
  </si>
  <si>
    <t>学期结束时间</t>
  </si>
  <si>
    <t>TEACH_END_DATE</t>
  </si>
  <si>
    <t>教学周起始星期几</t>
  </si>
  <si>
    <t>教学周起始于星期几</t>
  </si>
  <si>
    <t>TEACH_WEEK_FIRST_NO</t>
  </si>
  <si>
    <t>1/7（星期一或星期天）</t>
  </si>
  <si>
    <t>学期统计开始时间</t>
  </si>
  <si>
    <t>用于统计的学期开始时间</t>
  </si>
  <si>
    <t>BEGIN_DATE</t>
  </si>
  <si>
    <r>
      <rPr>
        <sz val="12"/>
        <color theme="1"/>
        <rFont val="微软雅黑"/>
        <charset val="134"/>
      </rPr>
      <t>格式：YYYY-MM-DD</t>
    </r>
    <r>
      <rPr>
        <b/>
        <sz val="12"/>
        <color rgb="FFFF0000"/>
        <rFont val="微软雅黑"/>
        <charset val="134"/>
      </rPr>
      <t>（上下2个学期的统计开始时间与结束时间要无缝衔接）</t>
    </r>
  </si>
  <si>
    <t>学期统计结束时间</t>
  </si>
  <si>
    <t>用于统计的学期结束时间</t>
  </si>
  <si>
    <t>END_DATE</t>
  </si>
  <si>
    <t>节假日信息</t>
  </si>
  <si>
    <t>HQ_JC_HOLIDAY</t>
  </si>
  <si>
    <t>每学期内的各个节假日开始、结束时间（不含日常周六、周日）。用途：记录未上课的相关事件；影响：课表数据的逻辑验证</t>
  </si>
  <si>
    <t>院办（通常来源校历制定部门）</t>
  </si>
  <si>
    <t>节假日名称</t>
  </si>
  <si>
    <t>例：国庆节</t>
  </si>
  <si>
    <t>节假日所在学年</t>
  </si>
  <si>
    <t>格式：YYYY-YYYY</t>
  </si>
  <si>
    <t>VARCHAR2(10)</t>
  </si>
  <si>
    <t>节假日所在学期</t>
  </si>
  <si>
    <t>格式：01/02</t>
  </si>
  <si>
    <t>开始时间</t>
  </si>
  <si>
    <t>节假日开始时间</t>
  </si>
  <si>
    <t>结束时间</t>
  </si>
  <si>
    <t>节假日结束时间</t>
  </si>
  <si>
    <t>节假日类型</t>
  </si>
  <si>
    <t>节假日类型（按照性质分类）</t>
  </si>
  <si>
    <t>HOLIDAY_TYPE</t>
  </si>
  <si>
    <t>备注</t>
  </si>
  <si>
    <t>BZ</t>
  </si>
  <si>
    <t>教职工基本信息</t>
  </si>
  <si>
    <t>教职工个人当前最新的基本信息。用途：最基础、核心的数据，影响：系统无法运行</t>
  </si>
  <si>
    <r>
      <rPr>
        <sz val="12"/>
        <color theme="1"/>
        <rFont val="微软雅黑"/>
        <charset val="134"/>
      </rPr>
      <t>必须包含国标状态的所有教师数据，必须</t>
    </r>
    <r>
      <rPr>
        <b/>
        <sz val="12"/>
        <color rgb="FFFF0000"/>
        <rFont val="微软雅黑"/>
        <charset val="134"/>
      </rPr>
      <t>按国标状态存储教师状态信息</t>
    </r>
  </si>
  <si>
    <t>人事处（通常来源人事系统）</t>
  </si>
  <si>
    <t>组织机构ID</t>
  </si>
  <si>
    <t>教职工所属的科室或专业</t>
  </si>
  <si>
    <t>ZZJG_ID</t>
  </si>
  <si>
    <t>对应：行政组织结构表ID（HQ_CODE_DEPT），可能是科室、专业</t>
  </si>
  <si>
    <t>select * from HQ_CODE_DEPT t</t>
  </si>
  <si>
    <t>所属部门</t>
  </si>
  <si>
    <t>教职工所属的二级学院名称党政团体名，行政单位名，系名</t>
  </si>
  <si>
    <t>对应：部门/院系/教学单位，行政组织结构表ID（HQ_CODE_DEPT）（教师不能隶属专业）</t>
  </si>
  <si>
    <t>select * from HQ_CODE_DEPT t where level_type in ('BM','YX','JXDW')</t>
  </si>
  <si>
    <t>工号</t>
  </si>
  <si>
    <t>教职工的工号</t>
  </si>
  <si>
    <t>姓名</t>
  </si>
  <si>
    <t>教职工的姓名</t>
  </si>
  <si>
    <t>教职工状态</t>
  </si>
  <si>
    <t>教职工的状态</t>
  </si>
  <si>
    <t>TEA_STATUS_CODE</t>
  </si>
  <si>
    <r>
      <rPr>
        <sz val="12"/>
        <color theme="1"/>
        <rFont val="微软雅黑"/>
        <charset val="134"/>
      </rPr>
      <t>在职（11，含其他原因在岗人员）、延聘（12）、返聘（04）、退休（01）、离职（07）、其他（99，表示不在校）等等</t>
    </r>
    <r>
      <rPr>
        <b/>
        <sz val="12"/>
        <color rgb="FFFF0000"/>
        <rFont val="微软雅黑"/>
        <charset val="134"/>
      </rPr>
      <t>（部标、不可变更）</t>
    </r>
  </si>
  <si>
    <t>select * from HQ_CODE t where t.group_type = 'TEA_STATUS_CODE'</t>
  </si>
  <si>
    <t>教职工类别</t>
  </si>
  <si>
    <t>教职工的类别</t>
  </si>
  <si>
    <t>JZGLB_CODE</t>
  </si>
  <si>
    <r>
      <rPr>
        <sz val="12"/>
        <color theme="1"/>
        <rFont val="微软雅黑"/>
        <charset val="134"/>
      </rPr>
      <t>校本部教职工（10）、科研机构人员（20）、校办企业职工（30）、其他附设机构人员（40）、聘请校外教师（50）、其他教职工（校内）（98）、其他教职工（校外）（99）</t>
    </r>
    <r>
      <rPr>
        <b/>
        <sz val="12"/>
        <color rgb="FFFF0000"/>
        <rFont val="微软雅黑"/>
        <charset val="134"/>
      </rPr>
      <t>（部标未完、不可变更）</t>
    </r>
  </si>
  <si>
    <t>select * from HQ_CODE t where t.group_type = 'JZGLB_CODE'</t>
  </si>
  <si>
    <t>编制类别</t>
  </si>
  <si>
    <t>教职工的编制类别</t>
  </si>
  <si>
    <t>BZLB_CODE</t>
  </si>
  <si>
    <r>
      <rPr>
        <sz val="11"/>
        <color theme="1"/>
        <rFont val="微软雅黑"/>
        <charset val="134"/>
      </rPr>
      <t>教学类（10）、行政类（20）、教辅类（30）、工勤类（40）、</t>
    </r>
    <r>
      <rPr>
        <strike/>
        <sz val="11"/>
        <color theme="1"/>
        <rFont val="微软雅黑"/>
        <charset val="134"/>
      </rPr>
      <t>外聘教师类（80）</t>
    </r>
    <r>
      <rPr>
        <sz val="11"/>
        <color theme="1"/>
        <rFont val="微软雅黑"/>
        <charset val="134"/>
      </rPr>
      <t>、科研类（50）、校办企业类（60）、附设机构类（70）、其他类（99）</t>
    </r>
    <r>
      <rPr>
        <b/>
        <sz val="11"/>
        <color rgb="FFFF0000"/>
        <rFont val="微软雅黑"/>
        <charset val="134"/>
      </rPr>
      <t>（部标、不可变更）</t>
    </r>
  </si>
  <si>
    <t>select * from HQ_CODE t where t.group_type = 'BZLB_CODE'</t>
  </si>
  <si>
    <t>编制类型</t>
  </si>
  <si>
    <t>教职工的编制类型</t>
  </si>
  <si>
    <t>BZLX_CODE</t>
  </si>
  <si>
    <r>
      <rPr>
        <sz val="12"/>
        <color theme="1"/>
        <rFont val="微软雅黑"/>
        <charset val="134"/>
      </rPr>
      <t>在编（1）、人事代理（2）、劳务派遣（3）、其他（9）</t>
    </r>
    <r>
      <rPr>
        <b/>
        <sz val="12"/>
        <color rgb="FFFF0000"/>
        <rFont val="微软雅黑"/>
        <charset val="134"/>
      </rPr>
      <t>（行标、可新增、新增编码格式9**、三位数）</t>
    </r>
  </si>
  <si>
    <t>select * from HQ_CODE t where t.group_type = 'BZLX_CODE'</t>
  </si>
  <si>
    <t>曾用名</t>
  </si>
  <si>
    <t>教职工的曾用名</t>
  </si>
  <si>
    <t>FORMER_NAME</t>
  </si>
  <si>
    <t>性别</t>
  </si>
  <si>
    <t>教职工的性别</t>
  </si>
  <si>
    <t>SEX_CODE</t>
  </si>
  <si>
    <t>select * from HQ_CODE t where t.group_type = 'SEX_CODE'</t>
  </si>
  <si>
    <t>职务层次</t>
  </si>
  <si>
    <t>教职工的职务层次</t>
  </si>
  <si>
    <t>ZWCC_CODE</t>
  </si>
  <si>
    <r>
      <rPr>
        <sz val="12"/>
        <color theme="1"/>
        <rFont val="微软雅黑"/>
        <charset val="134"/>
      </rPr>
      <t>如：厅局级副职（代码122，表示学校领导）、县处级正职（代码131，代表部门负责人）、未定职（代码199）等等</t>
    </r>
    <r>
      <rPr>
        <b/>
        <sz val="12"/>
        <color rgb="FFFF0000"/>
        <rFont val="微软雅黑"/>
        <charset val="134"/>
      </rPr>
      <t>（国标未完、不可变更）</t>
    </r>
  </si>
  <si>
    <t>select * from HQ_CODE t where t.group_type = 'ZWCC_CODE'</t>
  </si>
  <si>
    <t>职务级别</t>
  </si>
  <si>
    <t>教职工职务层级</t>
  </si>
  <si>
    <t>ZWJB_CODE</t>
  </si>
  <si>
    <r>
      <rPr>
        <sz val="12"/>
        <color theme="1"/>
        <rFont val="微软雅黑"/>
        <charset val="134"/>
      </rPr>
      <t>如：中层正职（代码3，</t>
    </r>
    <r>
      <rPr>
        <b/>
        <sz val="12"/>
        <color rgb="FFFF0000"/>
        <rFont val="微软雅黑"/>
        <charset val="134"/>
      </rPr>
      <t>不可变更</t>
    </r>
    <r>
      <rPr>
        <sz val="12"/>
        <color theme="1"/>
        <rFont val="微软雅黑"/>
        <charset val="134"/>
      </rPr>
      <t>，表示部门负责人）、中层副职（代码4，</t>
    </r>
    <r>
      <rPr>
        <b/>
        <sz val="12"/>
        <color rgb="FFFF0000"/>
        <rFont val="微软雅黑"/>
        <charset val="134"/>
      </rPr>
      <t>不可变更</t>
    </r>
    <r>
      <rPr>
        <sz val="12"/>
        <color theme="1"/>
        <rFont val="微软雅黑"/>
        <charset val="134"/>
      </rPr>
      <t>，代表部门负责人副职）</t>
    </r>
  </si>
  <si>
    <t>select * from HQ_CODE t where t.group_type = 'ZWJB_CODE'</t>
  </si>
  <si>
    <t>行政职务</t>
  </si>
  <si>
    <t>教职工的行政职务</t>
  </si>
  <si>
    <t>ZW_NAME</t>
  </si>
  <si>
    <t>工作岗位性质</t>
  </si>
  <si>
    <t>教职工的工作岗位性质</t>
  </si>
  <si>
    <t>GZGWXZ_CODE</t>
  </si>
  <si>
    <r>
      <rPr>
        <sz val="12"/>
        <color theme="1"/>
        <rFont val="微软雅黑"/>
        <charset val="134"/>
      </rPr>
      <t>科研：1；教学：2；设计：3；管理：4</t>
    </r>
    <r>
      <rPr>
        <b/>
        <sz val="12"/>
        <color rgb="FFFF0000"/>
        <rFont val="微软雅黑"/>
        <charset val="134"/>
      </rPr>
      <t>（国标未完、可扩增校标）</t>
    </r>
  </si>
  <si>
    <t>教职工来源</t>
  </si>
  <si>
    <t>教职工的来源</t>
  </si>
  <si>
    <t>JZGLY_CODE</t>
  </si>
  <si>
    <r>
      <rPr>
        <sz val="12"/>
        <color theme="1"/>
        <rFont val="微软雅黑"/>
        <charset val="134"/>
      </rPr>
      <t>录用应届毕业生：10；应届本科生：11；应届硕士生：12；应届博士生：13；其他进校人员：99</t>
    </r>
    <r>
      <rPr>
        <b/>
        <sz val="12"/>
        <color rgb="FFFF0000"/>
        <rFont val="微软雅黑"/>
        <charset val="134"/>
      </rPr>
      <t>（部标未完、无需扩增校标）</t>
    </r>
  </si>
  <si>
    <t>籍贯</t>
  </si>
  <si>
    <t>教职工的籍贯</t>
  </si>
  <si>
    <t>PLACE</t>
  </si>
  <si>
    <t>民族</t>
  </si>
  <si>
    <t>教职工的民族</t>
  </si>
  <si>
    <t>NATION_CODE</t>
  </si>
  <si>
    <t>select * from HQ_CODE t where t.group_type = 'NATION_CODE'</t>
  </si>
  <si>
    <t>政治面貌</t>
  </si>
  <si>
    <t>教职工的政治面貌</t>
  </si>
  <si>
    <t>POLITICS_CODE</t>
  </si>
  <si>
    <t>select * from HQ_CODE t where t.group_type = 'POLITICS_CODE'</t>
  </si>
  <si>
    <t>参加党派时间</t>
  </si>
  <si>
    <t>教职工的入党时间</t>
  </si>
  <si>
    <t>CJDPRQ_DATE</t>
  </si>
  <si>
    <t>身份证号</t>
  </si>
  <si>
    <t>教职工的身份证号</t>
  </si>
  <si>
    <t>IDNO</t>
  </si>
  <si>
    <t>18/15位</t>
  </si>
  <si>
    <t>出生日期</t>
  </si>
  <si>
    <t>教职工的出生日期</t>
  </si>
  <si>
    <t>BIRTH_DATE</t>
  </si>
  <si>
    <t>例：1990-01-01</t>
  </si>
  <si>
    <t>来校日期</t>
  </si>
  <si>
    <t>教职工的来校日期</t>
  </si>
  <si>
    <t>IN_DATE</t>
  </si>
  <si>
    <t>例：2008-01-01</t>
  </si>
  <si>
    <t>参加工作日期</t>
  </si>
  <si>
    <t>教职工参加工作的时间</t>
  </si>
  <si>
    <t>WORK_DATE</t>
  </si>
  <si>
    <t>例：2004-01-01</t>
  </si>
  <si>
    <t>从教日期</t>
  </si>
  <si>
    <t>教职工从事教学的时间</t>
  </si>
  <si>
    <t>TEACHING_DATE</t>
  </si>
  <si>
    <t>从事教学的时间；例：2005-01-01；无数据时：与学校沟通，是否与来校日期保持一致</t>
  </si>
  <si>
    <t>联系方式</t>
  </si>
  <si>
    <t>教职工的联系方式</t>
  </si>
  <si>
    <t>PHONE</t>
  </si>
  <si>
    <t>紧急联系人</t>
  </si>
  <si>
    <t>教职工的紧急联系人名称</t>
  </si>
  <si>
    <t>JJLXR_NAME</t>
  </si>
  <si>
    <t>紧急联系人联系方式</t>
  </si>
  <si>
    <t>教职工的紧急联系人的联系方式</t>
  </si>
  <si>
    <t>JJLXR_PHONE</t>
  </si>
  <si>
    <t>聘任岗位级别</t>
  </si>
  <si>
    <t>教职工聘任时的岗位级别</t>
  </si>
  <si>
    <t>GWJB_ID</t>
  </si>
  <si>
    <t>事业单位岗位级别（管理一级、管理二级、专技一级、工勤一级……）</t>
  </si>
  <si>
    <t>select * from HQ_CODE_gwjb t</t>
  </si>
  <si>
    <t>HQ_CODE_GWJB</t>
  </si>
  <si>
    <t>岗位聘任日期</t>
  </si>
  <si>
    <t>教职工的岗位聘任日期</t>
  </si>
  <si>
    <t>GWPR_DATE</t>
  </si>
  <si>
    <t>管理岗位级别</t>
  </si>
  <si>
    <t>教职工的实际管理岗位级别</t>
  </si>
  <si>
    <t>GLGW_GWJB_ID</t>
  </si>
  <si>
    <t>事业单位岗位级别-管理岗位（管理一级、管理二级……）</t>
  </si>
  <si>
    <t>select * from HQ_CODE_gwjb t where code_ like '10%'</t>
  </si>
  <si>
    <t>专技岗位级别</t>
  </si>
  <si>
    <t>教职工的实际专技岗位级别</t>
  </si>
  <si>
    <t>ZJGW_GWJB_ID</t>
  </si>
  <si>
    <t>事业单位岗位级别-专技岗位（专技一级、专技二级……）</t>
  </si>
  <si>
    <t>select * from HQ_CODE_gwjb t where code_ like '20%'</t>
  </si>
  <si>
    <t>工勤岗位级别</t>
  </si>
  <si>
    <t>教职工的实际工勤岗位级别</t>
  </si>
  <si>
    <t>GQGW_GWJB_ID</t>
  </si>
  <si>
    <t>事业单位岗位级别-工勤岗位（工勤一级、工勤二级……）</t>
  </si>
  <si>
    <t>select * from HQ_CODE_gwjb t where code_ like '30%'</t>
  </si>
  <si>
    <t>校区ID</t>
  </si>
  <si>
    <t>教职工的经常办公校区</t>
  </si>
  <si>
    <t>XQ_ID</t>
  </si>
  <si>
    <t>教师常态办公校区</t>
  </si>
  <si>
    <t>最高学历</t>
  </si>
  <si>
    <t>教职工的最高学历</t>
  </si>
  <si>
    <t>EDU_ID</t>
  </si>
  <si>
    <r>
      <rPr>
        <sz val="12"/>
        <color theme="1"/>
        <rFont val="微软雅黑"/>
        <charset val="134"/>
      </rPr>
      <t>博士研究生：01，硕士研究生：10，本科：20，专科：30，中专：40，技工：50，高中，60</t>
    </r>
    <r>
      <rPr>
        <b/>
        <sz val="12"/>
        <color rgb="FFFF0000"/>
        <rFont val="微软雅黑"/>
        <charset val="134"/>
      </rPr>
      <t>（不可变更）</t>
    </r>
  </si>
  <si>
    <t>select * from HQ_CODE_EDUCATION t</t>
  </si>
  <si>
    <t>HQ_CODE_EDUCATION</t>
  </si>
  <si>
    <t>最高学位</t>
  </si>
  <si>
    <t>教职工的最高学位</t>
  </si>
  <si>
    <t>DEGREE_ID</t>
  </si>
  <si>
    <r>
      <rPr>
        <sz val="12"/>
        <color theme="1"/>
        <rFont val="微软雅黑"/>
        <charset val="134"/>
      </rPr>
      <t>名誉博士：1，博士：2，硕士：3，学士：4，双学士：5</t>
    </r>
    <r>
      <rPr>
        <b/>
        <sz val="12"/>
        <color rgb="FFFF0000"/>
        <rFont val="微软雅黑"/>
        <charset val="134"/>
      </rPr>
      <t>（不可变更）</t>
    </r>
  </si>
  <si>
    <t>select * from HQ_CODE_DEGREE t</t>
  </si>
  <si>
    <t>HQ_CODE_DEGREE</t>
  </si>
  <si>
    <t>最高学历毕业院校</t>
  </si>
  <si>
    <t>教职工获得最高学历的毕业院校</t>
  </si>
  <si>
    <t>EDU_XX</t>
  </si>
  <si>
    <t>最高学历专业</t>
  </si>
  <si>
    <t>教职工获得最高学历的专业</t>
  </si>
  <si>
    <t>EDU_ZY</t>
  </si>
  <si>
    <t>最高学历取得时间</t>
  </si>
  <si>
    <t>教职工最高学历的取得时间</t>
  </si>
  <si>
    <t>EDU_DATE</t>
  </si>
  <si>
    <t>第一学历_ID</t>
  </si>
  <si>
    <t>教职工的第一学历</t>
  </si>
  <si>
    <t>EDU_FIRST_ID</t>
  </si>
  <si>
    <t>普通全日制教育的最高学历</t>
  </si>
  <si>
    <t>HQ_CODE_education</t>
  </si>
  <si>
    <t>第一学位_ID</t>
  </si>
  <si>
    <t>教职工的第一学位</t>
  </si>
  <si>
    <t>DEGREE_FIRST_ID</t>
  </si>
  <si>
    <t>普通全日制教育的最高学位</t>
  </si>
  <si>
    <t>第一学历毕业院校</t>
  </si>
  <si>
    <t>教职工的第一学历毕业院校</t>
  </si>
  <si>
    <t>EDU_FIRST_XX</t>
  </si>
  <si>
    <t>第一学历专业</t>
  </si>
  <si>
    <t>教职工的第一学历所学专业</t>
  </si>
  <si>
    <t>EDU_FIRST_ZY</t>
  </si>
  <si>
    <t>第一学历取得时间</t>
  </si>
  <si>
    <t>教职工的第一学历取得时间</t>
  </si>
  <si>
    <t>EDU_FIRST_DATE</t>
  </si>
  <si>
    <t>专业技术职务（职称）</t>
  </si>
  <si>
    <t>教职工的职称</t>
  </si>
  <si>
    <t>ZYJSZW_ID</t>
  </si>
  <si>
    <t>如：教授、副教授、高级实验师、实验师、经济师、助理经济师……</t>
  </si>
  <si>
    <t>select * from HQ_CODE_ZYJSZW t</t>
  </si>
  <si>
    <t>HQ_CODE_ZYJSZW</t>
  </si>
  <si>
    <t>职称通过评审日期</t>
  </si>
  <si>
    <t>教职工职称通过的评审日期</t>
  </si>
  <si>
    <t>ZCTGPS_DATE</t>
  </si>
  <si>
    <t>职称聘任日期</t>
  </si>
  <si>
    <t>教职工职称聘任的日期</t>
  </si>
  <si>
    <t>ZCPR_DATE</t>
  </si>
  <si>
    <t>工人技术等级</t>
  </si>
  <si>
    <t>教职工的工人技术等级</t>
  </si>
  <si>
    <t>SKILL_MOVES_CODE</t>
  </si>
  <si>
    <t>如：高级技师、技师、高级技术工人……</t>
  </si>
  <si>
    <t>select * from HQ_CODE t where t.group_type = 'SKILL_MOVES_CODE'</t>
  </si>
  <si>
    <t>人事代理签订日期</t>
  </si>
  <si>
    <t>教职工的人事代理签订日期</t>
  </si>
  <si>
    <t>RSDLQDRQ_DATE</t>
  </si>
  <si>
    <t>任课教师类型</t>
  </si>
  <si>
    <t>教职工的任课教师类型</t>
  </si>
  <si>
    <t>RKJSLX_CODE</t>
  </si>
  <si>
    <r>
      <rPr>
        <sz val="10"/>
        <color theme="1"/>
        <rFont val="微软雅黑"/>
        <charset val="134"/>
      </rPr>
      <t>校内专任教师（1，</t>
    </r>
    <r>
      <rPr>
        <b/>
        <sz val="10"/>
        <color rgb="FFFF0000"/>
        <rFont val="微软雅黑"/>
        <charset val="134"/>
      </rPr>
      <t>不可变更</t>
    </r>
    <r>
      <rPr>
        <sz val="10"/>
        <color theme="1"/>
        <rFont val="微软雅黑"/>
        <charset val="134"/>
      </rPr>
      <t>）、校内兼课人员（2，</t>
    </r>
    <r>
      <rPr>
        <b/>
        <sz val="10"/>
        <color rgb="FFFF0000"/>
        <rFont val="微软雅黑"/>
        <charset val="134"/>
      </rPr>
      <t>不可变更</t>
    </r>
    <r>
      <rPr>
        <sz val="10"/>
        <color theme="1"/>
        <rFont val="微软雅黑"/>
        <charset val="134"/>
      </rPr>
      <t>）、校外兼职教师（3，</t>
    </r>
    <r>
      <rPr>
        <b/>
        <sz val="10"/>
        <color rgb="FFFF0000"/>
        <rFont val="微软雅黑"/>
        <charset val="134"/>
      </rPr>
      <t>不可变更</t>
    </r>
    <r>
      <rPr>
        <sz val="10"/>
        <color theme="1"/>
        <rFont val="微软雅黑"/>
        <charset val="134"/>
      </rPr>
      <t>）、校外兼课教师（4，</t>
    </r>
    <r>
      <rPr>
        <b/>
        <sz val="10"/>
        <color rgb="FFFF0000"/>
        <rFont val="微软雅黑"/>
        <charset val="134"/>
      </rPr>
      <t>不可变更</t>
    </r>
    <r>
      <rPr>
        <sz val="10"/>
        <color theme="1"/>
        <rFont val="微软雅黑"/>
        <charset val="134"/>
      </rPr>
      <t>）</t>
    </r>
  </si>
  <si>
    <t>select * from HQ_CODE t where t.group_type = 'RKJSLX_CODE'</t>
  </si>
  <si>
    <t>有教师资格证书</t>
  </si>
  <si>
    <t>教职工是否有教师资格证书</t>
  </si>
  <si>
    <t>IS_HAS_JSZGZS</t>
  </si>
  <si>
    <t>1：有，0：无</t>
  </si>
  <si>
    <t>是否双师教师</t>
  </si>
  <si>
    <t>教职工是否是双师型教师</t>
  </si>
  <si>
    <t>IS_SSJS</t>
  </si>
  <si>
    <t>1：是，0：否</t>
  </si>
  <si>
    <t>教学名师</t>
  </si>
  <si>
    <t>教职工的教师名师等级</t>
  </si>
  <si>
    <t>JXMS_LEVEL_CODE</t>
  </si>
  <si>
    <t>1：国家级；2：省部级；3：市厅局级；4：院/校级；9：其他</t>
  </si>
  <si>
    <t>select * from HQ_CODE t where t.group_type = 'JXMS_LEVEL_CODE'</t>
  </si>
  <si>
    <t>骨干教师</t>
  </si>
  <si>
    <t>教职工的骨干教师等级</t>
  </si>
  <si>
    <t>GGJS_LEVEL_CODE</t>
  </si>
  <si>
    <t>select * from HQ_CODE t where t.group_type = 'GGJS_LEVEL_CODE'</t>
  </si>
  <si>
    <t>学术技术带头人</t>
  </si>
  <si>
    <t>教职工的学术技术带头人等级</t>
  </si>
  <si>
    <t>XSJSDTR_LEVEL_CODE</t>
  </si>
  <si>
    <t>select * from HQ_CODE t where t.group_type = 'XSJSDTR_LEVEL_CODE'</t>
  </si>
  <si>
    <t>教职工姓名的拼音</t>
  </si>
  <si>
    <t>在职</t>
  </si>
  <si>
    <t>教职工是否在职状态</t>
  </si>
  <si>
    <t>IS_NORMAL</t>
  </si>
  <si>
    <t>标记当前有效的数据（学校认可的当前在校教职工）</t>
  </si>
  <si>
    <t>主要用于部门内人员排序（通常人员顺序学校比较关注）</t>
  </si>
  <si>
    <t>办公电话</t>
  </si>
  <si>
    <t>有效_校内人事管理</t>
  </si>
  <si>
    <t>IS_NORMAL_INNER</t>
  </si>
  <si>
    <t>年龄</t>
  </si>
  <si>
    <t>AGE</t>
  </si>
  <si>
    <t>NUMBER(3)</t>
  </si>
  <si>
    <t>身份证件类型</t>
  </si>
  <si>
    <t>IDCRAD_TYPE_CODE</t>
  </si>
  <si>
    <t>专业特长（个人简介）</t>
  </si>
  <si>
    <t>SPECIALITY</t>
  </si>
  <si>
    <t>有无工作经验</t>
  </si>
  <si>
    <t>IS_HAS_EXPERIENCE</t>
  </si>
  <si>
    <t>现工作岗位职务</t>
  </si>
  <si>
    <t>GZGWZW_NAME</t>
  </si>
  <si>
    <t>党建带头人</t>
  </si>
  <si>
    <t>IS_DJDTR</t>
  </si>
  <si>
    <t>专业带头人</t>
  </si>
  <si>
    <t>IS_ZYDTR</t>
  </si>
  <si>
    <t>是否骨干教师</t>
  </si>
  <si>
    <t>IS_GGJS</t>
  </si>
  <si>
    <t>是否教学名师</t>
  </si>
  <si>
    <t>IS_JXMS</t>
  </si>
  <si>
    <t>最高职称级别</t>
  </si>
  <si>
    <t>ZYJSZW_JB_CODE</t>
  </si>
  <si>
    <t>最高专业技术职务聘任名称</t>
  </si>
  <si>
    <t>PR_ZYJSZW_ID</t>
  </si>
  <si>
    <t>最高专业技术职务聘任级别</t>
  </si>
  <si>
    <t>PR_ZYJSZW_JB_CODE</t>
  </si>
  <si>
    <t>是否有留学经历</t>
  </si>
  <si>
    <t>IS_HAS_FOREIGN_EDU</t>
  </si>
  <si>
    <t>最高学位专业</t>
  </si>
  <si>
    <t>DEGREE_ZY</t>
  </si>
  <si>
    <t>最高学位毕业院校</t>
  </si>
  <si>
    <t>DEGREE_XX</t>
  </si>
  <si>
    <t>最高学位取得时间</t>
  </si>
  <si>
    <t>DEGREE_DATE</t>
  </si>
  <si>
    <t>最高学历学位学科类别</t>
  </si>
  <si>
    <t>SUBJECT_CATEGORY_CODE</t>
  </si>
  <si>
    <t>最高学历学位院校类型</t>
  </si>
  <si>
    <t>SCHOOL_TYPE_CODE</t>
  </si>
  <si>
    <t>国籍/地区</t>
  </si>
  <si>
    <t>COUNTRY_CODE</t>
  </si>
  <si>
    <t>现住址</t>
  </si>
  <si>
    <t>LIVE_ADDR</t>
  </si>
  <si>
    <t>户口性质</t>
  </si>
  <si>
    <t>ANMELDEN_CODE</t>
  </si>
  <si>
    <t>户口所在地</t>
  </si>
  <si>
    <t>HOUSEHOLD_XZQH_ID</t>
  </si>
  <si>
    <t>户口登记机关</t>
  </si>
  <si>
    <t>HOUSEHOLD_ORGAN</t>
  </si>
  <si>
    <t>婚姻状况</t>
  </si>
  <si>
    <t>MARRIAGE_CODE</t>
  </si>
  <si>
    <t>健康状况</t>
  </si>
  <si>
    <t>HEALTH_CODE</t>
  </si>
  <si>
    <t>是否残疾人</t>
  </si>
  <si>
    <t>IS_DISABLED</t>
  </si>
  <si>
    <t>血型</t>
  </si>
  <si>
    <t>BLOOD_TYPE_CODE</t>
  </si>
  <si>
    <t>宗教信仰</t>
  </si>
  <si>
    <t>RELIGION_CODE</t>
  </si>
  <si>
    <t>银行帐号</t>
  </si>
  <si>
    <t>BANK_ACCOUNT</t>
  </si>
  <si>
    <t>预计退休日期</t>
  </si>
  <si>
    <t>PREDICT_RETIRE_DATE</t>
  </si>
  <si>
    <t>管理员备注</t>
  </si>
  <si>
    <t>REMARK</t>
  </si>
  <si>
    <t>是否为辅导员</t>
  </si>
  <si>
    <t>IS_MENTOR</t>
  </si>
  <si>
    <t>辅导员类别</t>
  </si>
  <si>
    <t>MENTOR_TYPE_CODE</t>
  </si>
  <si>
    <t>是否持有心理咨询资格证书</t>
  </si>
  <si>
    <t>IS_HAS_XLZXZS</t>
  </si>
  <si>
    <t>是否专职从事心理咨询工作</t>
  </si>
  <si>
    <t>IS_IN_XLZXGZ</t>
  </si>
  <si>
    <t>教职工照片信息</t>
  </si>
  <si>
    <t>HQ_RS_PHOTO</t>
  </si>
  <si>
    <t>教师照片信息表</t>
  </si>
  <si>
    <t>初期集成时直接讲照片拷贝到相关目录下，批量生成这个表的数据即可</t>
  </si>
  <si>
    <t>组织人事处、信息中心部门，通常学校已有照片数据</t>
  </si>
  <si>
    <t>标准工期（人天）</t>
  </si>
  <si>
    <t>主键，唯一，通常取职工号</t>
  </si>
  <si>
    <t>教职工</t>
  </si>
  <si>
    <t>职工号，不可重复</t>
  </si>
  <si>
    <t>存储名称</t>
  </si>
  <si>
    <t>教职工照片名称</t>
  </si>
  <si>
    <t>STORE_NAME</t>
  </si>
  <si>
    <t>例：***.jpg</t>
  </si>
  <si>
    <t>照片类型</t>
  </si>
  <si>
    <t>教职工照片格式</t>
  </si>
  <si>
    <t>FILE_TYPE</t>
  </si>
  <si>
    <t>jpg/png……</t>
  </si>
  <si>
    <t>照片大小（KB）</t>
  </si>
  <si>
    <t>教职工照片大小</t>
  </si>
  <si>
    <t>FILE_KB</t>
  </si>
  <si>
    <t>NUMBER(20)</t>
  </si>
  <si>
    <t>照片唯一标识码</t>
  </si>
  <si>
    <t>教职工照片标识码</t>
  </si>
  <si>
    <t>UNIQUE_</t>
  </si>
  <si>
    <t>初期默认职工号
通过唯一标识码调用文件下载服务器地址，后期可以统一做处理
http://***/data-quality/share/file/tea/{unique}/v1.0?app_key=***&amp;token=***</t>
  </si>
  <si>
    <t>教职工照片更新时间</t>
  </si>
  <si>
    <t>TIME_</t>
  </si>
  <si>
    <t>例：yyyy-mm-dd hh:mm:ss</t>
  </si>
  <si>
    <t>照片内容</t>
  </si>
  <si>
    <t>FILE_CONTENT</t>
  </si>
  <si>
    <t>照片二进制存储，通常用于对接【2021-06-17】</t>
  </si>
  <si>
    <t>BLOB</t>
  </si>
  <si>
    <t>家庭成员信息</t>
  </si>
  <si>
    <t>HQ_RS_TEA_FAMILY</t>
  </si>
  <si>
    <t>教职工家庭成员信息</t>
  </si>
  <si>
    <t>人事处</t>
  </si>
  <si>
    <t>关键字</t>
  </si>
  <si>
    <t>与本人关系</t>
  </si>
  <si>
    <t>RELATION</t>
  </si>
  <si>
    <t>工作单位</t>
  </si>
  <si>
    <t>COMPANY_NAME</t>
  </si>
  <si>
    <t>职务</t>
  </si>
  <si>
    <t>DUTIES</t>
  </si>
  <si>
    <t>合同信息</t>
  </si>
  <si>
    <t>HQ_RS_TEA_CONTRACT</t>
  </si>
  <si>
    <t>合同编号</t>
  </si>
  <si>
    <t>CONTRACT_NO</t>
  </si>
  <si>
    <t>合同类型</t>
  </si>
  <si>
    <t>CONTRACT_TYPE_CODE</t>
  </si>
  <si>
    <t>合同开始时间</t>
  </si>
  <si>
    <t>合同截止时间</t>
  </si>
  <si>
    <t>合同期限类型</t>
  </si>
  <si>
    <t>CONTRACT_DEADLINE_TYPE_CODE</t>
  </si>
  <si>
    <t>合同标识类型</t>
  </si>
  <si>
    <t>CONTRACT_IDENTIFICATION_CODE</t>
  </si>
  <si>
    <t>合同月数</t>
  </si>
  <si>
    <t>CONTRACT_MONTH_COUNT</t>
  </si>
  <si>
    <t>签订时间</t>
  </si>
  <si>
    <t>SIGN_DATE</t>
  </si>
  <si>
    <t>职责</t>
  </si>
  <si>
    <t>每年的教职工基本信息</t>
  </si>
  <si>
    <t>HQ_RS_TEA_YEAR</t>
  </si>
  <si>
    <t>教职工个人年度备份信息。用途：最基础、核心的数据，影响：系统无法运行</t>
  </si>
  <si>
    <r>
      <rPr>
        <sz val="12"/>
        <color theme="1"/>
        <rFont val="微软雅黑"/>
        <charset val="134"/>
      </rPr>
      <t>必须包含国标状态的所有教师数据，必须</t>
    </r>
    <r>
      <rPr>
        <b/>
        <sz val="12"/>
        <color rgb="FFFF0000"/>
        <rFont val="微软雅黑"/>
        <charset val="134"/>
      </rPr>
      <t>按国标状态存储教师状态信息，必须保证有5年数据</t>
    </r>
  </si>
  <si>
    <r>
      <rPr>
        <sz val="12"/>
        <color theme="1"/>
        <rFont val="微软雅黑"/>
        <charset val="134"/>
      </rPr>
      <t>对应：部门/院系/教学单位，行政组织结构表ID（HQ_CODE_DEPT）</t>
    </r>
    <r>
      <rPr>
        <sz val="12"/>
        <color rgb="FFFF0000"/>
        <rFont val="微软雅黑"/>
        <charset val="134"/>
      </rPr>
      <t>（教师不能隶属专业）</t>
    </r>
  </si>
  <si>
    <t>教职工编制类别</t>
  </si>
  <si>
    <t>教职工编制类型</t>
  </si>
  <si>
    <t>教职工曾用名</t>
  </si>
  <si>
    <t>教职工性别</t>
  </si>
  <si>
    <t>教职工职务层次</t>
  </si>
  <si>
    <t>HQ_CODE_gwjb</t>
  </si>
  <si>
    <t>select * from HQ_CODE_education t</t>
  </si>
  <si>
    <t>select * from HQ_CODE_degree t</t>
  </si>
  <si>
    <t>HQ_CODE_degree</t>
  </si>
  <si>
    <t>select * from HQ_CODE_zyjszw t</t>
  </si>
  <si>
    <t>HQ_CODE_zyjszw</t>
  </si>
  <si>
    <t>年</t>
  </si>
  <si>
    <t>年份</t>
  </si>
  <si>
    <t>YEAR_</t>
  </si>
  <si>
    <t>每学期的教职工基本信息</t>
  </si>
  <si>
    <t>HQ_RS_TEA_XQ</t>
  </si>
  <si>
    <t>教职工个人学期备份信息。用途：最基础、核心的数据，影响：系统无法运行</t>
  </si>
  <si>
    <r>
      <rPr>
        <sz val="12"/>
        <color theme="1"/>
        <rFont val="微软雅黑"/>
        <charset val="134"/>
      </rPr>
      <t>必须包含国标状态的所有教师数据，必须</t>
    </r>
    <r>
      <rPr>
        <b/>
        <sz val="12"/>
        <color rgb="FFFF0000"/>
        <rFont val="微软雅黑"/>
        <charset val="134"/>
      </rPr>
      <t>按国标状态存储教师状态信息，必须保证有10个学期数据</t>
    </r>
  </si>
  <si>
    <t>教职工的职务层级</t>
  </si>
  <si>
    <t>每个专业历年的任职教职工</t>
  </si>
  <si>
    <t>HQ_RS_TEA_MAJOR_YEAR</t>
  </si>
  <si>
    <t>每个专业历年的教职工数据。用途：方便的提取专业下的教师，影响：指标计算</t>
  </si>
  <si>
    <t>教学类教师从课表提取，行政管理类暂放</t>
  </si>
  <si>
    <t>教务处（通常来源教务系统）</t>
  </si>
  <si>
    <t>专业代码</t>
  </si>
  <si>
    <t>专业</t>
  </si>
  <si>
    <t>对应：专业表代码或组织机构表专业代码</t>
  </si>
  <si>
    <t>是教学类</t>
  </si>
  <si>
    <t>是否是教学类教职工</t>
  </si>
  <si>
    <t>IS_TEACH</t>
  </si>
  <si>
    <t>1：是；0：否</t>
  </si>
  <si>
    <t>是行政类</t>
  </si>
  <si>
    <t>是否是行政类教职工</t>
  </si>
  <si>
    <t>IS_DEPT</t>
  </si>
  <si>
    <t>自然年</t>
  </si>
  <si>
    <t>例：2019</t>
  </si>
  <si>
    <t>每个专业各学年的任职教职工</t>
  </si>
  <si>
    <t>HQ_RS_TEA_MAJOR_XN</t>
  </si>
  <si>
    <t>每个专业各个学年的教职工数据。用途：方便的提取专业下的教师，影响：指标计算</t>
  </si>
  <si>
    <t>教职工的聘用状态变动记录</t>
  </si>
  <si>
    <t>HQ_RS_CHANGE</t>
  </si>
  <si>
    <t>教职工的状态变动记录。状态包括：退休、离休、死亡、返聘、调出、辞职、离职、开除、下落不明、在职、延聘、待退休、长病假、因公出国、停薪留职、待岗、甚他</t>
  </si>
  <si>
    <t>要求采集5年的变动数据</t>
  </si>
  <si>
    <t>人事处（通常来源人事处）</t>
  </si>
  <si>
    <t>变动类型</t>
  </si>
  <si>
    <t>教职工聘用状态</t>
  </si>
  <si>
    <t>TEA_STATUS_CHANGE_CODE</t>
  </si>
  <si>
    <t>退休；离职；返聘……</t>
  </si>
  <si>
    <t>变动日期</t>
  </si>
  <si>
    <t>教职工状态变动日期</t>
  </si>
  <si>
    <t>DATE_</t>
  </si>
  <si>
    <t>例：2019-10-10</t>
  </si>
  <si>
    <t>教职工状态变动的备注信息</t>
  </si>
  <si>
    <t>教职工延聘返聘记录</t>
  </si>
  <si>
    <t>HQ_RS_YPFP</t>
  </si>
  <si>
    <t>教职工的延聘返聘记录。用途：解析历年师资情况；影响：历年教师数据</t>
  </si>
  <si>
    <t>延聘返聘类型</t>
  </si>
  <si>
    <t>教职工延聘返聘类型</t>
  </si>
  <si>
    <t>YPFP_CODE</t>
  </si>
  <si>
    <t>延聘：12；返聘：4</t>
  </si>
  <si>
    <t>开始日期</t>
  </si>
  <si>
    <t>教职工延聘返聘开始日期</t>
  </si>
  <si>
    <t>结束日期</t>
  </si>
  <si>
    <t>教职工延聘返聘结束日期</t>
  </si>
  <si>
    <t>教职工延聘返聘的备注信息</t>
  </si>
  <si>
    <t>教职工校内任职记录</t>
  </si>
  <si>
    <t>HQ_RS_TAKE_OFFICE</t>
  </si>
  <si>
    <t>教职工校内部门岗位任职记录。用途：解析历年各部门师资情况；影响：历年各部门教师数据</t>
  </si>
  <si>
    <t>任职开始年月</t>
  </si>
  <si>
    <t>教职工任职开始时间</t>
  </si>
  <si>
    <t>BEGIN_YEAR_MONTH</t>
  </si>
  <si>
    <t>例：2017-09</t>
  </si>
  <si>
    <t>任职截止年月</t>
  </si>
  <si>
    <t>教职工任职截止时间</t>
  </si>
  <si>
    <t>END_YEAR_MONTH</t>
  </si>
  <si>
    <t>例：2018-09</t>
  </si>
  <si>
    <t>任职部门</t>
  </si>
  <si>
    <t>教职工任职部门</t>
  </si>
  <si>
    <t>对应：行政组织结构表ID（HQ_CODE_DEPT）</t>
  </si>
  <si>
    <t>科室</t>
  </si>
  <si>
    <t>教职工任职科室</t>
  </si>
  <si>
    <t>KS_ID</t>
  </si>
  <si>
    <t>select * from HQ_CODE_DEPT t where level_type in ('KS')</t>
  </si>
  <si>
    <t>行政职务名称</t>
  </si>
  <si>
    <t>教职工的行政职务名称</t>
  </si>
  <si>
    <t>教职工教育经历信息</t>
  </si>
  <si>
    <t>HQ_RS_EDU_DEGREE_CHANGE</t>
  </si>
  <si>
    <t>教职工教育经历信息。用途：解析历年师资情况；影响：历年教师数据</t>
  </si>
  <si>
    <t>开始年月</t>
  </si>
  <si>
    <t>教职工受教育开始时间</t>
  </si>
  <si>
    <t>截止年月</t>
  </si>
  <si>
    <t>教职工受教育终止时间</t>
  </si>
  <si>
    <t>例：2019-07</t>
  </si>
  <si>
    <t>获得学历_ID</t>
  </si>
  <si>
    <t>教职工所获学历</t>
  </si>
  <si>
    <t>获得学位_ID</t>
  </si>
  <si>
    <t>教职工所获学位</t>
  </si>
  <si>
    <t>学校</t>
  </si>
  <si>
    <t>教职工受教育学校</t>
  </si>
  <si>
    <t>SCHOOL</t>
  </si>
  <si>
    <t>教职工受教育专业</t>
  </si>
  <si>
    <t>MAJOR</t>
  </si>
  <si>
    <t>学历性质</t>
  </si>
  <si>
    <t>EDU_NATURE</t>
  </si>
  <si>
    <r>
      <rPr>
        <sz val="12"/>
        <color theme="1"/>
        <rFont val="微软雅黑"/>
        <charset val="134"/>
      </rPr>
      <t>VARCHAR2</t>
    </r>
    <r>
      <rPr>
        <sz val="15"/>
        <color rgb="FF080808"/>
        <rFont val="Courier New"/>
        <charset val="134"/>
      </rPr>
      <t>(</t>
    </r>
    <r>
      <rPr>
        <sz val="15"/>
        <color rgb="FF1750EB"/>
        <rFont val="Courier New"/>
        <charset val="134"/>
      </rPr>
      <t>20</t>
    </r>
    <r>
      <rPr>
        <sz val="15"/>
        <color rgb="FF080808"/>
        <rFont val="Courier New"/>
        <charset val="134"/>
      </rPr>
      <t>)</t>
    </r>
  </si>
  <si>
    <r>
      <rPr>
        <sz val="12"/>
        <color theme="1"/>
        <rFont val="微软雅黑"/>
        <charset val="134"/>
      </rPr>
      <t>NUMBER</t>
    </r>
    <r>
      <rPr>
        <sz val="15"/>
        <color rgb="FF080808"/>
        <rFont val="Courier New"/>
        <charset val="134"/>
      </rPr>
      <t>(</t>
    </r>
    <r>
      <rPr>
        <sz val="15"/>
        <color rgb="FF1750EB"/>
        <rFont val="Courier New"/>
        <charset val="134"/>
      </rPr>
      <t>1</t>
    </r>
    <r>
      <rPr>
        <sz val="15"/>
        <color rgb="FF080808"/>
        <rFont val="Courier New"/>
        <charset val="134"/>
      </rPr>
      <t>)</t>
    </r>
  </si>
  <si>
    <t>授学位单位名称</t>
  </si>
  <si>
    <t>AWARD_ORGAN_NAME</t>
  </si>
  <si>
    <r>
      <rPr>
        <sz val="12"/>
        <color theme="1"/>
        <rFont val="微软雅黑"/>
        <charset val="134"/>
      </rPr>
      <t>VARCHAR2</t>
    </r>
    <r>
      <rPr>
        <sz val="15"/>
        <color rgb="FF080808"/>
        <rFont val="Courier New"/>
        <charset val="134"/>
      </rPr>
      <t>(</t>
    </r>
    <r>
      <rPr>
        <sz val="15"/>
        <color rgb="FF1750EB"/>
        <rFont val="Courier New"/>
        <charset val="134"/>
      </rPr>
      <t>100</t>
    </r>
    <r>
      <rPr>
        <sz val="15"/>
        <color rgb="FF080808"/>
        <rFont val="Courier New"/>
        <charset val="134"/>
      </rPr>
      <t>)</t>
    </r>
  </si>
  <si>
    <r>
      <rPr>
        <sz val="12"/>
        <color theme="1"/>
        <rFont val="微软雅黑"/>
        <charset val="134"/>
      </rPr>
      <t>授学位国家</t>
    </r>
    <r>
      <rPr>
        <i/>
        <sz val="15"/>
        <color rgb="FF8C8C8C"/>
        <rFont val="Courier New"/>
        <charset val="134"/>
      </rPr>
      <t>/</t>
    </r>
    <r>
      <rPr>
        <i/>
        <sz val="15"/>
        <color rgb="FF8C8C8C"/>
        <rFont val="宋体"/>
        <charset val="134"/>
      </rPr>
      <t>地区</t>
    </r>
  </si>
  <si>
    <r>
      <rPr>
        <sz val="12"/>
        <color theme="1"/>
        <rFont val="微软雅黑"/>
        <charset val="134"/>
      </rPr>
      <t>授学位国家/</t>
    </r>
    <r>
      <rPr>
        <i/>
        <sz val="15"/>
        <color rgb="FF8C8C8C"/>
        <rFont val="宋体"/>
        <charset val="134"/>
      </rPr>
      <t>地区</t>
    </r>
  </si>
  <si>
    <t>AWARD_AREA</t>
  </si>
  <si>
    <t>学科门类</t>
  </si>
  <si>
    <t>院校类型</t>
  </si>
  <si>
    <t>教职工职称评定信息</t>
  </si>
  <si>
    <t>HQ_RS_ZYJSZW_CHANGE</t>
  </si>
  <si>
    <t>教职工职称评定信息。用途：解析历年师资情况；影响：历年教师数据</t>
  </si>
  <si>
    <t>职称_ID</t>
  </si>
  <si>
    <t>教职工职称</t>
  </si>
  <si>
    <t>评定年月</t>
  </si>
  <si>
    <t>教职工职称评定年月</t>
  </si>
  <si>
    <t>首次聘任年月</t>
  </si>
  <si>
    <t>教职工首次聘任年月</t>
  </si>
  <si>
    <t>例：2018-07</t>
  </si>
  <si>
    <t>专业技术职务级别</t>
  </si>
  <si>
    <t>正高级/副高级/中级/初级/员级/未定职级专业技术人员</t>
  </si>
  <si>
    <t>辅导员或班主任的任职信息</t>
  </si>
  <si>
    <t>HQ_RS_FDYBZR</t>
  </si>
  <si>
    <t>辅导员-班主任任职信息。用途：***；影响：***</t>
  </si>
  <si>
    <t>学生处（通常来源学生处、学工系统、教务系统）</t>
  </si>
  <si>
    <t>辅导员/班主任</t>
  </si>
  <si>
    <t>辅导员-班主任CODE</t>
  </si>
  <si>
    <t>是辅导员还是班主任</t>
  </si>
  <si>
    <t>FDYBZR_CODE</t>
  </si>
  <si>
    <t>1：辅导员；2：班主任</t>
  </si>
  <si>
    <t>select * from HQ_CODE t where t.group_type = 'FDYBZR_CODE'</t>
  </si>
  <si>
    <t>任职学年</t>
  </si>
  <si>
    <t>例：2017-2018</t>
  </si>
  <si>
    <t>任职学期</t>
  </si>
  <si>
    <t>辅导员或班主任所带班级</t>
  </si>
  <si>
    <t>HQ_RS_FDYBZR_CLASS</t>
  </si>
  <si>
    <t>辅导员-班主任带班班级信息。用途：***；影响：***</t>
  </si>
  <si>
    <t>学期中换班主任情况：根据学校实际数据记录，无需额外处理</t>
  </si>
  <si>
    <t>辅导员班主任表ID</t>
  </si>
  <si>
    <t>辅导员或班主任</t>
  </si>
  <si>
    <t>FDYBZR_ID</t>
  </si>
  <si>
    <t>班级ID</t>
  </si>
  <si>
    <t>班级</t>
  </si>
  <si>
    <t>CLASS_ID</t>
  </si>
  <si>
    <t>select * from HQ_CODE_CLASSES</t>
  </si>
  <si>
    <t>荣誉成果信息</t>
  </si>
  <si>
    <t>HQ_RS_HONOR_RES</t>
  </si>
  <si>
    <t>教职工/部门荣誉成果信息。用途：解析部门绩效考核；影响：内部质量核心绩效考核</t>
  </si>
  <si>
    <t>学校或部门或教职工获得的各项奖项荣誉，不包含教学类相关成果。</t>
  </si>
  <si>
    <t>党办（通常来源党办）</t>
  </si>
  <si>
    <t>申报部门ID</t>
  </si>
  <si>
    <t>申报部门的信息</t>
  </si>
  <si>
    <t>对应：部门/院系/教学单位，行政组织结构表ID（HQ_CODE_DEPT）</t>
  </si>
  <si>
    <t>教育教学部ID</t>
  </si>
  <si>
    <t>教育教学部的信息</t>
  </si>
  <si>
    <t>???</t>
  </si>
  <si>
    <t>权重</t>
  </si>
  <si>
    <t>绩效考核权重</t>
  </si>
  <si>
    <t>WEIGHT</t>
  </si>
  <si>
    <t>NUMBER(10,4)</t>
  </si>
  <si>
    <t>奖项名称</t>
  </si>
  <si>
    <t>荣誉成果名称</t>
  </si>
  <si>
    <t>JX_NAME</t>
  </si>
  <si>
    <t>获奖时间</t>
  </si>
  <si>
    <t>荣誉成果获奖时间</t>
  </si>
  <si>
    <t>例：2017-09-01</t>
  </si>
  <si>
    <t>位次</t>
  </si>
  <si>
    <t>荣誉成果对应获奖人或单位的位次</t>
  </si>
  <si>
    <t>RANKING</t>
  </si>
  <si>
    <t>？？</t>
  </si>
  <si>
    <t>发证单位</t>
  </si>
  <si>
    <t>荣誉成果的发证单位</t>
  </si>
  <si>
    <t>FZDW_NAME</t>
  </si>
  <si>
    <t>奖项类别ID</t>
  </si>
  <si>
    <t>荣誉成果类别</t>
  </si>
  <si>
    <t>HONOR_RES_PID_ID</t>
  </si>
  <si>
    <t>表彰获奖个人奖、表彰获奖集体奖、综合获奖个人奖、综合获奖集体奖</t>
  </si>
  <si>
    <t>select * from HQ_CODE_HONOR_RES where level_ = 1</t>
  </si>
  <si>
    <t>HQ_CODE_HONOR_RES</t>
  </si>
  <si>
    <t>奖项级别ID</t>
  </si>
  <si>
    <t>荣誉成果级别</t>
  </si>
  <si>
    <t>HONOR_RES_ID</t>
  </si>
  <si>
    <t>国家级A类……</t>
  </si>
  <si>
    <t>select * from HQ_CODE_HONOR_RES where level_ = 3</t>
  </si>
  <si>
    <t>获奖人工号</t>
  </si>
  <si>
    <t>获奖人的工号</t>
  </si>
  <si>
    <t>HJR_NO</t>
  </si>
  <si>
    <t>说明：是个人成果时这个字段有值</t>
  </si>
  <si>
    <t>获奖人姓名</t>
  </si>
  <si>
    <t>获奖人的姓名</t>
  </si>
  <si>
    <t>HJR_NAME</t>
  </si>
  <si>
    <t>获奖单位</t>
  </si>
  <si>
    <t>获奖单位的名称</t>
  </si>
  <si>
    <t>HJDW_NAME</t>
  </si>
  <si>
    <t>说明：是部门成果时这个字段有值</t>
  </si>
  <si>
    <t>申报备注</t>
  </si>
  <si>
    <t>申报时的备注信息</t>
  </si>
  <si>
    <t>APPLY_BZ</t>
  </si>
  <si>
    <t>审核备注</t>
  </si>
  <si>
    <t>审核时的备注信息</t>
  </si>
  <si>
    <t>AUDIT_BZ</t>
  </si>
  <si>
    <t>成果编号</t>
  </si>
  <si>
    <t>BH</t>
  </si>
  <si>
    <t>学校用来唯一标识这个成果的编号</t>
  </si>
  <si>
    <t>数据归档年</t>
  </si>
  <si>
    <t>荣誉成果的数据归档年份</t>
  </si>
  <si>
    <t>记录数据归档年</t>
  </si>
  <si>
    <t>荣誉成果中的成员</t>
  </si>
  <si>
    <t>HQ_RS_HONOR_RES_CY</t>
  </si>
  <si>
    <t>荣誉成果ID</t>
  </si>
  <si>
    <t>荣誉成果</t>
  </si>
  <si>
    <t>成员类型CODE</t>
  </si>
  <si>
    <t>获奖人或单位的类型</t>
  </si>
  <si>
    <t>PERSON_TYPE_CODE</t>
  </si>
  <si>
    <t>1（校内教师），2（校外人员），3（校内学生），4（机构/单位）</t>
  </si>
  <si>
    <t>SELECT * FROM HQ_CODE 
WHERE GROUP_TYPE = 'PERSON_TYPE_CODE'</t>
  </si>
  <si>
    <t>教师部门ID</t>
  </si>
  <si>
    <t>获奖教职工所在部门</t>
  </si>
  <si>
    <t>获奖教职工</t>
  </si>
  <si>
    <t>如果成员类型是教师，则是教师工号</t>
  </si>
  <si>
    <t>获奖人或单位的名称</t>
  </si>
  <si>
    <t>MC</t>
  </si>
  <si>
    <t>如果成员类型是校外人员或者机构单位，则填写 人员或单位的名称；如果是老师或学生，则写老师或学生的名称</t>
  </si>
  <si>
    <t>学号</t>
  </si>
  <si>
    <t>获奖学生</t>
  </si>
  <si>
    <t>STU_NO</t>
  </si>
  <si>
    <t>如果成员类型是学生，则填写学生学号</t>
  </si>
  <si>
    <t>HQ_XS_STU</t>
  </si>
  <si>
    <t>荣誉成果中的参与部门</t>
  </si>
  <si>
    <t>HQ_RS_HONOR_RES_JOINDEPT</t>
  </si>
  <si>
    <t>教职工/部门荣誉成果的参与部门。用途：解析部门绩效考核；影响：内部质量核心绩效考核</t>
  </si>
  <si>
    <t>参与部门ID</t>
  </si>
  <si>
    <t>荣誉成果的参与部门</t>
  </si>
  <si>
    <t>参与该项荣誉成果的教育教学部门</t>
  </si>
  <si>
    <t>教学成果信息</t>
  </si>
  <si>
    <t>HQ_RS_TEACH_RES</t>
  </si>
  <si>
    <t>教职工/部门教学成果信息。用途：解析部门绩效考核；影响：内部质量核心绩效考核</t>
  </si>
  <si>
    <t>教务处（通常来源教务处、教务系统）</t>
  </si>
  <si>
    <t>教学成果名称</t>
  </si>
  <si>
    <t>该项成果是否立项</t>
  </si>
  <si>
    <t>IS_SETUP</t>
  </si>
  <si>
    <t>教学成果对应获奖人或单位的位次</t>
  </si>
  <si>
    <t>授奖单位</t>
  </si>
  <si>
    <t>SJDW_NAME</t>
  </si>
  <si>
    <t>奖项类别</t>
  </si>
  <si>
    <t>TEACH_RES_PID_ID</t>
  </si>
  <si>
    <t>专业建设成果、教材、技能大赛及作品获奖、课题……</t>
  </si>
  <si>
    <t>select * from HQ_CODE_TEACH_RES where level_ = 1</t>
  </si>
  <si>
    <t>HQ_CODE_TEACH_RES</t>
  </si>
  <si>
    <t>细分类别ID</t>
  </si>
  <si>
    <t>细分类别</t>
  </si>
  <si>
    <t>TEACH_RES_ID</t>
  </si>
  <si>
    <t>学生职业技能竞赛、教师技能大赛、信息化教学大赛、精品资源共享课……</t>
  </si>
  <si>
    <t>select * from HQ_CODE_TEACH_RES where level_ = 2</t>
  </si>
  <si>
    <t>细分类别名称</t>
  </si>
  <si>
    <t>TEACH_RES_NAME</t>
  </si>
  <si>
    <t>教学成果级别</t>
  </si>
  <si>
    <t>TEACH_RES_GRAND_ID</t>
  </si>
  <si>
    <t>国家级、一等奖……</t>
  </si>
  <si>
    <t xml:space="preserve">select * from HQ_CODE_TEACH_RES_GRADE where level_ = 3 </t>
  </si>
  <si>
    <t>HQ_CODE_TEACH_RES_GRADE</t>
  </si>
  <si>
    <t>负责人工号</t>
  </si>
  <si>
    <t>负责人的工号</t>
  </si>
  <si>
    <t>负责人姓名</t>
  </si>
  <si>
    <t>负责人的姓名</t>
  </si>
  <si>
    <t>FZR_NAME</t>
  </si>
  <si>
    <t>其他成员NOS</t>
  </si>
  <si>
    <t>其他成员的工号</t>
  </si>
  <si>
    <t>OTHER_NOS</t>
  </si>
  <si>
    <t>VARCHAR2(500)</t>
  </si>
  <si>
    <t>其他成员MCS</t>
  </si>
  <si>
    <t>其他成员名称</t>
  </si>
  <si>
    <t>OTHER_NAMES</t>
  </si>
  <si>
    <t>奖项级别</t>
  </si>
  <si>
    <t>TEACH_RES_LEVEL_CODE</t>
  </si>
  <si>
    <t>奖项级别分类</t>
  </si>
  <si>
    <t>教学成果级别分类</t>
  </si>
  <si>
    <t>TEACH_RES_LEVEL_TYPE_CODE</t>
  </si>
  <si>
    <t>奖项等级</t>
  </si>
  <si>
    <t>教学成果等级</t>
  </si>
  <si>
    <t>TEACH_RES_GRAND_CODE</t>
  </si>
  <si>
    <t>是否是教学成果的牵头人或牵头单位</t>
  </si>
  <si>
    <t>是否是教学成果的参与人或参与单位</t>
  </si>
  <si>
    <t>是否是教学成果的承办人或承办单位</t>
  </si>
  <si>
    <t>教学成果是否立项</t>
  </si>
  <si>
    <t>教学成果中的成员</t>
  </si>
  <si>
    <t>HQ_RS_TEACH_RES_CY</t>
  </si>
  <si>
    <t>教职工/部门教学成果成员信息。用途：解析部门绩效考核；影响：内部质量核心绩效考核</t>
  </si>
  <si>
    <t>获奖成员类型</t>
  </si>
  <si>
    <t>获奖教职工的所在部门</t>
  </si>
  <si>
    <t>教学成果中的参与部门</t>
  </si>
  <si>
    <t>HQ_RS_TEACH_RES_JOINDEPT</t>
  </si>
  <si>
    <t>教职工/部门教学成果的参与部门。用途：解析部门绩效考核；影响：内部质量核心绩效考核</t>
  </si>
  <si>
    <t>教学成果ID</t>
  </si>
  <si>
    <t>教学成果</t>
  </si>
  <si>
    <t>该项教学成果参与部门</t>
  </si>
  <si>
    <t>参与该项教学成果的教育教学部门</t>
  </si>
  <si>
    <t>教职工社会荣誉信息</t>
  </si>
  <si>
    <t>HQ_RS_HONOR</t>
  </si>
  <si>
    <t>教职工社会荣誉信息。用途：解析部门绩效考核；影响：内部质量核心绩效考核</t>
  </si>
  <si>
    <t>申报部门</t>
  </si>
  <si>
    <t>获奖人所属的教育教学部</t>
  </si>
  <si>
    <t>社会荣誉名称</t>
  </si>
  <si>
    <t>社会荣誉开始时间</t>
  </si>
  <si>
    <t>DATE_BEGIN</t>
  </si>
  <si>
    <t>社会荣誉结束时间</t>
  </si>
  <si>
    <t>DATE_END</t>
  </si>
  <si>
    <t>例：2018-09-01</t>
  </si>
  <si>
    <t>聘任机构</t>
  </si>
  <si>
    <t>社会荣誉的聘任机构</t>
  </si>
  <si>
    <t>PRJG_NAME</t>
  </si>
  <si>
    <t>类别ID</t>
  </si>
  <si>
    <t>社会荣誉类别的信息</t>
  </si>
  <si>
    <t>HONOR_PID_ID</t>
  </si>
  <si>
    <t>专家库成员、学会或协会</t>
  </si>
  <si>
    <t>select * from HQ_CODE_HONOR where level_ = 1</t>
  </si>
  <si>
    <t>HQ_CODE_HONOR</t>
  </si>
  <si>
    <t>类别子类ID</t>
  </si>
  <si>
    <t>社会荣誉类别子类的信息</t>
  </si>
  <si>
    <t>HONOR_ID</t>
  </si>
  <si>
    <t>select * from HQ_CODE_HONOR where level_ = 2</t>
  </si>
  <si>
    <t>社会荣誉级别CODE</t>
  </si>
  <si>
    <t>社会荣誉的级别</t>
  </si>
  <si>
    <t>HONOR_LEVEL_CODE</t>
  </si>
  <si>
    <t>1 国家级，2 省部级，3 市厅局级，4 院/校级，9 其他</t>
  </si>
  <si>
    <t>该社会荣誉的数据归档年份</t>
  </si>
  <si>
    <t>专业基本信息</t>
  </si>
  <si>
    <t>学校专业信息表，系统运行使用基础信息，不可缺少</t>
  </si>
  <si>
    <t>学校一般把专业方向当成一个专业使用，导致与国标专业数量不一致的问题（采用校标专业与国标专业映射）</t>
  </si>
  <si>
    <r>
      <rPr>
        <sz val="12"/>
        <color theme="1"/>
        <rFont val="微软雅黑"/>
        <charset val="134"/>
      </rPr>
      <t>主键，无特殊含义，唯一标识，不可重复；</t>
    </r>
    <r>
      <rPr>
        <sz val="12"/>
        <color rgb="FFFF0000"/>
        <rFont val="微软雅黑"/>
        <charset val="134"/>
      </rPr>
      <t>和组织机构保持一致</t>
    </r>
  </si>
  <si>
    <r>
      <rPr>
        <sz val="12"/>
        <color theme="1"/>
        <rFont val="微软雅黑"/>
        <charset val="134"/>
      </rPr>
      <t>校标专业代码，</t>
    </r>
    <r>
      <rPr>
        <sz val="12"/>
        <color rgb="FFFF0000"/>
        <rFont val="微软雅黑"/>
        <charset val="134"/>
      </rPr>
      <t>和组织机构保持一致</t>
    </r>
  </si>
  <si>
    <t>专业名称</t>
  </si>
  <si>
    <t>专业所属院系</t>
  </si>
  <si>
    <t>所属院系代码</t>
  </si>
  <si>
    <t>select code_ from HQ_CODE_dept t where t.level_type='YX'</t>
  </si>
  <si>
    <t>专业的排序号</t>
  </si>
  <si>
    <t>排序号，学校对页面专业的显示顺序如有要求，可在此维护序号</t>
  </si>
  <si>
    <t>专业是否可用</t>
  </si>
  <si>
    <t>用于标识当前可用的专业，1：是，0：否</t>
  </si>
  <si>
    <t>批准年</t>
  </si>
  <si>
    <t>批准开设的年份</t>
  </si>
  <si>
    <t>YEAR_PZ</t>
  </si>
  <si>
    <t>批准开设专业的年份，如：2017</t>
  </si>
  <si>
    <t>首次招生年</t>
  </si>
  <si>
    <t>首次招生的年份</t>
  </si>
  <si>
    <t>YEAR_ZS</t>
  </si>
  <si>
    <t>首次招生年份，如：2018</t>
  </si>
  <si>
    <t>停止招生年</t>
  </si>
  <si>
    <t>停止招生的年份</t>
  </si>
  <si>
    <t>YEAR_TZ</t>
  </si>
  <si>
    <t>停止招生年份，如：2019</t>
  </si>
  <si>
    <t>修业年限</t>
  </si>
  <si>
    <t>该专业的学生在校学习的年限</t>
  </si>
  <si>
    <t>XYNX</t>
  </si>
  <si>
    <t>该专业的学生在校学习的年限，如：3</t>
  </si>
  <si>
    <t>重点专业类型CODE</t>
  </si>
  <si>
    <t>重点专业类型</t>
  </si>
  <si>
    <t>ZDZY_CODE</t>
  </si>
  <si>
    <t>1：国家级，2：省级，3：地市级，4：校级</t>
  </si>
  <si>
    <t>select * from HQ_CODE t where t.group_type='ZDZY_CODE'</t>
  </si>
  <si>
    <t>特色专业类型CODE</t>
  </si>
  <si>
    <t>特色专业类型</t>
  </si>
  <si>
    <t>TSZY_CODE</t>
  </si>
  <si>
    <t>1：国家级，2：省级</t>
  </si>
  <si>
    <t>select * from HQ_CODE t where t.group_type='TSZY_CODE'</t>
  </si>
  <si>
    <t>是否现代学徒制</t>
  </si>
  <si>
    <t>是否为现代学徒试点专业</t>
  </si>
  <si>
    <t>IS_XDXTZ</t>
  </si>
  <si>
    <t>该专业是否为现代学徒试点专业，1：是，0：否</t>
  </si>
  <si>
    <t>是否国际合作专业</t>
  </si>
  <si>
    <t>是否为国际合作专业</t>
  </si>
  <si>
    <t>IS_GJHZ</t>
  </si>
  <si>
    <t>该专业是否为国际合作专业，1：是，0：否</t>
  </si>
  <si>
    <t>是否校企合作</t>
  </si>
  <si>
    <t>是否为校企合作</t>
  </si>
  <si>
    <t>IS_XQHZ</t>
  </si>
  <si>
    <t>该专业是否为校企合作，1：是，0：否</t>
  </si>
  <si>
    <t>校内专业带头人名称</t>
  </si>
  <si>
    <t>校内专业带头人姓名</t>
  </si>
  <si>
    <t>DTR_IN_NAMES</t>
  </si>
  <si>
    <t>校内专业带头人姓名，多个带头人以英文半角逗号隔开，如：张老师，李老师</t>
  </si>
  <si>
    <t>VARCHAR2(256)</t>
  </si>
  <si>
    <t>校外专业带头人名称</t>
  </si>
  <si>
    <t>校外专业带头人姓名</t>
  </si>
  <si>
    <t>DTR_OUT_NAMES</t>
  </si>
  <si>
    <t>校外专业带头人姓名，多个带头人以英文半角逗号隔开，如：张老师，李老师</t>
  </si>
  <si>
    <t>专业负责人NO</t>
  </si>
  <si>
    <t>专业负责人工号</t>
  </si>
  <si>
    <t>专业负责人工号，专业发展中心使用</t>
  </si>
  <si>
    <t>select tea_no from hq_rs_tea t</t>
  </si>
  <si>
    <t>hq_rs_tea</t>
  </si>
  <si>
    <t>专业名称拼音简拼</t>
  </si>
  <si>
    <t>专业分类</t>
  </si>
  <si>
    <t>专业的培养层次</t>
  </si>
  <si>
    <t>ZYFL_CODE</t>
  </si>
  <si>
    <t>1：本科；2：专科；3：专升本；用于人才培养方案</t>
  </si>
  <si>
    <t>select * from HQ_CODE t where t.group_type='ZYFL_CODE'</t>
  </si>
  <si>
    <t>入学要求</t>
  </si>
  <si>
    <t>学生入学要求</t>
  </si>
  <si>
    <t>RXYQ</t>
  </si>
  <si>
    <t>例：高中阶段教育毕业生或具有同等学力者</t>
  </si>
  <si>
    <t xml:space="preserve"> </t>
  </si>
  <si>
    <t>专业的备注信息</t>
  </si>
  <si>
    <t>备注信息</t>
  </si>
  <si>
    <t>专业名称的简称</t>
  </si>
  <si>
    <t>新增的字段【2021-09-01】新增的字段【2021-09-01】</t>
  </si>
  <si>
    <t>专业简称的拼音</t>
  </si>
  <si>
    <t>每学年的专业基本信息</t>
  </si>
  <si>
    <t>HQ_CODE_MAJOR_XN</t>
  </si>
  <si>
    <t>院系DM</t>
  </si>
  <si>
    <t>学年周期</t>
  </si>
  <si>
    <t>学年周期，例：2019-2020</t>
  </si>
  <si>
    <t>VARCHAR2(9)</t>
  </si>
  <si>
    <t>新增的字段【2021-09-01】</t>
  </si>
  <si>
    <t>每年的专业基本信息</t>
  </si>
  <si>
    <t>HQ_CODE_MAJOR_YEAR</t>
  </si>
  <si>
    <t>该专业的备注信息</t>
  </si>
  <si>
    <t>年度周期</t>
  </si>
  <si>
    <t>专业带头人信息</t>
  </si>
  <si>
    <t>HQ_CODE_MAJOR_DTR</t>
  </si>
  <si>
    <t>一个专业的校内、校外带头人可能有多个</t>
  </si>
  <si>
    <t>主键，无特殊含义，唯一标识，不可重复</t>
  </si>
  <si>
    <t>任职专业</t>
  </si>
  <si>
    <t>带头人工号</t>
  </si>
  <si>
    <t>专业带头人工号</t>
  </si>
  <si>
    <t>校外负责人可能没有工号</t>
  </si>
  <si>
    <t>带头人名称</t>
  </si>
  <si>
    <t>专业带头人名称</t>
  </si>
  <si>
    <t>带头人类型</t>
  </si>
  <si>
    <t>专业带头人类型（校内、校外）</t>
  </si>
  <si>
    <t>TYPE_</t>
  </si>
  <si>
    <t>1：校内；2：校外</t>
  </si>
  <si>
    <t>顺序</t>
  </si>
  <si>
    <t>专业带头人顺序</t>
  </si>
  <si>
    <t>学校专业对应的国标专业</t>
  </si>
  <si>
    <t>HQ_CODE_MAJOR_MAPPER</t>
  </si>
  <si>
    <t>校标专业与国标专业对应映射表</t>
  </si>
  <si>
    <t>教务处，通常需要手工对应并确认对应关系</t>
  </si>
  <si>
    <t>主键，唯一</t>
  </si>
  <si>
    <t>校标专业CODE</t>
  </si>
  <si>
    <t>学校专业</t>
  </si>
  <si>
    <t>校标专业代码</t>
  </si>
  <si>
    <t xml:space="preserve">select code_ from HQ_CODE_major </t>
  </si>
  <si>
    <t>国标专业CODE</t>
  </si>
  <si>
    <t>国标专业的代码</t>
  </si>
  <si>
    <t>GB_MAJOR_CODE</t>
  </si>
  <si>
    <t>国标专业代码</t>
  </si>
  <si>
    <t xml:space="preserve">select * from HQ_GB_MAJOR_CATALOGUE </t>
  </si>
  <si>
    <t>HQ_GB_MAJOR_CATALOGUE</t>
  </si>
  <si>
    <t>国标专业名称</t>
  </si>
  <si>
    <t>国标专业的名称</t>
  </si>
  <si>
    <t>GB_MAJOR_NAME</t>
  </si>
  <si>
    <t>国标专业方向CODE</t>
  </si>
  <si>
    <t>专业方向的代码</t>
  </si>
  <si>
    <t>GB_MAJOR_FX_CODE</t>
  </si>
  <si>
    <t>国标专业方向代码</t>
  </si>
  <si>
    <t>国标专业方向名称</t>
  </si>
  <si>
    <t>专业方向的名称</t>
  </si>
  <si>
    <t>GB_MAJOR_FX_NAME</t>
  </si>
  <si>
    <t>是否可用，1：是，0：否</t>
  </si>
  <si>
    <t>国标专业目录表</t>
  </si>
  <si>
    <t>国标专业目录表。用途：学校最基础的行政/教学组织机构，影响：系统无法运行</t>
  </si>
  <si>
    <t>国标专业货分类代码</t>
  </si>
  <si>
    <t>国标专业货分类名称</t>
  </si>
  <si>
    <t>SHORT_PINYIN</t>
  </si>
  <si>
    <t>国标专业的培养层次</t>
  </si>
  <si>
    <t>开设年份</t>
  </si>
  <si>
    <t>国标专业的开设年份</t>
  </si>
  <si>
    <t>专业备案信息</t>
  </si>
  <si>
    <t>HQ_OUT_MAJOR_RECORDS</t>
  </si>
  <si>
    <t>全部专业备案表，网上获取（爬虫），系统已经自动处理</t>
  </si>
  <si>
    <t>学校CODE</t>
  </si>
  <si>
    <t>学校代码</t>
  </si>
  <si>
    <t>SCHOOL_CODE</t>
  </si>
  <si>
    <t>SCHOOL_NAME</t>
  </si>
  <si>
    <t>专业CODE</t>
  </si>
  <si>
    <t>国标专业</t>
  </si>
  <si>
    <t>招生年份</t>
  </si>
  <si>
    <t>专业招生年份</t>
  </si>
  <si>
    <t>YEAR</t>
  </si>
  <si>
    <t>专业的课程信息</t>
  </si>
  <si>
    <t>HQ_JX_MAJOR_COURSE</t>
  </si>
  <si>
    <t>专业课程信息表，课程与专业关联，才具有其相关的属性</t>
  </si>
  <si>
    <t>同一门课程在不同的专业中的属性不一样</t>
  </si>
  <si>
    <t>教务处，部分信息可以从人才状态库补采获取</t>
  </si>
  <si>
    <t>课程代码</t>
  </si>
  <si>
    <t>课程名称</t>
  </si>
  <si>
    <t>重点课程级别CODE</t>
  </si>
  <si>
    <t>重点课程级别</t>
  </si>
  <si>
    <t>ZDKC_GRADE_CODE</t>
  </si>
  <si>
    <t>1：国家级，2：省部级，3：地市级；4：院校级，5：一般课程</t>
  </si>
  <si>
    <t>select * from HQ_CODE t where t.group_type='ZDKC_GRADE_CODE'</t>
  </si>
  <si>
    <t>精品课程级别CODE</t>
  </si>
  <si>
    <t>精品课程级别</t>
  </si>
  <si>
    <t>JPKC_GRADE_CODE</t>
  </si>
  <si>
    <t>select * from HQ_CODE t where t.group_type='JPKC_GRADE_CODE'</t>
  </si>
  <si>
    <t>课程类型CODE</t>
  </si>
  <si>
    <t>课程类型</t>
  </si>
  <si>
    <t>COURSE_TYPE_CODE</t>
  </si>
  <si>
    <t>A类（纯理论课）/B类（（理论＋实践）课）/ C类（纯实践课）</t>
  </si>
  <si>
    <t>课程属性CODE</t>
  </si>
  <si>
    <t>课程属性</t>
  </si>
  <si>
    <t>COURSE_ATTR_CODE</t>
  </si>
  <si>
    <t>公共课、专业基础课、专业课。</t>
  </si>
  <si>
    <t>课程性质CODE</t>
  </si>
  <si>
    <t>课程性质</t>
  </si>
  <si>
    <t>COURSE_NATURE_CODE</t>
  </si>
  <si>
    <t>课程性质（单一选项）：必修课/专业选修课/公共选修课。</t>
  </si>
  <si>
    <t>课程负责人NO</t>
  </si>
  <si>
    <t>课程负责人</t>
  </si>
  <si>
    <t>课时数</t>
  </si>
  <si>
    <t>PERIOD_COUNT</t>
  </si>
  <si>
    <t>NUMBER(10)</t>
  </si>
  <si>
    <t>理论课时数</t>
  </si>
  <si>
    <t>PERIOD_THEORY</t>
  </si>
  <si>
    <t>实践课时数</t>
  </si>
  <si>
    <t>PERIOD_PRACTICE</t>
  </si>
  <si>
    <t>是否核心课程</t>
  </si>
  <si>
    <t>是否是核心课程</t>
  </si>
  <si>
    <t>IS_CORE</t>
  </si>
  <si>
    <t>是否是校企合作课程</t>
  </si>
  <si>
    <t>是否课证融通</t>
  </si>
  <si>
    <t>IS_KZRT</t>
  </si>
  <si>
    <t>学分</t>
  </si>
  <si>
    <t>课程对应学分</t>
  </si>
  <si>
    <t>CREDIT</t>
  </si>
  <si>
    <t>NUMBER(4,1)</t>
  </si>
  <si>
    <t>课程承担单位ID</t>
  </si>
  <si>
    <t>课程承担单位</t>
  </si>
  <si>
    <t>所属专业</t>
  </si>
  <si>
    <t>课程所属专业</t>
  </si>
  <si>
    <t>授课学年</t>
  </si>
  <si>
    <t>授课学期</t>
  </si>
  <si>
    <t>授课年级</t>
  </si>
  <si>
    <t>SKNJ</t>
  </si>
  <si>
    <t>例：2018级、2019级、其他（混合级）</t>
  </si>
  <si>
    <t>授课年</t>
  </si>
  <si>
    <t>授课年份</t>
  </si>
  <si>
    <t>NUMBER(8)</t>
  </si>
  <si>
    <t>专业群信息</t>
  </si>
  <si>
    <t>HQ_CODE_MAJOR_GROUP</t>
  </si>
  <si>
    <t>专业群信息,相近专业组成一个群体，资源共享，共同发展</t>
  </si>
  <si>
    <t>专业群名称</t>
  </si>
  <si>
    <t>专业群负责人</t>
  </si>
  <si>
    <t>select tea_no from hq_rs_tea</t>
  </si>
  <si>
    <t>建立年月</t>
  </si>
  <si>
    <t>专业群建立年月</t>
  </si>
  <si>
    <t>YYYY-MM</t>
  </si>
  <si>
    <t>专业群层级编码</t>
  </si>
  <si>
    <t>MAJOR_GROUP_LEVEL_CODE</t>
  </si>
  <si>
    <t>专业群包含的专业</t>
  </si>
  <si>
    <t>HQ_CODE_MAJOR_GROUP_MAPPER</t>
  </si>
  <si>
    <t>专业群与专业关联信息</t>
  </si>
  <si>
    <t>专业群ID</t>
  </si>
  <si>
    <t>专业群</t>
  </si>
  <si>
    <t>MAJOR_GROUP_ID</t>
  </si>
  <si>
    <t>select id from HQ_CODE_major_group</t>
  </si>
  <si>
    <t>专业ID</t>
  </si>
  <si>
    <t>select code_ from HQ_CODE_major</t>
  </si>
  <si>
    <t>课程基本信息</t>
  </si>
  <si>
    <t>HQ_CODE_COURSE</t>
  </si>
  <si>
    <t>课程库代码数据，仅存储课程最基本的数据</t>
  </si>
  <si>
    <t>教务处（教务系统）</t>
  </si>
  <si>
    <r>
      <rPr>
        <sz val="12"/>
        <color theme="1"/>
        <rFont val="微软雅黑"/>
        <charset val="134"/>
      </rPr>
      <t xml:space="preserve">课程代码，通常为教务系统页面上提供给老师查看的编号，
</t>
    </r>
    <r>
      <rPr>
        <sz val="12"/>
        <color rgb="FFFF0000"/>
        <rFont val="微软雅黑"/>
        <charset val="134"/>
      </rPr>
      <t>注意不是教务系统内部使用的无意义唯一标识</t>
    </r>
  </si>
  <si>
    <t>首次开课年月</t>
  </si>
  <si>
    <t>课程的首次开课年月</t>
  </si>
  <si>
    <t>yyyy-mm，如：2018-06</t>
  </si>
  <si>
    <t>课程学分</t>
  </si>
  <si>
    <r>
      <rPr>
        <sz val="12"/>
        <color theme="1"/>
        <rFont val="微软雅黑"/>
        <charset val="134"/>
      </rPr>
      <t>B</t>
    </r>
    <r>
      <rPr>
        <sz val="12"/>
        <color theme="1"/>
        <rFont val="微软雅黑"/>
        <charset val="134"/>
      </rPr>
      <t>Z</t>
    </r>
  </si>
  <si>
    <r>
      <rPr>
        <sz val="12"/>
        <color theme="1"/>
        <rFont val="微软雅黑"/>
        <charset val="134"/>
      </rPr>
      <t>VARCHAR2(</t>
    </r>
    <r>
      <rPr>
        <sz val="12"/>
        <color theme="1"/>
        <rFont val="微软雅黑"/>
        <charset val="134"/>
      </rPr>
      <t>2</t>
    </r>
    <r>
      <rPr>
        <sz val="12"/>
        <color theme="1"/>
        <rFont val="微软雅黑"/>
        <charset val="134"/>
      </rPr>
      <t>00)</t>
    </r>
  </si>
  <si>
    <t>课程名称拼音简拼</t>
  </si>
  <si>
    <t>周学时</t>
  </si>
  <si>
    <t>课程的周学时</t>
  </si>
  <si>
    <t>PERIOD_WEEK</t>
  </si>
  <si>
    <t>教学周</t>
  </si>
  <si>
    <t>HQ_JX_JXZ</t>
  </si>
  <si>
    <t>学校上课周次基本信息，一般从学期开学开始计算</t>
  </si>
  <si>
    <t>教学周第一天:星期一/星期日</t>
  </si>
  <si>
    <t>周次</t>
  </si>
  <si>
    <t>WEEK</t>
  </si>
  <si>
    <t>1/2/3/...</t>
  </si>
  <si>
    <t>周开始日期</t>
  </si>
  <si>
    <t>教学周开始日期</t>
  </si>
  <si>
    <t>格式:yyyy-mm-dd</t>
  </si>
  <si>
    <t>周结束日期</t>
  </si>
  <si>
    <t>教学周结束日期</t>
  </si>
  <si>
    <t>教学周包含的每天的时间</t>
  </si>
  <si>
    <t>HQ_JX_JXZ_DAY</t>
  </si>
  <si>
    <t>日期</t>
  </si>
  <si>
    <t>星期</t>
  </si>
  <si>
    <t>DAY_OF_WEEK</t>
  </si>
  <si>
    <t>1/2/3/…7</t>
  </si>
  <si>
    <t>上课时间信息</t>
  </si>
  <si>
    <t>HQ_JX_PERIOD</t>
  </si>
  <si>
    <t>学校上课时间段基本信息，一般有冬夏时令之分(5.1/10.1)，不同校区/教学楼上课时间可能不一致</t>
  </si>
  <si>
    <t>冬夏季时间来源系统参数表</t>
  </si>
  <si>
    <t>节次段</t>
  </si>
  <si>
    <t>上课节次</t>
  </si>
  <si>
    <t>PERIOD</t>
  </si>
  <si>
    <t>1-3</t>
  </si>
  <si>
    <t>课程表节次</t>
  </si>
  <si>
    <t>夏季开始上课时间</t>
  </si>
  <si>
    <t>夏季上课开始时间</t>
  </si>
  <si>
    <t>XJ_BEGIN_HOUR_MIN</t>
  </si>
  <si>
    <t>8:00</t>
  </si>
  <si>
    <t>夏季结束上课时间</t>
  </si>
  <si>
    <t>夏季上课结束时间</t>
  </si>
  <si>
    <t>XJ_END_HOUR_MIN</t>
  </si>
  <si>
    <t>10:20</t>
  </si>
  <si>
    <t>冬季开始上课时间</t>
  </si>
  <si>
    <t>冬季上课开始时间</t>
  </si>
  <si>
    <t>DJ_BEGIN_HOUR_MIN</t>
  </si>
  <si>
    <t>8:20</t>
  </si>
  <si>
    <t>冬季结束上课时间</t>
  </si>
  <si>
    <t>冬季上课结束时间</t>
  </si>
  <si>
    <t>DJ_END_HOUR_MIN</t>
  </si>
  <si>
    <t>10:40</t>
  </si>
  <si>
    <t>XQ_IDS</t>
  </si>
  <si>
    <r>
      <rPr>
        <sz val="12"/>
        <color theme="1"/>
        <rFont val="微软雅黑"/>
        <charset val="134"/>
      </rPr>
      <t>多个校区ID，英文逗号分隔，</t>
    </r>
    <r>
      <rPr>
        <sz val="12"/>
        <color rgb="FFFF0000"/>
        <rFont val="微软雅黑"/>
        <charset val="134"/>
      </rPr>
      <t>与教学楼互斥，全校统一时间可为空</t>
    </r>
  </si>
  <si>
    <t>JXL_IDS</t>
  </si>
  <si>
    <r>
      <rPr>
        <sz val="12"/>
        <color theme="1"/>
        <rFont val="微软雅黑"/>
        <charset val="134"/>
      </rPr>
      <t>多个教学楼ID，英文逗号分隔，</t>
    </r>
    <r>
      <rPr>
        <sz val="12"/>
        <color rgb="FFFF0000"/>
        <rFont val="微软雅黑"/>
        <charset val="134"/>
      </rPr>
      <t>与校区互斥，全校统一时间可为空</t>
    </r>
  </si>
  <si>
    <t>教学班信息</t>
  </si>
  <si>
    <t>HQ_JX_TEACHCLASS</t>
  </si>
  <si>
    <t>由程序自动从课表解析生成，主要用于智慧课堂，专题分析等系统</t>
  </si>
  <si>
    <t>教学班编号</t>
  </si>
  <si>
    <t>教学班名称</t>
  </si>
  <si>
    <t>默认教务排课的上课班级，若有分组，则为“上课班级+分组名”</t>
  </si>
  <si>
    <t>课程CODE</t>
  </si>
  <si>
    <t>课程</t>
  </si>
  <si>
    <t>COURSE_CODE</t>
  </si>
  <si>
    <t>上课学年</t>
  </si>
  <si>
    <t>上课学期</t>
  </si>
  <si>
    <t>VARCHAR2(2)</t>
  </si>
  <si>
    <t>教学班的上课学生</t>
  </si>
  <si>
    <t>HQ_JX_TEACHCLASS_STU</t>
  </si>
  <si>
    <t>学生课程表信息，主要用于解析教学班-学生</t>
  </si>
  <si>
    <t>上课的学年</t>
  </si>
  <si>
    <t>上课的学期</t>
  </si>
  <si>
    <t>上课的课程</t>
  </si>
  <si>
    <t>TEACHCLASS_NAME</t>
  </si>
  <si>
    <t>教学班ID</t>
  </si>
  <si>
    <t>教学班的信息</t>
  </si>
  <si>
    <t>TEACHCLASS_ID</t>
  </si>
  <si>
    <t>学年+学期+课程+教学班名称，程序的解析逻辑</t>
  </si>
  <si>
    <t>上课学生</t>
  </si>
  <si>
    <t>教学班的授课教师</t>
  </si>
  <si>
    <t>HQ_JX_TEACHCLASS_TEA</t>
  </si>
  <si>
    <t>授课的学年</t>
  </si>
  <si>
    <t>授课的学期</t>
  </si>
  <si>
    <t>授课的课程</t>
  </si>
  <si>
    <t>授课教师</t>
  </si>
  <si>
    <t>课程表</t>
  </si>
  <si>
    <t>HQ_JX_KCB</t>
  </si>
  <si>
    <t>课程表信息（含学生选修课信息）</t>
  </si>
  <si>
    <t>周次明细(逗号分隔)</t>
  </si>
  <si>
    <t>课程周次明细</t>
  </si>
  <si>
    <t>WEEKS</t>
  </si>
  <si>
    <t>上课星期</t>
  </si>
  <si>
    <t>上课的星期</t>
  </si>
  <si>
    <t>上课节次段</t>
  </si>
  <si>
    <t>上课的节次段</t>
  </si>
  <si>
    <t>1-2</t>
  </si>
  <si>
    <t>开始节次</t>
  </si>
  <si>
    <t>上课开始的节次</t>
  </si>
  <si>
    <t>BEGIN_PERIOD</t>
  </si>
  <si>
    <t>截止节次</t>
  </si>
  <si>
    <t>上课截止的节次</t>
  </si>
  <si>
    <t>END_PERIOD</t>
  </si>
  <si>
    <t>授课方式</t>
  </si>
  <si>
    <t>课程授课方式</t>
  </si>
  <si>
    <t>LECTURE_TYPE_CODE</t>
  </si>
  <si>
    <t>上课教室</t>
  </si>
  <si>
    <t>课程类型_CODE</t>
  </si>
  <si>
    <t>课程属性_CODE</t>
  </si>
  <si>
    <t>课程性质_CODE</t>
  </si>
  <si>
    <t>上课周数</t>
  </si>
  <si>
    <t>上课的周数</t>
  </si>
  <si>
    <t>WEEK_COUNT</t>
  </si>
  <si>
    <t>一次上课节次数</t>
  </si>
  <si>
    <t>一次课包含的节次数</t>
  </si>
  <si>
    <t>ONCE_PERIOD_COUNT</t>
  </si>
  <si>
    <t>总节次数</t>
  </si>
  <si>
    <t>课程总的节次数</t>
  </si>
  <si>
    <t>授课教师数</t>
  </si>
  <si>
    <t>授课教师人数</t>
  </si>
  <si>
    <t>TEA_COUNT</t>
  </si>
  <si>
    <t>课程表的授课教师</t>
  </si>
  <si>
    <t>HQ_JX_KCB_TEA</t>
  </si>
  <si>
    <t>教师授课信息表，由程序自动从课表解析生成，主要用于智慧课堂，专题分析等系统</t>
  </si>
  <si>
    <t>课程表ID</t>
  </si>
  <si>
    <t>KCB_ID</t>
  </si>
  <si>
    <t>教职工号</t>
  </si>
  <si>
    <t>教职工的信息</t>
  </si>
  <si>
    <t>教职工表</t>
  </si>
  <si>
    <t>每天的每节课信息</t>
  </si>
  <si>
    <t>HQ_JX_KCB_PERIOD</t>
  </si>
  <si>
    <t>每“一大节课”的课表数据，例：1-2节</t>
  </si>
  <si>
    <t>课程的信息</t>
  </si>
  <si>
    <t>周次明细(只有一周)</t>
  </si>
  <si>
    <t>课程周次</t>
  </si>
  <si>
    <t>一次课的节次数</t>
  </si>
  <si>
    <t>上课开始时间</t>
  </si>
  <si>
    <t>PERIOD_BEGIN_TIME</t>
  </si>
  <si>
    <t>HH:MM</t>
  </si>
  <si>
    <t>上课结束时间</t>
  </si>
  <si>
    <t>PERIOD_END_TIME</t>
  </si>
  <si>
    <t>上课日期</t>
  </si>
  <si>
    <t>YYYY-MM-DD</t>
  </si>
  <si>
    <t>每天的每节课的授课教师</t>
  </si>
  <si>
    <t>HQ_JX_KCB_PERIOD_TEA</t>
  </si>
  <si>
    <t>节次课表的授课教师，由程序自动从课表和课表教师解析生成，主要用于智慧课堂，评价等系统</t>
  </si>
  <si>
    <t>节次课表ID</t>
  </si>
  <si>
    <t>每天的每节课</t>
  </si>
  <si>
    <t>KCB_PERIOD_ID</t>
  </si>
  <si>
    <t>教学班所属的专业</t>
  </si>
  <si>
    <t>HQ_JX_TEACHCLASS_MAJOR</t>
  </si>
  <si>
    <t>教学班</t>
  </si>
  <si>
    <t>教学班所属的行政班</t>
  </si>
  <si>
    <t>HQ_JX_TEACHCLASS_XZB</t>
  </si>
  <si>
    <t>由程序自动从课表解析生成，主要用于人才培养等系统</t>
  </si>
  <si>
    <t>行政班代码</t>
  </si>
  <si>
    <t>行政班</t>
  </si>
  <si>
    <t>学生基本信息</t>
  </si>
  <si>
    <t>学生基本信息，系统运行的基础，同时作为用户信息</t>
  </si>
  <si>
    <t>学籍部门，根据学校管理方式不一样，学籍管理也有所不同，有的在教务处，有的在学生处，有的在招生处，需要先明确学籍管理部门</t>
  </si>
  <si>
    <t>主键，唯一，通常取学号</t>
  </si>
  <si>
    <t>学号，不可重复</t>
  </si>
  <si>
    <t>学生姓名</t>
  </si>
  <si>
    <t>学生曾用名</t>
  </si>
  <si>
    <t>院系ID</t>
  </si>
  <si>
    <t>学生所属院系</t>
  </si>
  <si>
    <t>select id from HQ_CODE_dept t where t.level_type='YX'</t>
  </si>
  <si>
    <t>HQ_CODE_dept</t>
  </si>
  <si>
    <t>学生所属专业</t>
  </si>
  <si>
    <t>所属专业代码</t>
  </si>
  <si>
    <t>select id from HQ_CODE_dept t where t.level_type='ZY'</t>
  </si>
  <si>
    <t>学生所属班级</t>
  </si>
  <si>
    <t>所属班级代码</t>
  </si>
  <si>
    <t xml:space="preserve">select no_ from HQ_CODE_classes t </t>
  </si>
  <si>
    <t>HQ_CODE_classes</t>
  </si>
  <si>
    <t>学生姓名简拼</t>
  </si>
  <si>
    <t>姓名简拼</t>
  </si>
  <si>
    <t>学生出生日期</t>
  </si>
  <si>
    <t>BIRTHDAY</t>
  </si>
  <si>
    <t>出生日期，格式：2019-06-17</t>
  </si>
  <si>
    <t>学生身份证号</t>
  </si>
  <si>
    <t>性别CODE</t>
  </si>
  <si>
    <t>学生性别</t>
  </si>
  <si>
    <t>1：男，2：女</t>
  </si>
  <si>
    <t>select * from HQ_CODE t where t.group_type='SEX_CODE'</t>
  </si>
  <si>
    <t>民族CODE</t>
  </si>
  <si>
    <t>学生民族</t>
  </si>
  <si>
    <t>国标民族代码</t>
  </si>
  <si>
    <t>select * from HQ_CODE t where t.group_type='NATION_CODE'</t>
  </si>
  <si>
    <t>政治面貌CODE</t>
  </si>
  <si>
    <t>学生政治面貌</t>
  </si>
  <si>
    <t>select * from HQ_CODE t where t.group_type='POLITICS_CODE'</t>
  </si>
  <si>
    <t>户口性质CODE</t>
  </si>
  <si>
    <t>学生户口性质</t>
  </si>
  <si>
    <t>1：农村,2：县镇,3：城市</t>
  </si>
  <si>
    <t>select * from HQ_CODE t where t.group_type='ANMELDEN_CODE'</t>
  </si>
  <si>
    <t>学生就读专业的学习年限</t>
  </si>
  <si>
    <t>就读专业的学习年限</t>
  </si>
  <si>
    <t>学生的培养层次</t>
  </si>
  <si>
    <t>招生方式_CODE</t>
  </si>
  <si>
    <t>学生的招生方式</t>
  </si>
  <si>
    <t>RECRUIT_CODE</t>
  </si>
  <si>
    <t>高职类：1：基于高考的"知识+技能"招生，2：对口招生，3：单独考试招生，4：综合评价招生，5：中高职贯通的招生，6：技能拔尖人才免试招生，7：其他
中职类：待定</t>
  </si>
  <si>
    <t>select * from HQ_CODE t where t.group_type='RECRUIT_CODE'</t>
  </si>
  <si>
    <t>生源类型_CODE</t>
  </si>
  <si>
    <t>学生的生源类型</t>
  </si>
  <si>
    <t>STU_FROM_CODE</t>
  </si>
  <si>
    <t xml:space="preserve">高职类：1：普通高中生，2：三校生，3：3+2，4：五年制高职第4学年，5：其他；
中职类：11：本省（市）中考；12：跨省市中考；13：注册入学；14：3+2或五年一贯制；15：历届初中学生；16：区域合作办学；17：西藏新疆内地中职班 </t>
  </si>
  <si>
    <t>select * from HQ_CODE t where t.group_type='STU_FROM_CODE'</t>
  </si>
  <si>
    <t>入学日期</t>
  </si>
  <si>
    <t>学生的入学日期</t>
  </si>
  <si>
    <t>ENROLL_DATE</t>
  </si>
  <si>
    <t>入学日期，yyyy-mm，如：2018-09-01</t>
  </si>
  <si>
    <t>学生入学时所在的年份级</t>
  </si>
  <si>
    <t>ENROLL_GRADE</t>
  </si>
  <si>
    <t>入学时所在年级，如：2018</t>
  </si>
  <si>
    <t>学生状态CODE</t>
  </si>
  <si>
    <t>学生状态</t>
  </si>
  <si>
    <t>STU_STATE_CODE</t>
  </si>
  <si>
    <t>01：在读，02：休学，03：退学，04：停学，05：复学，06：流失，07：毕业，08：结业，09：肄业，12：保留入学资格，99：其他</t>
  </si>
  <si>
    <t>select * from HQ_CODE t where t.group_type='STU_STATE_CODE'</t>
  </si>
  <si>
    <t>学籍状态CODE</t>
  </si>
  <si>
    <t>学生学籍状态</t>
  </si>
  <si>
    <t>STU_ROLL_CODE</t>
  </si>
  <si>
    <t>1：在籍，2：不在籍，3：保留学籍</t>
  </si>
  <si>
    <t>select * from HQ_CODE t where t.group_type='STU_ROLL_CODE'</t>
  </si>
  <si>
    <t>生源地_ID</t>
  </si>
  <si>
    <t>学生生源所在地</t>
  </si>
  <si>
    <t>STU_ORIGIN_ID</t>
  </si>
  <si>
    <t>学生生源地行政区划代码</t>
  </si>
  <si>
    <t>select * from HQ_CODE_xzqh t</t>
  </si>
  <si>
    <t>HQ_CODE_XZQH</t>
  </si>
  <si>
    <t>户籍地址</t>
  </si>
  <si>
    <t>学生的户籍地址</t>
  </si>
  <si>
    <t>PLACE_DOMICILE</t>
  </si>
  <si>
    <t>学生户籍所在地地址</t>
  </si>
  <si>
    <t>VARCHAR2(300)</t>
  </si>
  <si>
    <t>学生的预计毕业学年</t>
  </si>
  <si>
    <t>预计毕业学年，根据所在班级的年级和学制进行判断：
((班级的年级+班级的学制)-1)||'-'||(班级的年级+班级的学制)</t>
  </si>
  <si>
    <t>学生的预计毕业日期</t>
  </si>
  <si>
    <t>预计毕业日期，根据所在班级的年级和学制进行判断：
(班级的年级+班级的学制)||'-07'</t>
  </si>
  <si>
    <t>学生的预计毕业年份</t>
  </si>
  <si>
    <t>预计毕业年，根据所在班级的年级和学制进行判断：
班级的年级+班级的学制</t>
  </si>
  <si>
    <t>港澳台侨CODE</t>
  </si>
  <si>
    <t>学生是否是港澳台侨胞</t>
  </si>
  <si>
    <t>GATQ_CODE</t>
  </si>
  <si>
    <t>01：香港同胞，02：香港同胞亲属，03：澳门同胞，04：澳门同胞亲属，05：台湾同胞，06：台湾同胞亲属，11：华侨，12：侨眷，13：归侨，14：归侨子女，21：归国留学人员，31：非华裔中国人，41：外籍华裔人，51：外国人，99：其他</t>
  </si>
  <si>
    <t>select * from HQ_CODE t where t.group_type='GATQ_CODE'</t>
  </si>
  <si>
    <t>生源学校</t>
  </si>
  <si>
    <t>学生毕业的中学名称</t>
  </si>
  <si>
    <t>SCHOOLTAG</t>
  </si>
  <si>
    <t>学生毕业中学名称</t>
  </si>
  <si>
    <t>是否在校</t>
  </si>
  <si>
    <t>学生是否在校</t>
  </si>
  <si>
    <t>标记当前有效的数据（学校认可的当前在校学生）</t>
  </si>
  <si>
    <t>生源类别</t>
  </si>
  <si>
    <t>学生的生源类别</t>
  </si>
  <si>
    <t>STU_SOURCE_LB_ID</t>
  </si>
  <si>
    <t>HQ_CODE_STU_SOURCE_LB</t>
  </si>
  <si>
    <t>学生类别</t>
  </si>
  <si>
    <t>STU_LB_ID</t>
  </si>
  <si>
    <t>HQ_CODE_STU_LB</t>
  </si>
  <si>
    <t>录取类别</t>
  </si>
  <si>
    <t>学生的录取类别</t>
  </si>
  <si>
    <t>ENROLL_LB_CODE</t>
  </si>
  <si>
    <t>培养方式</t>
  </si>
  <si>
    <t>学生的培养方式</t>
  </si>
  <si>
    <t>TRAIN_WAY_ID</t>
  </si>
  <si>
    <t>HQ_CODE_TRAIN_WAY</t>
  </si>
  <si>
    <t>IS_INSCHOOL</t>
  </si>
  <si>
    <t>当前阶段培养层次</t>
  </si>
  <si>
    <t>学生当前的培养阶段层次</t>
  </si>
  <si>
    <t>入学年份</t>
  </si>
  <si>
    <t>学生的入学年份</t>
  </si>
  <si>
    <t>ENROLL_YEAR</t>
  </si>
  <si>
    <t>学生当前所在的年级</t>
  </si>
  <si>
    <t>学生来源</t>
  </si>
  <si>
    <t>学生的来源</t>
  </si>
  <si>
    <t>STU_SOURCE_ID</t>
  </si>
  <si>
    <t>HQ_CODE_STU_SOURCE</t>
  </si>
  <si>
    <t>居住地</t>
  </si>
  <si>
    <t>学生的居住地</t>
  </si>
  <si>
    <t>LIVE_ORIGIN_ID</t>
  </si>
  <si>
    <t>国家代码</t>
  </si>
  <si>
    <t>学生的国籍</t>
  </si>
  <si>
    <t>联系电话</t>
  </si>
  <si>
    <t>学生联系电话</t>
  </si>
  <si>
    <t>银行卡号</t>
  </si>
  <si>
    <t>学生的银行卡号</t>
  </si>
  <si>
    <t>家庭电话</t>
  </si>
  <si>
    <t>学生的家庭电话</t>
  </si>
  <si>
    <t>HOME_PHONE</t>
  </si>
  <si>
    <t>家庭住址</t>
  </si>
  <si>
    <t>学生的家庭住址</t>
  </si>
  <si>
    <t>HOME_ADDRESS</t>
  </si>
  <si>
    <t>年级</t>
  </si>
  <si>
    <t>GRADE_NO</t>
  </si>
  <si>
    <t>数据中心解析。根据学生的总学制解析是几年级的学生（1、2、3、4、5），根据学制、上课年级、当前学年解析新增的字段【2021-09-13】</t>
  </si>
  <si>
    <t>银行姓名</t>
  </si>
  <si>
    <t>学生的银行卡开户行</t>
  </si>
  <si>
    <t>BANK_NAME</t>
  </si>
  <si>
    <t>新增的字段【2021-10-30】</t>
  </si>
  <si>
    <t>家长姓名</t>
  </si>
  <si>
    <t>学生的家长姓名</t>
  </si>
  <si>
    <t>PARENTS_NAME</t>
  </si>
  <si>
    <t>邮箱</t>
  </si>
  <si>
    <t>学生邮箱</t>
  </si>
  <si>
    <t>QQ</t>
  </si>
  <si>
    <t>学生QQ号</t>
  </si>
  <si>
    <t>微信</t>
  </si>
  <si>
    <t>学生微信号</t>
  </si>
  <si>
    <t>WECHAT</t>
  </si>
  <si>
    <t>学生的血型</t>
  </si>
  <si>
    <t>VARCHAR2(3)</t>
  </si>
  <si>
    <t>学生分类</t>
  </si>
  <si>
    <t>STU_CLASSIFY_CODE</t>
  </si>
  <si>
    <t>学籍号</t>
  </si>
  <si>
    <t>STU_ROLL_NO</t>
  </si>
  <si>
    <t>每年的学生基本信息</t>
  </si>
  <si>
    <t>HQ_XS_STU_YEAR</t>
  </si>
  <si>
    <t>VARCHAR2(18)</t>
  </si>
  <si>
    <t>学生入学时所在年份级</t>
  </si>
  <si>
    <t>HQ_CODE_xzqh</t>
  </si>
  <si>
    <t>hq_code_STU_SOURCE_LB</t>
  </si>
  <si>
    <t>hq_code_TRAIN_WAY</t>
  </si>
  <si>
    <t>hq_code_stu_lb</t>
  </si>
  <si>
    <t>hq_code_STU_SOURCE</t>
  </si>
  <si>
    <t>学生居住地</t>
  </si>
  <si>
    <t>国家</t>
  </si>
  <si>
    <t>每学期的学生基本信息</t>
  </si>
  <si>
    <t>HQ_XS_STU_XQ</t>
  </si>
  <si>
    <t>数据中心解析。根据学生的总学制解析是几年级的学生（1、2、3、4、5），根据学制、上课年级、当前学年解析;新增的字段【2021-09-13】</t>
  </si>
  <si>
    <t>学生照片信息</t>
  </si>
  <si>
    <t>HQ_XS_PHOTO</t>
  </si>
  <si>
    <t>学生照片信息表</t>
  </si>
  <si>
    <t>学籍、信息中心部门，通常学校已有照片数据</t>
  </si>
  <si>
    <t>学生照片名称</t>
  </si>
  <si>
    <t>学生照片格式</t>
  </si>
  <si>
    <t>学生照片大小</t>
  </si>
  <si>
    <t>学生照片标识码</t>
  </si>
  <si>
    <t>初期默认学号
通过唯一标识码调用文件下载服务器地址，后期可以统一做处理
http://***/data-quality/share/file/stu/{unique}/v1.0?app_key=***&amp;token=***</t>
  </si>
  <si>
    <t>学生照片更新时间</t>
  </si>
  <si>
    <t>学生学籍异动信息</t>
  </si>
  <si>
    <t>HQ_XS_CHANGE</t>
  </si>
  <si>
    <t>学籍异动信息</t>
  </si>
  <si>
    <t>要求采集3年异动数据</t>
  </si>
  <si>
    <t>学籍管理部门</t>
  </si>
  <si>
    <t>select no_ from hq_xs_stu</t>
  </si>
  <si>
    <t>hq_xs_stu</t>
  </si>
  <si>
    <t>异动类别_CODE</t>
  </si>
  <si>
    <t>学生学籍异动类别</t>
  </si>
  <si>
    <t>STU_CHANGE_CODE</t>
  </si>
  <si>
    <t>学籍异动类别代码</t>
  </si>
  <si>
    <t>select * from HQ_CODE t where t.group_type='STU_CHANGE_CODE'</t>
  </si>
  <si>
    <t>异动原因_CODE</t>
  </si>
  <si>
    <t>学生学籍异动原因</t>
  </si>
  <si>
    <t>CHANGE_REASON_CODE</t>
  </si>
  <si>
    <t>学籍异动原因代码</t>
  </si>
  <si>
    <t>select * from HQ_CODE t where t.group_type='CHANGE_REASON_CODE'</t>
  </si>
  <si>
    <t>学生学籍异动学年</t>
  </si>
  <si>
    <t>异动学年</t>
  </si>
  <si>
    <t>学生学籍异动学期</t>
  </si>
  <si>
    <t>异动学期</t>
  </si>
  <si>
    <t>异动日期</t>
  </si>
  <si>
    <t>学生学籍异动日期</t>
  </si>
  <si>
    <t>异动日期，yyyy-mm-dd 如：2019-06-17</t>
  </si>
  <si>
    <t>审批日期</t>
  </si>
  <si>
    <t>异动审批的日期</t>
  </si>
  <si>
    <t>SP_DATE</t>
  </si>
  <si>
    <t>审批日期，yyyy-mm-dd 如：2019-06-17</t>
  </si>
  <si>
    <t>审批文号</t>
  </si>
  <si>
    <t>异动审批的文号</t>
  </si>
  <si>
    <t>SPWH</t>
  </si>
  <si>
    <t>异动审批文号</t>
  </si>
  <si>
    <t>原学校</t>
  </si>
  <si>
    <t>学生学籍异动前的学校名称</t>
  </si>
  <si>
    <t>OLD_SCHOOL</t>
  </si>
  <si>
    <t>异动前的学校名称</t>
  </si>
  <si>
    <t>原院系</t>
  </si>
  <si>
    <t>学生学籍异动前的院系</t>
  </si>
  <si>
    <t>OLD_DEPT_ID</t>
  </si>
  <si>
    <t>异动前的院系代码</t>
  </si>
  <si>
    <t>select * from HQ_CODE_dept t where t.level_type='YX'</t>
  </si>
  <si>
    <t>原专业</t>
  </si>
  <si>
    <t>学生学籍异动前的专业</t>
  </si>
  <si>
    <t>OLD_MAJOR_CODE</t>
  </si>
  <si>
    <t>异动前的专业代码</t>
  </si>
  <si>
    <t>select * from HQ_CODE_dept t where t.level_type='ZY'</t>
  </si>
  <si>
    <t>原班级</t>
  </si>
  <si>
    <t>学生学籍异动前的班级</t>
  </si>
  <si>
    <t>OLD_CLASS_ID</t>
  </si>
  <si>
    <t>异动前的班级代码</t>
  </si>
  <si>
    <t xml:space="preserve">select * from HQ_CODE_classes t </t>
  </si>
  <si>
    <t>原年级</t>
  </si>
  <si>
    <t>学生学籍异动前所在年级</t>
  </si>
  <si>
    <t>OLD_GRADE</t>
  </si>
  <si>
    <t>异动前所在年级</t>
  </si>
  <si>
    <t>VARCHAR2(4)</t>
  </si>
  <si>
    <t>原学制</t>
  </si>
  <si>
    <t>学生学籍异动前的学制</t>
  </si>
  <si>
    <t>OLD_XZ</t>
  </si>
  <si>
    <t>异动前的学制</t>
  </si>
  <si>
    <t>现学校</t>
  </si>
  <si>
    <t>学生学籍异动后的学校名称</t>
  </si>
  <si>
    <t>NOW_SCHOOL</t>
  </si>
  <si>
    <t>异动后的学校名称</t>
  </si>
  <si>
    <t>现院系</t>
  </si>
  <si>
    <t>学生学籍异动后的院系</t>
  </si>
  <si>
    <t>NOW_DEPT_ID</t>
  </si>
  <si>
    <t>异动后的院系代码</t>
  </si>
  <si>
    <t>现专业</t>
  </si>
  <si>
    <t>学生学籍异动后的专业</t>
  </si>
  <si>
    <t>NOW_MAJOR_CODE</t>
  </si>
  <si>
    <t>异动后的专业代码</t>
  </si>
  <si>
    <t>现班级</t>
  </si>
  <si>
    <t>学生学籍异动后的班级</t>
  </si>
  <si>
    <t>NOW_CLASS_ID</t>
  </si>
  <si>
    <t>异动后的班级代码</t>
  </si>
  <si>
    <t>现年级</t>
  </si>
  <si>
    <t>学生学籍异动后的所在年级</t>
  </si>
  <si>
    <t>NOW_GRADE</t>
  </si>
  <si>
    <t>异动后所在年级</t>
  </si>
  <si>
    <t>现学制</t>
  </si>
  <si>
    <t>学生学籍异动后的学制</t>
  </si>
  <si>
    <t>NOW_XZ</t>
  </si>
  <si>
    <t>异动后的学制</t>
  </si>
  <si>
    <t>原学籍状态</t>
  </si>
  <si>
    <t>异动前的学籍状态</t>
  </si>
  <si>
    <t>OLD_STU_ROLL_CODE</t>
  </si>
  <si>
    <t>新增的字段【2021-08-26】</t>
  </si>
  <si>
    <t>原学生状态</t>
  </si>
  <si>
    <t>异动前的学生状态</t>
  </si>
  <si>
    <t>OLD_STU_STATE_CODE</t>
  </si>
  <si>
    <t>原是否在校</t>
  </si>
  <si>
    <t>学生异动前是否在校</t>
  </si>
  <si>
    <t>OLD_IS_INSCHOOL</t>
  </si>
  <si>
    <t>现学籍状态</t>
  </si>
  <si>
    <t>异动后的学籍状态</t>
  </si>
  <si>
    <t>NOW_STU_ROLL_CODE</t>
  </si>
  <si>
    <t>现学生状态</t>
  </si>
  <si>
    <t>异动后的学生状态</t>
  </si>
  <si>
    <t>NOW_STU_STATE_CODE</t>
  </si>
  <si>
    <t>现是否在校</t>
  </si>
  <si>
    <t>学生异动后是否在校</t>
  </si>
  <si>
    <t>NOW_IS_INSCHOOL</t>
  </si>
  <si>
    <t>评教结果信息</t>
  </si>
  <si>
    <t>HQ_JX_PJ_PJ</t>
  </si>
  <si>
    <t>评价对象类型</t>
  </si>
  <si>
    <t>OBJECT_TYPE_CODE</t>
  </si>
  <si>
    <t>评价对象类型 两种(课程节次表、教师)</t>
  </si>
  <si>
    <t>评价对象ID</t>
  </si>
  <si>
    <t>评价对象</t>
  </si>
  <si>
    <t>OBJECT_ID</t>
  </si>
  <si>
    <t>被评对象id(评价对象ID是节次课表ID（随堂评价）或教师ID(期中评价、期末评价、同行评价、督导评价、检查评价))</t>
  </si>
  <si>
    <t>2022-01-13后
废弃，不利于共享</t>
  </si>
  <si>
    <t>综合平均分</t>
  </si>
  <si>
    <t>SCORE</t>
  </si>
  <si>
    <t>平均分保留两位小数</t>
  </si>
  <si>
    <t>评价类型</t>
  </si>
  <si>
    <t>ASSESS_TYPE_CODE</t>
  </si>
  <si>
    <t>评价类型代码 学生评教（随堂评价、期中评价、期末评价）、教师评教（同行评价、督导评价、检查评价）</t>
  </si>
  <si>
    <t>评教针对的学年</t>
  </si>
  <si>
    <t>评教针对的学期</t>
  </si>
  <si>
    <t>被评对象-教师</t>
  </si>
  <si>
    <t>被评教师</t>
  </si>
  <si>
    <t>评价对象：教师评价、教师课程评价;新增的字段【2022-01-13】</t>
  </si>
  <si>
    <t>被评对象-课程</t>
  </si>
  <si>
    <t>被评教师所教的课程</t>
  </si>
  <si>
    <t>评价对象：教师课程评价;新增的字段【2022-01-13】</t>
  </si>
  <si>
    <t>被评对象-教学班ID</t>
  </si>
  <si>
    <t>被评教师所教的教学班</t>
  </si>
  <si>
    <t>评价对象：随堂评价;新增的字段【2022-01-13】</t>
  </si>
  <si>
    <t>被评对象-上课周次（只有一周）</t>
  </si>
  <si>
    <t>被评教师的上课周次</t>
  </si>
  <si>
    <t>评价对象：随堂评价；值：1、2、5、9等任意周次;新增的字段【2022-01-13】</t>
  </si>
  <si>
    <t>被评对象-上课星期</t>
  </si>
  <si>
    <t>被评教师的上课星期</t>
  </si>
  <si>
    <t>评价对象：随堂评价；值：1、2、3、4、5、6、7;新增的字段【2022-01-13】</t>
  </si>
  <si>
    <t>被评对象-上课节次</t>
  </si>
  <si>
    <t>被评教师的上课节次</t>
  </si>
  <si>
    <t>评价对象：随堂评价；值：1-2、1-4、3-4……;新增的字段【2022-01-13】</t>
  </si>
  <si>
    <t>学生评教（随堂评价、期中评价、期末评价）明细</t>
  </si>
  <si>
    <t>HQ_JX_PJ_XSPJ</t>
  </si>
  <si>
    <t>随堂评价、期中评价、期末评价 明细</t>
  </si>
  <si>
    <t>结果表ID</t>
  </si>
  <si>
    <t>RESULT_ID</t>
  </si>
  <si>
    <t>评价人ID</t>
  </si>
  <si>
    <t>评价人</t>
  </si>
  <si>
    <t>ASSESS_PERSON_ID</t>
  </si>
  <si>
    <t>评价人（学生学号）</t>
  </si>
  <si>
    <t>评价状态</t>
  </si>
  <si>
    <t>学生评教的状态</t>
  </si>
  <si>
    <t>STATUS</t>
  </si>
  <si>
    <t>评价状态（1 已评、0 未评）</t>
  </si>
  <si>
    <t>评价分值</t>
  </si>
  <si>
    <t>学生评教的分值</t>
  </si>
  <si>
    <t>评分</t>
  </si>
  <si>
    <t>建议意见</t>
  </si>
  <si>
    <t>学生评教的建议及意见</t>
  </si>
  <si>
    <t>CONTENT</t>
  </si>
  <si>
    <t>同行评价、督导评价、检查评价明细</t>
  </si>
  <si>
    <t>HQ_JX_PJ_JSPJ</t>
  </si>
  <si>
    <t>同行评价、督导评价、检查评价 明细</t>
  </si>
  <si>
    <t>评价人（教职工号）</t>
  </si>
  <si>
    <t>教师评教的状态</t>
  </si>
  <si>
    <t>教师评教的分值</t>
  </si>
  <si>
    <t>教师评教的建议及意见</t>
  </si>
  <si>
    <t>学生综合测评的总成绩</t>
  </si>
  <si>
    <t>HQ_XS_STU_ZHCP_ZHCJ</t>
  </si>
  <si>
    <t>学工处</t>
  </si>
  <si>
    <t>综合测评的学生</t>
  </si>
  <si>
    <t>综合测评的学年</t>
  </si>
  <si>
    <t>综合测评的学期</t>
  </si>
  <si>
    <t>综合成绩</t>
  </si>
  <si>
    <t>综合测评总分</t>
  </si>
  <si>
    <t>总分</t>
  </si>
  <si>
    <t>number(8,2)</t>
  </si>
  <si>
    <t>学生综合测评的各类型的得分</t>
  </si>
  <si>
    <t>HQ_XS_STU_ZHCP_CPCJ</t>
  </si>
  <si>
    <t>学生综合测评按类型得分汇总</t>
  </si>
  <si>
    <t>测评的学生</t>
  </si>
  <si>
    <t>测评的学年</t>
  </si>
  <si>
    <t>学年，2018-2019</t>
  </si>
  <si>
    <t>测评的学期</t>
  </si>
  <si>
    <t>学期，01：第一学期，02：第二学期</t>
  </si>
  <si>
    <t>测评类型的总分</t>
  </si>
  <si>
    <t>对应测评类型的总分</t>
  </si>
  <si>
    <t>基础分</t>
  </si>
  <si>
    <t>测评类型的基础分</t>
  </si>
  <si>
    <t>BASE_SCORE</t>
  </si>
  <si>
    <t>对应测评类型的基础分</t>
  </si>
  <si>
    <t>奖励分</t>
  </si>
  <si>
    <t>测评类型的奖励分</t>
  </si>
  <si>
    <t>ADD_SCORE</t>
  </si>
  <si>
    <t>对应测评类型的奖励分</t>
  </si>
  <si>
    <t>扣分</t>
  </si>
  <si>
    <t>测评类型的扣分</t>
  </si>
  <si>
    <t>SUB_SCORE</t>
  </si>
  <si>
    <t>对应测评类型的扣分</t>
  </si>
  <si>
    <t>测评类型代码</t>
  </si>
  <si>
    <t>测评类型</t>
  </si>
  <si>
    <t>CPLX_ID</t>
  </si>
  <si>
    <t>select * from HQ_XS_STU_ZHCP_CPLX</t>
  </si>
  <si>
    <t>HQ_XS_STU_ZHCP_CPLX</t>
  </si>
  <si>
    <t>学生综合测评的加减分项目明细</t>
  </si>
  <si>
    <t>HQ_XS_STU_ZHCP_JJFSJ</t>
  </si>
  <si>
    <t>综合测评学生加减分项目明细列表</t>
  </si>
  <si>
    <t>项目编号</t>
  </si>
  <si>
    <t>测评的规则</t>
  </si>
  <si>
    <t>JJFGZ_ID</t>
  </si>
  <si>
    <t>关联加减分规则表code_字段</t>
  </si>
  <si>
    <t>HQ_XS_STU_ZHCP_JJFGZ</t>
  </si>
  <si>
    <t>活动内容</t>
  </si>
  <si>
    <t>测评的原因</t>
  </si>
  <si>
    <t>分数</t>
  </si>
  <si>
    <t>测评的分数</t>
  </si>
  <si>
    <t>NUMBER(8,2)</t>
  </si>
  <si>
    <t>测评的年级</t>
  </si>
  <si>
    <t>学生所在年级</t>
  </si>
  <si>
    <t>时间</t>
  </si>
  <si>
    <t>测评的时间</t>
  </si>
  <si>
    <t>yyyy-mm-dd hh24:mi:ss</t>
  </si>
  <si>
    <t>学生综合测评的测评类型</t>
  </si>
  <si>
    <t>综合测评的类型，可为树状。（如：思想政治，科学文化素质等等）</t>
  </si>
  <si>
    <t>不能重复，通常与ID一致</t>
  </si>
  <si>
    <t>测评类型名称</t>
  </si>
  <si>
    <t>number(1)</t>
  </si>
  <si>
    <t>上级类型ID</t>
  </si>
  <si>
    <t>全析码</t>
  </si>
  <si>
    <t>0001/00010001</t>
  </si>
  <si>
    <t>类型在总分汇总时所占比重</t>
  </si>
  <si>
    <t>number(2)</t>
  </si>
  <si>
    <t>学生综合测评的评分规则</t>
  </si>
  <si>
    <t>综合测评加减分具体项目的信息，如：拾金不昧，加10分；迟到，减2分等</t>
  </si>
  <si>
    <t>规则代码</t>
  </si>
  <si>
    <t>测评规则代码</t>
  </si>
  <si>
    <t>测评类型表ID</t>
  </si>
  <si>
    <t>测评内容</t>
  </si>
  <si>
    <t>提交单位</t>
  </si>
  <si>
    <t>规则制定单位</t>
  </si>
  <si>
    <t>提交该规则的单位，或者需要审核该规则的单位，通常为学工处</t>
  </si>
  <si>
    <t>分值</t>
  </si>
  <si>
    <t>测评分值</t>
  </si>
  <si>
    <t>加分为正数，扣分为负数</t>
  </si>
  <si>
    <t>加减分标识</t>
  </si>
  <si>
    <t>是否加分项</t>
  </si>
  <si>
    <t>ISADD</t>
  </si>
  <si>
    <t>状态</t>
  </si>
  <si>
    <t>加减分是否可用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</si>
</sst>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u/>
      <sz val="12"/>
      <color theme="10"/>
      <name val="宋体"/>
      <charset val="134"/>
      <scheme val="minor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b/>
      <sz val="12"/>
      <color theme="1"/>
      <name val="微软雅黑"/>
      <charset val="134"/>
    </font>
    <font>
      <sz val="20"/>
      <color rgb="FFFF0000"/>
      <name val="微软雅黑"/>
      <charset val="134"/>
    </font>
    <font>
      <u/>
      <sz val="12"/>
      <color rgb="FF800080"/>
      <name val="宋体"/>
      <charset val="134"/>
      <scheme val="minor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trike/>
      <sz val="12"/>
      <color theme="1"/>
      <name val="微软雅黑"/>
      <charset val="134"/>
    </font>
    <font>
      <strike/>
      <sz val="20"/>
      <color rgb="FFFF0000"/>
      <name val="微软雅黑"/>
      <charset val="134"/>
    </font>
    <font>
      <sz val="16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  <font>
      <sz val="12"/>
      <color theme="5"/>
      <name val="微软雅黑"/>
      <charset val="134"/>
    </font>
    <font>
      <strike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5"/>
      <color rgb="FF080808"/>
      <name val="Courier New"/>
      <charset val="134"/>
    </font>
    <font>
      <sz val="15"/>
      <color rgb="FF1750EB"/>
      <name val="Courier New"/>
      <charset val="134"/>
    </font>
    <font>
      <i/>
      <sz val="15"/>
      <color rgb="FF8C8C8C"/>
      <name val="宋体"/>
      <charset val="134"/>
    </font>
    <font>
      <i/>
      <sz val="15"/>
      <color rgb="FF8C8C8C"/>
      <name val="Courier New"/>
      <charset val="134"/>
    </font>
    <font>
      <b/>
      <sz val="10"/>
      <color rgb="FFFF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2" borderId="18" applyNumberFormat="0" applyAlignment="0" applyProtection="0">
      <alignment vertical="center"/>
    </xf>
    <xf numFmtId="0" fontId="28" fillId="13" borderId="19" applyNumberFormat="0" applyAlignment="0" applyProtection="0">
      <alignment vertical="center"/>
    </xf>
    <xf numFmtId="0" fontId="29" fillId="13" borderId="18" applyNumberFormat="0" applyAlignment="0" applyProtection="0">
      <alignment vertical="center"/>
    </xf>
    <xf numFmtId="0" fontId="30" fillId="14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6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0" borderId="6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8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1" fillId="0" borderId="1" xfId="6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1" xfId="6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0" fontId="7" fillId="0" borderId="1" xfId="6" applyFont="1" applyBorder="1" applyAlignment="1">
      <alignment vertical="center" wrapText="1"/>
    </xf>
    <xf numFmtId="0" fontId="3" fillId="4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4" borderId="11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Fill="1" applyBorder="1">
      <alignment vertical="center"/>
    </xf>
    <xf numFmtId="0" fontId="9" fillId="4" borderId="12" xfId="0" applyFont="1" applyFill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0" fillId="0" borderId="13" xfId="0" applyFont="1" applyBorder="1">
      <alignment vertical="center"/>
    </xf>
    <xf numFmtId="0" fontId="4" fillId="0" borderId="12" xfId="0" applyFont="1" applyBorder="1">
      <alignment vertical="center"/>
    </xf>
    <xf numFmtId="0" fontId="3" fillId="0" borderId="1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4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12" fillId="0" borderId="1" xfId="0" applyFont="1" applyBorder="1">
      <alignment vertical="center"/>
    </xf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3" fillId="0" borderId="1" xfId="0" applyFont="1" applyBorder="1">
      <alignment vertical="center"/>
    </xf>
    <xf numFmtId="0" fontId="6" fillId="0" borderId="11" xfId="0" applyFont="1" applyBorder="1" applyAlignment="1">
      <alignment horizontal="center" vertical="top"/>
    </xf>
    <xf numFmtId="0" fontId="13" fillId="0" borderId="1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0" fontId="13" fillId="5" borderId="1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58" fontId="13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top"/>
    </xf>
    <xf numFmtId="0" fontId="13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1" xfId="6" applyBorder="1" applyAlignment="1">
      <alignment horizontal="left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5" fillId="8" borderId="1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6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1" xfId="6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6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indent="1"/>
    </xf>
    <xf numFmtId="0" fontId="0" fillId="0" borderId="0" xfId="0" applyFill="1">
      <alignment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1" xfId="6" applyBorder="1" applyAlignment="1">
      <alignment horizontal="center" vertical="center" wrapText="1"/>
    </xf>
    <xf numFmtId="0" fontId="3" fillId="9" borderId="14" xfId="0" applyFont="1" applyFill="1" applyBorder="1" applyAlignment="1">
      <alignment horizontal="left" vertical="center" wrapText="1"/>
    </xf>
    <xf numFmtId="0" fontId="3" fillId="9" borderId="0" xfId="0" applyFont="1" applyFill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indent="1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5" borderId="6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indent="1"/>
    </xf>
    <xf numFmtId="0" fontId="3" fillId="0" borderId="1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0" fontId="9" fillId="0" borderId="12" xfId="0" applyFont="1" applyBorder="1" applyAlignment="1">
      <alignment horizontal="center" vertical="center"/>
    </xf>
    <xf numFmtId="0" fontId="7" fillId="0" borderId="1" xfId="6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6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 indent="1"/>
    </xf>
    <xf numFmtId="0" fontId="6" fillId="0" borderId="11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1" fillId="0" borderId="1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58" fontId="13" fillId="0" borderId="1" xfId="0" applyNumberFormat="1" applyFont="1" applyBorder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2" Type="http://schemas.openxmlformats.org/officeDocument/2006/relationships/styles" Target="styles.xml"/><Relationship Id="rId71" Type="http://schemas.openxmlformats.org/officeDocument/2006/relationships/sharedStrings" Target="sharedStrings.xml"/><Relationship Id="rId70" Type="http://schemas.openxmlformats.org/officeDocument/2006/relationships/theme" Target="theme/theme1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G12" sqref="G12"/>
    </sheetView>
  </sheetViews>
  <sheetFormatPr defaultColWidth="9" defaultRowHeight="13.5"/>
  <cols>
    <col min="4" max="4" width="19.5" customWidth="1"/>
    <col min="5" max="5" width="20.1666666666667" customWidth="1"/>
    <col min="6" max="6" width="18.6666666666667" customWidth="1"/>
    <col min="7" max="7" width="43" customWidth="1"/>
    <col min="8" max="8" width="18.6666666666667" customWidth="1"/>
    <col min="9" max="9" width="12.5" customWidth="1"/>
  </cols>
  <sheetData>
    <row r="1" ht="14.25" spans="1:9">
      <c r="A1" s="98" t="s">
        <v>0</v>
      </c>
      <c r="B1" s="28" t="s">
        <v>1</v>
      </c>
      <c r="C1" s="99"/>
      <c r="D1" s="99"/>
      <c r="E1" s="190"/>
      <c r="F1" s="99"/>
      <c r="G1" s="99"/>
      <c r="H1" s="99"/>
      <c r="I1" s="99"/>
    </row>
    <row r="2" ht="14.25" spans="1:9">
      <c r="A2" s="100"/>
      <c r="B2" s="99"/>
      <c r="C2" s="99"/>
      <c r="D2" s="99"/>
      <c r="E2" s="190"/>
      <c r="F2" s="99"/>
      <c r="G2" s="99"/>
      <c r="H2" s="99"/>
      <c r="I2" s="99"/>
    </row>
    <row r="3" ht="17.25" spans="1:9">
      <c r="A3" s="127" t="s">
        <v>2</v>
      </c>
      <c r="B3" s="127"/>
      <c r="C3" s="127"/>
      <c r="D3" s="127"/>
      <c r="E3" s="191"/>
      <c r="F3" s="127"/>
      <c r="G3" s="127"/>
      <c r="H3" s="127"/>
      <c r="I3" s="127"/>
    </row>
    <row r="4" ht="17.25" spans="1:9">
      <c r="A4" s="102">
        <v>1</v>
      </c>
      <c r="B4" s="102" t="s">
        <v>3</v>
      </c>
      <c r="C4" s="102"/>
      <c r="D4" s="102"/>
      <c r="E4" s="192"/>
      <c r="F4" s="51" t="s">
        <v>4</v>
      </c>
      <c r="G4" s="51"/>
      <c r="H4" s="51"/>
      <c r="I4" s="51"/>
    </row>
    <row r="5" ht="17.25" spans="1:9">
      <c r="A5" s="102">
        <v>2</v>
      </c>
      <c r="B5" s="102" t="s">
        <v>5</v>
      </c>
      <c r="C5" s="102"/>
      <c r="D5" s="102"/>
      <c r="E5" s="192"/>
      <c r="F5" s="51" t="s">
        <v>1</v>
      </c>
      <c r="G5" s="51"/>
      <c r="H5" s="51"/>
      <c r="I5" s="51"/>
    </row>
    <row r="6" ht="17.25" spans="1:9">
      <c r="A6" s="102">
        <v>3</v>
      </c>
      <c r="B6" s="102" t="s">
        <v>6</v>
      </c>
      <c r="C6" s="102"/>
      <c r="D6" s="102"/>
      <c r="E6" s="192"/>
      <c r="F6" s="51" t="s">
        <v>7</v>
      </c>
      <c r="G6" s="51"/>
      <c r="H6" s="51"/>
      <c r="I6" s="51"/>
    </row>
    <row r="7" ht="17.25" spans="1:9">
      <c r="A7" s="102">
        <v>4</v>
      </c>
      <c r="B7" s="102" t="s">
        <v>8</v>
      </c>
      <c r="C7" s="102"/>
      <c r="D7" s="102"/>
      <c r="E7" s="192"/>
      <c r="F7" s="51" t="s">
        <v>9</v>
      </c>
      <c r="G7" s="51"/>
      <c r="H7" s="51"/>
      <c r="I7" s="51"/>
    </row>
    <row r="8" ht="17.25" spans="1:9">
      <c r="A8" s="102">
        <v>5</v>
      </c>
      <c r="B8" s="102" t="s">
        <v>10</v>
      </c>
      <c r="C8" s="102"/>
      <c r="D8" s="102"/>
      <c r="E8" s="192"/>
      <c r="F8" s="51" t="s">
        <v>11</v>
      </c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91"/>
      <c r="F9" s="127"/>
      <c r="G9" s="127"/>
      <c r="H9" s="127"/>
      <c r="I9" s="127"/>
    </row>
    <row r="10" ht="18" spans="1:9">
      <c r="A10" s="103"/>
      <c r="B10" s="104" t="s">
        <v>13</v>
      </c>
      <c r="C10" s="103" t="s">
        <v>14</v>
      </c>
      <c r="D10" s="103" t="s">
        <v>15</v>
      </c>
      <c r="E10" s="193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ht="27.75" spans="1:9">
      <c r="A11" s="102">
        <v>1</v>
      </c>
      <c r="B11" s="106" t="s">
        <v>21</v>
      </c>
      <c r="C11" s="30"/>
      <c r="D11" s="30" t="s">
        <v>22</v>
      </c>
      <c r="E11" s="194" t="s">
        <v>22</v>
      </c>
      <c r="F11" s="30" t="s">
        <v>22</v>
      </c>
      <c r="G11" s="51" t="s">
        <v>23</v>
      </c>
      <c r="H11" s="102" t="s">
        <v>24</v>
      </c>
      <c r="I11" s="51"/>
    </row>
    <row r="12" ht="27.75" spans="1:9">
      <c r="A12" s="102">
        <v>2</v>
      </c>
      <c r="B12" s="107" t="s">
        <v>21</v>
      </c>
      <c r="C12" s="109"/>
      <c r="D12" s="109" t="s">
        <v>25</v>
      </c>
      <c r="E12" s="195" t="s">
        <v>25</v>
      </c>
      <c r="F12" s="109" t="s">
        <v>26</v>
      </c>
      <c r="G12" s="51"/>
      <c r="H12" s="102" t="s">
        <v>27</v>
      </c>
      <c r="I12" s="51"/>
    </row>
    <row r="13" ht="27.75" spans="1:9">
      <c r="A13" s="102">
        <v>3</v>
      </c>
      <c r="B13" s="107" t="s">
        <v>21</v>
      </c>
      <c r="C13" s="109"/>
      <c r="D13" s="109" t="s">
        <v>28</v>
      </c>
      <c r="E13" s="195" t="s">
        <v>28</v>
      </c>
      <c r="F13" s="109" t="s">
        <v>29</v>
      </c>
      <c r="G13" s="51"/>
      <c r="H13" s="102" t="s">
        <v>30</v>
      </c>
      <c r="I13" s="51"/>
    </row>
    <row r="14" ht="27.75" spans="1:9">
      <c r="A14" s="102">
        <v>4</v>
      </c>
      <c r="B14" s="107" t="s">
        <v>21</v>
      </c>
      <c r="C14" s="109"/>
      <c r="D14" s="109" t="s">
        <v>31</v>
      </c>
      <c r="E14" s="195" t="s">
        <v>31</v>
      </c>
      <c r="F14" s="109" t="s">
        <v>32</v>
      </c>
      <c r="G14" s="51"/>
      <c r="H14" s="102" t="s">
        <v>24</v>
      </c>
      <c r="I14" s="51"/>
    </row>
    <row r="15" ht="27.75" spans="1:9">
      <c r="A15" s="102">
        <v>5</v>
      </c>
      <c r="B15" s="107" t="s">
        <v>21</v>
      </c>
      <c r="C15" s="109"/>
      <c r="D15" s="109" t="s">
        <v>33</v>
      </c>
      <c r="E15" s="195" t="s">
        <v>33</v>
      </c>
      <c r="F15" s="109" t="s">
        <v>34</v>
      </c>
      <c r="G15" s="51"/>
      <c r="H15" s="102" t="s">
        <v>24</v>
      </c>
      <c r="I15" s="51"/>
    </row>
    <row r="16" ht="34.5" spans="1:9">
      <c r="A16" s="102">
        <v>6</v>
      </c>
      <c r="B16" s="107" t="s">
        <v>21</v>
      </c>
      <c r="C16" s="109"/>
      <c r="D16" s="109" t="s">
        <v>35</v>
      </c>
      <c r="E16" s="195" t="s">
        <v>35</v>
      </c>
      <c r="F16" s="109" t="s">
        <v>36</v>
      </c>
      <c r="G16" s="39"/>
      <c r="H16" s="30" t="s">
        <v>27</v>
      </c>
      <c r="I16" s="39"/>
    </row>
    <row r="17" ht="27.75" spans="1:9">
      <c r="A17" s="102">
        <v>7</v>
      </c>
      <c r="B17" s="107" t="s">
        <v>21</v>
      </c>
      <c r="C17" s="109"/>
      <c r="D17" s="109" t="s">
        <v>37</v>
      </c>
      <c r="E17" s="195" t="s">
        <v>37</v>
      </c>
      <c r="F17" s="109" t="s">
        <v>38</v>
      </c>
      <c r="G17" s="154"/>
      <c r="H17" s="180" t="s">
        <v>39</v>
      </c>
      <c r="I17" s="153"/>
    </row>
    <row r="18" ht="27.75" spans="1:9">
      <c r="A18" s="102">
        <v>8</v>
      </c>
      <c r="B18" s="107" t="s">
        <v>21</v>
      </c>
      <c r="C18" s="46"/>
      <c r="D18" s="46" t="s">
        <v>40</v>
      </c>
      <c r="E18" s="195" t="s">
        <v>40</v>
      </c>
      <c r="F18" s="109" t="s">
        <v>41</v>
      </c>
      <c r="G18" s="196"/>
      <c r="H18" s="30" t="s">
        <v>42</v>
      </c>
      <c r="I18" s="39"/>
    </row>
    <row r="19" ht="27.75" spans="1:9">
      <c r="A19" s="102">
        <v>9</v>
      </c>
      <c r="B19" s="107"/>
      <c r="C19" s="46"/>
      <c r="D19" s="46" t="s">
        <v>43</v>
      </c>
      <c r="E19" s="195" t="s">
        <v>43</v>
      </c>
      <c r="F19" s="109" t="s">
        <v>44</v>
      </c>
      <c r="G19" s="154"/>
      <c r="H19" s="30" t="s">
        <v>24</v>
      </c>
      <c r="I19" s="39"/>
    </row>
    <row r="20" ht="27.75" spans="1:9">
      <c r="A20" s="102">
        <v>10</v>
      </c>
      <c r="B20" s="107"/>
      <c r="C20" s="46"/>
      <c r="D20" s="46" t="s">
        <v>45</v>
      </c>
      <c r="E20" s="195" t="s">
        <v>45</v>
      </c>
      <c r="F20" s="109" t="s">
        <v>46</v>
      </c>
      <c r="G20" s="154"/>
      <c r="H20" s="30" t="s">
        <v>47</v>
      </c>
      <c r="I20" s="39"/>
    </row>
    <row r="21" ht="27.75" spans="1:9">
      <c r="A21" s="102">
        <v>11</v>
      </c>
      <c r="B21" s="107"/>
      <c r="C21" s="46"/>
      <c r="D21" s="46" t="s">
        <v>48</v>
      </c>
      <c r="E21" s="195" t="s">
        <v>48</v>
      </c>
      <c r="F21" s="109" t="s">
        <v>49</v>
      </c>
      <c r="G21" s="154"/>
      <c r="H21" s="30" t="s">
        <v>24</v>
      </c>
      <c r="I21" s="39"/>
    </row>
    <row r="22" ht="27.75" spans="1:9">
      <c r="A22" s="102">
        <v>12</v>
      </c>
      <c r="B22" s="107"/>
      <c r="C22" s="46"/>
      <c r="D22" s="46" t="s">
        <v>50</v>
      </c>
      <c r="E22" s="195" t="s">
        <v>50</v>
      </c>
      <c r="F22" s="109" t="s">
        <v>51</v>
      </c>
      <c r="G22" s="154"/>
      <c r="H22" s="30" t="s">
        <v>47</v>
      </c>
      <c r="I22" s="39"/>
    </row>
    <row r="23" ht="27.75" spans="1:9">
      <c r="A23" s="102">
        <v>13</v>
      </c>
      <c r="B23" s="107"/>
      <c r="C23" s="109"/>
      <c r="D23" s="109" t="s">
        <v>5</v>
      </c>
      <c r="E23" s="195" t="s">
        <v>5</v>
      </c>
      <c r="F23" s="109" t="s">
        <v>52</v>
      </c>
      <c r="G23" s="154"/>
      <c r="H23" s="30" t="s">
        <v>53</v>
      </c>
      <c r="I23" s="39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3"/>
  <sheetViews>
    <sheetView topLeftCell="D1" workbookViewId="0">
      <selection activeCell="J39" sqref="J39"/>
    </sheetView>
  </sheetViews>
  <sheetFormatPr defaultColWidth="10.8333333333333" defaultRowHeight="35" customHeight="1"/>
  <cols>
    <col min="1" max="2" width="5.66666666666667" style="37" customWidth="1"/>
    <col min="3" max="3" width="7.71666666666667" style="37" customWidth="1"/>
    <col min="4" max="4" width="20.5" style="37" customWidth="1"/>
    <col min="5" max="5" width="20.5" style="189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42.85" style="37" customWidth="1"/>
    <col min="10" max="10" width="22.1666666666667" style="37" customWidth="1"/>
    <col min="11" max="11" width="20.3333333333333" style="97" customWidth="1"/>
    <col min="12" max="12" width="20.6666666666667" style="37" customWidth="1"/>
    <col min="13" max="16384" width="10.8333333333333" style="37"/>
  </cols>
  <sheetData>
    <row r="1" customHeight="1" spans="1:9">
      <c r="A1" s="98" t="s">
        <v>0</v>
      </c>
      <c r="B1" s="28" t="s">
        <v>54</v>
      </c>
      <c r="C1" s="99"/>
      <c r="D1" s="99"/>
      <c r="E1" s="190"/>
      <c r="F1" s="99"/>
      <c r="G1" s="99"/>
      <c r="H1" s="99"/>
      <c r="I1" s="99"/>
    </row>
    <row r="2" ht="27" customHeight="1" spans="1:9">
      <c r="A2" s="100"/>
      <c r="B2" s="99"/>
      <c r="C2" s="99"/>
      <c r="D2" s="99"/>
      <c r="E2" s="190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91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92"/>
      <c r="F4" s="51" t="s">
        <v>55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92"/>
      <c r="F5" s="51" t="s">
        <v>54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92"/>
      <c r="F6" s="51" t="s">
        <v>7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92"/>
      <c r="F7" s="51" t="s">
        <v>9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92"/>
      <c r="F8" s="51" t="s">
        <v>11</v>
      </c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91"/>
      <c r="F9" s="127"/>
      <c r="G9" s="127"/>
      <c r="H9" s="127"/>
      <c r="I9" s="127"/>
    </row>
    <row r="10" customHeight="1" spans="1:12">
      <c r="A10" s="103"/>
      <c r="B10" s="104" t="s">
        <v>13</v>
      </c>
      <c r="C10" s="103" t="s">
        <v>14</v>
      </c>
      <c r="D10" s="103" t="s">
        <v>15</v>
      </c>
      <c r="E10" s="193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  <c r="J10" s="103" t="s">
        <v>56</v>
      </c>
      <c r="K10" s="182" t="s">
        <v>57</v>
      </c>
      <c r="L10" s="182" t="s">
        <v>58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194" t="s">
        <v>59</v>
      </c>
      <c r="F11" s="30" t="s">
        <v>22</v>
      </c>
      <c r="G11" s="51" t="s">
        <v>23</v>
      </c>
      <c r="H11" s="102" t="s">
        <v>24</v>
      </c>
      <c r="I11" s="51"/>
    </row>
    <row r="12" customHeight="1" spans="1:9">
      <c r="A12" s="102">
        <v>2</v>
      </c>
      <c r="B12" s="107" t="s">
        <v>21</v>
      </c>
      <c r="C12" s="109"/>
      <c r="D12" s="109" t="s">
        <v>60</v>
      </c>
      <c r="E12" s="195" t="s">
        <v>60</v>
      </c>
      <c r="F12" s="109" t="s">
        <v>61</v>
      </c>
      <c r="G12" s="51" t="s">
        <v>62</v>
      </c>
      <c r="H12" s="102" t="s">
        <v>27</v>
      </c>
      <c r="I12" s="51"/>
    </row>
    <row r="13" customHeight="1" spans="1:9">
      <c r="A13" s="102">
        <v>3</v>
      </c>
      <c r="B13" s="107" t="s">
        <v>21</v>
      </c>
      <c r="C13" s="109"/>
      <c r="D13" s="109" t="s">
        <v>63</v>
      </c>
      <c r="E13" s="195" t="s">
        <v>63</v>
      </c>
      <c r="F13" s="109" t="s">
        <v>29</v>
      </c>
      <c r="G13" s="51" t="s">
        <v>64</v>
      </c>
      <c r="H13" s="102" t="s">
        <v>24</v>
      </c>
      <c r="I13" s="51"/>
    </row>
    <row r="14" customHeight="1" spans="1:9">
      <c r="A14" s="102">
        <v>4</v>
      </c>
      <c r="B14" s="107" t="s">
        <v>21</v>
      </c>
      <c r="C14" s="109"/>
      <c r="D14" s="109" t="s">
        <v>65</v>
      </c>
      <c r="E14" s="195" t="s">
        <v>65</v>
      </c>
      <c r="F14" s="109" t="s">
        <v>66</v>
      </c>
      <c r="G14" s="51" t="s">
        <v>67</v>
      </c>
      <c r="H14" s="102" t="s">
        <v>24</v>
      </c>
      <c r="I14" s="51"/>
    </row>
    <row r="15" customHeight="1" spans="1:9">
      <c r="A15" s="102">
        <v>5</v>
      </c>
      <c r="B15" s="107" t="s">
        <v>21</v>
      </c>
      <c r="C15" s="109"/>
      <c r="D15" s="109" t="s">
        <v>68</v>
      </c>
      <c r="E15" s="195" t="s">
        <v>68</v>
      </c>
      <c r="F15" s="109" t="s">
        <v>69</v>
      </c>
      <c r="G15" s="51" t="s">
        <v>70</v>
      </c>
      <c r="H15" s="102" t="s">
        <v>24</v>
      </c>
      <c r="I15" s="51"/>
    </row>
    <row r="16" customHeight="1" spans="1:11">
      <c r="A16" s="102">
        <v>7</v>
      </c>
      <c r="B16" s="107" t="s">
        <v>21</v>
      </c>
      <c r="C16" s="109"/>
      <c r="D16" s="109" t="s">
        <v>71</v>
      </c>
      <c r="E16" s="195" t="s">
        <v>72</v>
      </c>
      <c r="F16" s="109" t="s">
        <v>73</v>
      </c>
      <c r="G16" s="39" t="s">
        <v>74</v>
      </c>
      <c r="H16" s="30" t="s">
        <v>27</v>
      </c>
      <c r="I16" s="39" t="s">
        <v>75</v>
      </c>
      <c r="J16" s="37" t="s">
        <v>76</v>
      </c>
      <c r="K16" s="37" t="s">
        <v>22</v>
      </c>
    </row>
    <row r="17" customHeight="1" spans="1:11">
      <c r="A17" s="102">
        <v>8</v>
      </c>
      <c r="B17" s="107" t="s">
        <v>21</v>
      </c>
      <c r="C17" s="109"/>
      <c r="D17" s="109" t="s">
        <v>77</v>
      </c>
      <c r="E17" s="195" t="s">
        <v>78</v>
      </c>
      <c r="F17" s="109" t="s">
        <v>79</v>
      </c>
      <c r="G17" s="154" t="s">
        <v>74</v>
      </c>
      <c r="H17" s="180" t="s">
        <v>27</v>
      </c>
      <c r="I17" s="153" t="s">
        <v>80</v>
      </c>
      <c r="J17" s="37" t="s">
        <v>76</v>
      </c>
      <c r="K17" s="37" t="s">
        <v>22</v>
      </c>
    </row>
    <row r="18" s="37" customFormat="1" ht="45" spans="1:14">
      <c r="A18" s="102">
        <v>9</v>
      </c>
      <c r="B18" s="107" t="s">
        <v>21</v>
      </c>
      <c r="C18" s="46"/>
      <c r="D18" s="46" t="s">
        <v>81</v>
      </c>
      <c r="E18" s="195" t="s">
        <v>82</v>
      </c>
      <c r="F18" s="109" t="s">
        <v>83</v>
      </c>
      <c r="G18" s="98" t="s">
        <v>84</v>
      </c>
      <c r="H18" s="28" t="s">
        <v>24</v>
      </c>
      <c r="I18" s="28" t="s">
        <v>85</v>
      </c>
      <c r="J18" s="28" t="s">
        <v>86</v>
      </c>
      <c r="K18" s="28" t="s">
        <v>26</v>
      </c>
      <c r="L18" s="28" t="s">
        <v>83</v>
      </c>
      <c r="M18" s="28"/>
      <c r="N18" s="28"/>
    </row>
    <row r="19" s="37" customFormat="1" ht="45" spans="1:14">
      <c r="A19" s="102">
        <v>10</v>
      </c>
      <c r="B19" s="107" t="s">
        <v>21</v>
      </c>
      <c r="C19" s="46"/>
      <c r="D19" s="46" t="s">
        <v>87</v>
      </c>
      <c r="E19" s="195" t="s">
        <v>88</v>
      </c>
      <c r="F19" s="109" t="s">
        <v>89</v>
      </c>
      <c r="G19" s="178" t="s">
        <v>90</v>
      </c>
      <c r="H19" s="28" t="s">
        <v>24</v>
      </c>
      <c r="I19" s="28" t="s">
        <v>91</v>
      </c>
      <c r="J19" s="28" t="s">
        <v>4</v>
      </c>
      <c r="K19" s="28" t="s">
        <v>26</v>
      </c>
      <c r="L19" s="28" t="s">
        <v>89</v>
      </c>
      <c r="M19" s="28"/>
      <c r="N19" s="28"/>
    </row>
    <row r="20" s="37" customFormat="1" customHeight="1" spans="1:14">
      <c r="A20" s="102">
        <v>11</v>
      </c>
      <c r="B20" s="107" t="s">
        <v>21</v>
      </c>
      <c r="C20" s="46"/>
      <c r="D20" s="46" t="s">
        <v>92</v>
      </c>
      <c r="E20" s="195" t="s">
        <v>93</v>
      </c>
      <c r="F20" s="109" t="s">
        <v>94</v>
      </c>
      <c r="G20" s="127" t="s">
        <v>95</v>
      </c>
      <c r="H20" s="127" t="s">
        <v>53</v>
      </c>
      <c r="I20" s="127"/>
      <c r="J20" s="127"/>
      <c r="K20" s="127"/>
      <c r="L20" s="127"/>
      <c r="M20" s="127"/>
      <c r="N20" s="127"/>
    </row>
    <row r="21" s="37" customFormat="1" customHeight="1" spans="1:14">
      <c r="A21" s="102">
        <v>12</v>
      </c>
      <c r="B21" s="107" t="s">
        <v>21</v>
      </c>
      <c r="C21" s="46"/>
      <c r="D21" s="46" t="s">
        <v>96</v>
      </c>
      <c r="E21" s="195" t="s">
        <v>97</v>
      </c>
      <c r="F21" s="109" t="s">
        <v>98</v>
      </c>
      <c r="G21" s="102" t="s">
        <v>99</v>
      </c>
      <c r="H21" s="102" t="s">
        <v>24</v>
      </c>
      <c r="I21" s="102" t="s">
        <v>100</v>
      </c>
      <c r="J21" s="102" t="s">
        <v>4</v>
      </c>
      <c r="K21" s="51" t="s">
        <v>26</v>
      </c>
      <c r="L21" s="51" t="s">
        <v>98</v>
      </c>
      <c r="M21" s="51"/>
      <c r="N21" s="51"/>
    </row>
    <row r="22" s="37" customFormat="1" customHeight="1" spans="1:14">
      <c r="A22" s="102">
        <v>13</v>
      </c>
      <c r="B22" s="107" t="s">
        <v>21</v>
      </c>
      <c r="C22" s="46"/>
      <c r="D22" s="46" t="s">
        <v>101</v>
      </c>
      <c r="E22" s="195" t="s">
        <v>102</v>
      </c>
      <c r="F22" s="109" t="s">
        <v>103</v>
      </c>
      <c r="G22" s="102" t="s">
        <v>104</v>
      </c>
      <c r="H22" s="102" t="s">
        <v>24</v>
      </c>
      <c r="I22" s="102" t="s">
        <v>105</v>
      </c>
      <c r="J22" s="102" t="s">
        <v>4</v>
      </c>
      <c r="K22" s="51" t="s">
        <v>26</v>
      </c>
      <c r="L22" s="51" t="s">
        <v>103</v>
      </c>
      <c r="M22" s="51"/>
      <c r="N22" s="51"/>
    </row>
    <row r="23" s="37" customFormat="1" customHeight="1" spans="1:14">
      <c r="A23" s="102">
        <v>14</v>
      </c>
      <c r="B23" s="107" t="s">
        <v>21</v>
      </c>
      <c r="C23" s="109"/>
      <c r="D23" s="109" t="s">
        <v>106</v>
      </c>
      <c r="E23" s="195" t="s">
        <v>107</v>
      </c>
      <c r="F23" s="109" t="s">
        <v>108</v>
      </c>
      <c r="G23" s="102" t="s">
        <v>109</v>
      </c>
      <c r="H23" s="102" t="s">
        <v>53</v>
      </c>
      <c r="I23" s="102"/>
      <c r="J23" s="102"/>
      <c r="K23" s="51"/>
      <c r="L23" s="51"/>
      <c r="M23" s="51"/>
      <c r="N23" s="51"/>
    </row>
    <row r="24" s="37" customFormat="1" customHeight="1" spans="1:14">
      <c r="A24" s="102">
        <v>15</v>
      </c>
      <c r="B24" s="107" t="s">
        <v>21</v>
      </c>
      <c r="C24" s="109"/>
      <c r="D24" s="109" t="s">
        <v>110</v>
      </c>
      <c r="E24" s="195" t="s">
        <v>111</v>
      </c>
      <c r="F24" s="109" t="s">
        <v>112</v>
      </c>
      <c r="G24" s="102" t="s">
        <v>113</v>
      </c>
      <c r="H24" s="102" t="s">
        <v>27</v>
      </c>
      <c r="I24" s="102"/>
      <c r="J24" s="102" t="s">
        <v>76</v>
      </c>
      <c r="K24" s="51" t="s">
        <v>22</v>
      </c>
      <c r="L24" s="51"/>
      <c r="M24" s="51"/>
      <c r="N24" s="51"/>
    </row>
    <row r="25" s="37" customFormat="1" customHeight="1" spans="1:14">
      <c r="A25" s="102">
        <v>16</v>
      </c>
      <c r="B25" s="107" t="s">
        <v>21</v>
      </c>
      <c r="C25" s="109"/>
      <c r="D25" s="109" t="s">
        <v>114</v>
      </c>
      <c r="E25" s="195" t="s">
        <v>114</v>
      </c>
      <c r="F25" s="109" t="s">
        <v>115</v>
      </c>
      <c r="G25" s="102" t="s">
        <v>116</v>
      </c>
      <c r="H25" s="102" t="s">
        <v>117</v>
      </c>
      <c r="I25" s="102"/>
      <c r="J25" s="102"/>
      <c r="K25" s="51"/>
      <c r="L25" s="51"/>
      <c r="M25" s="51"/>
      <c r="N25" s="51"/>
    </row>
    <row r="26" s="37" customFormat="1" customHeight="1" spans="1:14">
      <c r="A26" s="102">
        <v>17</v>
      </c>
      <c r="B26" s="107" t="s">
        <v>21</v>
      </c>
      <c r="C26" s="109"/>
      <c r="D26" s="109" t="s">
        <v>118</v>
      </c>
      <c r="E26" s="195" t="s">
        <v>118</v>
      </c>
      <c r="F26" s="109" t="s">
        <v>119</v>
      </c>
      <c r="G26" s="127" t="s">
        <v>116</v>
      </c>
      <c r="H26" s="127" t="s">
        <v>117</v>
      </c>
      <c r="I26" s="127"/>
      <c r="J26" s="127"/>
      <c r="K26" s="127"/>
      <c r="L26" s="127"/>
      <c r="M26" s="127"/>
      <c r="N26" s="127"/>
    </row>
    <row r="27" s="37" customFormat="1" ht="34.5" spans="1:14">
      <c r="A27" s="102">
        <v>18</v>
      </c>
      <c r="B27" s="107" t="s">
        <v>21</v>
      </c>
      <c r="C27" s="143"/>
      <c r="D27" s="143" t="s">
        <v>120</v>
      </c>
      <c r="E27" s="195" t="s">
        <v>121</v>
      </c>
      <c r="F27" s="109" t="s">
        <v>122</v>
      </c>
      <c r="G27" s="103" t="s">
        <v>123</v>
      </c>
      <c r="H27" s="104" t="s">
        <v>53</v>
      </c>
      <c r="I27" s="103"/>
      <c r="J27" s="105"/>
      <c r="K27" s="32"/>
      <c r="L27" s="103"/>
      <c r="M27" s="103"/>
      <c r="N27" s="103"/>
    </row>
    <row r="28" s="37" customFormat="1" customHeight="1" spans="1:14">
      <c r="A28" s="102">
        <v>19</v>
      </c>
      <c r="B28" s="107" t="s">
        <v>21</v>
      </c>
      <c r="C28" s="109"/>
      <c r="D28" s="109" t="s">
        <v>124</v>
      </c>
      <c r="E28" s="195" t="s">
        <v>124</v>
      </c>
      <c r="F28" s="109" t="s">
        <v>125</v>
      </c>
      <c r="G28" s="102"/>
      <c r="H28" s="102" t="s">
        <v>53</v>
      </c>
      <c r="I28" s="102"/>
      <c r="J28" s="35"/>
      <c r="K28" s="30"/>
      <c r="L28" s="51"/>
      <c r="M28" s="102"/>
      <c r="N28" s="51"/>
    </row>
    <row r="29" s="37" customFormat="1" customHeight="1" spans="1:14">
      <c r="A29" s="102">
        <v>20</v>
      </c>
      <c r="B29" s="107" t="s">
        <v>21</v>
      </c>
      <c r="C29" s="109"/>
      <c r="D29" s="109" t="s">
        <v>126</v>
      </c>
      <c r="E29" s="195" t="s">
        <v>126</v>
      </c>
      <c r="F29" s="109" t="s">
        <v>127</v>
      </c>
      <c r="G29" s="102" t="s">
        <v>128</v>
      </c>
      <c r="H29" s="102" t="s">
        <v>53</v>
      </c>
      <c r="I29" s="102"/>
      <c r="J29" s="108"/>
      <c r="K29" s="109"/>
      <c r="L29" s="51"/>
      <c r="M29" s="102"/>
      <c r="N29" s="51"/>
    </row>
    <row r="30" s="37" customFormat="1" customHeight="1" spans="1:14">
      <c r="A30" s="102">
        <v>21</v>
      </c>
      <c r="B30" s="107" t="s">
        <v>21</v>
      </c>
      <c r="C30" s="109"/>
      <c r="D30" s="109" t="s">
        <v>129</v>
      </c>
      <c r="E30" s="195" t="s">
        <v>130</v>
      </c>
      <c r="F30" s="109" t="s">
        <v>131</v>
      </c>
      <c r="G30" s="102"/>
      <c r="H30" s="102" t="s">
        <v>39</v>
      </c>
      <c r="I30" s="102"/>
      <c r="J30" s="35"/>
      <c r="K30" s="30"/>
      <c r="L30" s="51"/>
      <c r="M30" s="102"/>
      <c r="N30" s="51"/>
    </row>
    <row r="31" s="37" customFormat="1" customHeight="1" spans="1:14">
      <c r="A31" s="102">
        <v>22</v>
      </c>
      <c r="B31" s="107" t="s">
        <v>21</v>
      </c>
      <c r="C31" s="109"/>
      <c r="D31" s="109" t="s">
        <v>132</v>
      </c>
      <c r="E31" s="195" t="s">
        <v>133</v>
      </c>
      <c r="F31" s="109" t="s">
        <v>134</v>
      </c>
      <c r="G31" s="102"/>
      <c r="H31" s="102" t="s">
        <v>24</v>
      </c>
      <c r="I31" s="102"/>
      <c r="J31" s="35"/>
      <c r="K31" s="30"/>
      <c r="L31" s="51"/>
      <c r="M31" s="102"/>
      <c r="N31" s="51"/>
    </row>
    <row r="32" s="37" customFormat="1" customHeight="1" spans="1:14">
      <c r="A32" s="102">
        <v>23</v>
      </c>
      <c r="B32" s="107" t="s">
        <v>21</v>
      </c>
      <c r="C32" s="109"/>
      <c r="D32" s="109" t="s">
        <v>135</v>
      </c>
      <c r="E32" s="195" t="s">
        <v>136</v>
      </c>
      <c r="F32" s="109" t="s">
        <v>137</v>
      </c>
      <c r="G32" s="102" t="s">
        <v>138</v>
      </c>
      <c r="H32" s="102" t="s">
        <v>24</v>
      </c>
      <c r="I32" s="102"/>
      <c r="J32" s="35"/>
      <c r="K32" s="30"/>
      <c r="L32" s="51"/>
      <c r="M32" s="102"/>
      <c r="N32" s="51"/>
    </row>
    <row r="33" s="37" customFormat="1" customHeight="1" spans="1:14">
      <c r="A33" s="102">
        <v>24</v>
      </c>
      <c r="B33" s="107" t="s">
        <v>21</v>
      </c>
      <c r="C33" s="109"/>
      <c r="D33" s="109" t="s">
        <v>139</v>
      </c>
      <c r="E33" s="195" t="s">
        <v>140</v>
      </c>
      <c r="F33" s="109" t="s">
        <v>141</v>
      </c>
      <c r="G33" s="102" t="s">
        <v>138</v>
      </c>
      <c r="H33" s="102" t="s">
        <v>24</v>
      </c>
      <c r="I33" s="102"/>
      <c r="J33" s="35"/>
      <c r="K33" s="30"/>
      <c r="L33" s="51"/>
      <c r="M33" s="102"/>
      <c r="N33" s="51"/>
    </row>
    <row r="34" s="37" customFormat="1" customHeight="1" spans="1:14">
      <c r="A34" s="102">
        <v>25</v>
      </c>
      <c r="B34" s="106" t="s">
        <v>21</v>
      </c>
      <c r="C34" s="30"/>
      <c r="D34" s="30" t="s">
        <v>142</v>
      </c>
      <c r="E34" s="194" t="s">
        <v>143</v>
      </c>
      <c r="F34" s="30" t="s">
        <v>144</v>
      </c>
      <c r="G34" s="102"/>
      <c r="H34" s="102" t="s">
        <v>24</v>
      </c>
      <c r="I34" s="102"/>
      <c r="J34" s="35"/>
      <c r="K34" s="30"/>
      <c r="L34" s="51"/>
      <c r="M34" s="102"/>
      <c r="N34" s="51"/>
    </row>
    <row r="35" s="37" customFormat="1" customHeight="1" spans="1:14">
      <c r="A35" s="102">
        <v>26</v>
      </c>
      <c r="B35" s="106" t="s">
        <v>21</v>
      </c>
      <c r="C35" s="30"/>
      <c r="D35" s="30" t="s">
        <v>145</v>
      </c>
      <c r="E35" s="194" t="s">
        <v>146</v>
      </c>
      <c r="F35" s="30" t="s">
        <v>147</v>
      </c>
      <c r="G35" s="102"/>
      <c r="H35" s="102" t="s">
        <v>24</v>
      </c>
      <c r="I35" s="102"/>
      <c r="J35" s="30"/>
      <c r="K35" s="30"/>
      <c r="L35" s="39"/>
      <c r="M35" s="30"/>
      <c r="N35" s="39"/>
    </row>
    <row r="36" s="37" customFormat="1" customHeight="1" spans="1:14">
      <c r="A36" s="102">
        <v>27</v>
      </c>
      <c r="B36" s="106" t="s">
        <v>21</v>
      </c>
      <c r="C36" s="30"/>
      <c r="D36" s="30" t="s">
        <v>148</v>
      </c>
      <c r="E36" s="194" t="s">
        <v>149</v>
      </c>
      <c r="F36" s="30" t="s">
        <v>150</v>
      </c>
      <c r="G36" s="102"/>
      <c r="H36" s="102" t="s">
        <v>24</v>
      </c>
      <c r="I36" s="102"/>
      <c r="J36" s="30"/>
      <c r="K36" s="30"/>
      <c r="L36" s="39"/>
      <c r="M36" s="180"/>
      <c r="N36" s="153"/>
    </row>
    <row r="37" s="37" customFormat="1" customHeight="1" spans="1:14">
      <c r="A37" s="102">
        <v>6</v>
      </c>
      <c r="B37" s="107" t="s">
        <v>21</v>
      </c>
      <c r="C37" s="109"/>
      <c r="D37" s="109" t="s">
        <v>151</v>
      </c>
      <c r="E37" s="195" t="s">
        <v>151</v>
      </c>
      <c r="F37" s="109" t="s">
        <v>152</v>
      </c>
      <c r="G37" s="102" t="s">
        <v>153</v>
      </c>
      <c r="H37" s="102" t="s">
        <v>154</v>
      </c>
      <c r="I37" s="102"/>
      <c r="J37" s="30"/>
      <c r="K37" s="30"/>
      <c r="L37" s="181"/>
      <c r="M37" s="30"/>
      <c r="N37" s="39"/>
    </row>
    <row r="38" s="37" customFormat="1" customHeight="1" spans="1:14">
      <c r="A38" s="102">
        <v>28</v>
      </c>
      <c r="B38" s="106" t="s">
        <v>21</v>
      </c>
      <c r="C38" s="30"/>
      <c r="D38" s="30" t="s">
        <v>155</v>
      </c>
      <c r="E38" s="194" t="s">
        <v>156</v>
      </c>
      <c r="F38" s="30" t="s">
        <v>157</v>
      </c>
      <c r="G38" s="102"/>
      <c r="H38" s="102" t="s">
        <v>24</v>
      </c>
      <c r="I38" s="102"/>
      <c r="J38" s="30"/>
      <c r="K38" s="30"/>
      <c r="L38" s="39"/>
      <c r="M38" s="30"/>
      <c r="N38" s="39"/>
    </row>
    <row r="39" s="37" customFormat="1" customHeight="1" spans="1:11">
      <c r="A39" s="102">
        <v>29</v>
      </c>
      <c r="B39" s="106" t="s">
        <v>21</v>
      </c>
      <c r="C39" s="30"/>
      <c r="D39" s="30" t="s">
        <v>158</v>
      </c>
      <c r="E39" s="194" t="s">
        <v>159</v>
      </c>
      <c r="F39" s="30" t="s">
        <v>160</v>
      </c>
      <c r="G39" s="37"/>
      <c r="H39" s="37" t="s">
        <v>24</v>
      </c>
      <c r="I39" s="37"/>
      <c r="J39" s="37" t="s">
        <v>161</v>
      </c>
      <c r="K39" s="97" t="s">
        <v>162</v>
      </c>
    </row>
    <row r="40" s="37" customFormat="1" customHeight="1" spans="1:11">
      <c r="A40" s="102">
        <v>30</v>
      </c>
      <c r="B40" s="106" t="s">
        <v>21</v>
      </c>
      <c r="C40" s="30"/>
      <c r="D40" s="30" t="s">
        <v>163</v>
      </c>
      <c r="E40" s="194" t="s">
        <v>164</v>
      </c>
      <c r="F40" s="30" t="s">
        <v>165</v>
      </c>
      <c r="G40" s="37"/>
      <c r="H40" s="37" t="s">
        <v>24</v>
      </c>
      <c r="I40" s="37"/>
      <c r="K40" s="97"/>
    </row>
    <row r="41" s="37" customFormat="1" customHeight="1" spans="1:11">
      <c r="A41" s="102">
        <v>31</v>
      </c>
      <c r="B41" s="106" t="s">
        <v>21</v>
      </c>
      <c r="C41" s="30"/>
      <c r="D41" s="30" t="s">
        <v>166</v>
      </c>
      <c r="E41" s="194" t="s">
        <v>167</v>
      </c>
      <c r="F41" s="30" t="s">
        <v>168</v>
      </c>
      <c r="G41" s="37"/>
      <c r="H41" s="37" t="s">
        <v>24</v>
      </c>
      <c r="I41" s="37"/>
      <c r="K41" s="97"/>
    </row>
    <row r="42" s="37" customFormat="1" customHeight="1" spans="1:11">
      <c r="A42" s="102">
        <v>32</v>
      </c>
      <c r="B42" s="106" t="s">
        <v>21</v>
      </c>
      <c r="C42" s="30"/>
      <c r="D42" s="30" t="s">
        <v>169</v>
      </c>
      <c r="E42" s="194" t="s">
        <v>170</v>
      </c>
      <c r="F42" s="30" t="s">
        <v>171</v>
      </c>
      <c r="G42" s="37" t="s">
        <v>138</v>
      </c>
      <c r="H42" s="37" t="s">
        <v>24</v>
      </c>
      <c r="I42" s="37"/>
      <c r="K42" s="97"/>
    </row>
    <row r="43" s="37" customFormat="1" customHeight="1" spans="1:11">
      <c r="A43" s="102">
        <v>33</v>
      </c>
      <c r="B43" s="106" t="s">
        <v>21</v>
      </c>
      <c r="C43" s="30"/>
      <c r="D43" s="30" t="s">
        <v>172</v>
      </c>
      <c r="E43" s="194" t="s">
        <v>173</v>
      </c>
      <c r="F43" s="30" t="s">
        <v>174</v>
      </c>
      <c r="G43" s="37" t="s">
        <v>138</v>
      </c>
      <c r="H43" s="37" t="s">
        <v>24</v>
      </c>
      <c r="I43" s="37"/>
      <c r="K43" s="97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6384" width="10.8333333333333" style="37"/>
  </cols>
  <sheetData>
    <row r="1" customHeight="1" spans="1:9">
      <c r="A1" s="98" t="s">
        <v>0</v>
      </c>
      <c r="B1" s="28" t="s">
        <v>175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176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177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7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178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51" t="s">
        <v>24</v>
      </c>
      <c r="I11" s="51"/>
    </row>
    <row r="12" customHeight="1" spans="1:9">
      <c r="A12" s="148">
        <v>2</v>
      </c>
      <c r="B12" s="107" t="s">
        <v>21</v>
      </c>
      <c r="C12" s="46"/>
      <c r="D12" s="46" t="s">
        <v>179</v>
      </c>
      <c r="E12" s="108" t="s">
        <v>180</v>
      </c>
      <c r="F12" s="109" t="s">
        <v>29</v>
      </c>
      <c r="G12" s="51"/>
      <c r="H12" s="51" t="s">
        <v>154</v>
      </c>
      <c r="I12" s="51"/>
    </row>
    <row r="13" customHeight="1" spans="1:9">
      <c r="A13" s="102">
        <v>3</v>
      </c>
      <c r="B13" s="106" t="s">
        <v>21</v>
      </c>
      <c r="C13" s="36"/>
      <c r="D13" s="36" t="s">
        <v>181</v>
      </c>
      <c r="E13" s="35" t="s">
        <v>182</v>
      </c>
      <c r="F13" s="30" t="s">
        <v>183</v>
      </c>
      <c r="G13" s="51" t="s">
        <v>116</v>
      </c>
      <c r="H13" s="51" t="s">
        <v>27</v>
      </c>
      <c r="I13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55" zoomScaleNormal="55" workbookViewId="0">
      <selection activeCell="A10" sqref="A10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7.3333333333333" style="97" customWidth="1"/>
    <col min="7" max="7" width="73.3333333333333" style="37" customWidth="1"/>
    <col min="8" max="8" width="24.1666666666667" style="37" customWidth="1"/>
    <col min="9" max="9" width="40.3333333333333" style="37" customWidth="1"/>
    <col min="10" max="10" width="27.3333333333333" style="37" customWidth="1"/>
    <col min="11" max="11" width="30" style="37" customWidth="1"/>
    <col min="12" max="12" width="27.3333333333333" style="37" customWidth="1"/>
    <col min="13" max="16384" width="10.8333333333333" style="37"/>
  </cols>
  <sheetData>
    <row r="1" customHeight="1" spans="1:9">
      <c r="A1" s="100" t="s">
        <v>0</v>
      </c>
      <c r="B1" s="28" t="s">
        <v>184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185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186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7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178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12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  <c r="J10" s="103" t="s">
        <v>56</v>
      </c>
      <c r="K10" s="182" t="s">
        <v>57</v>
      </c>
      <c r="L10" s="182" t="s">
        <v>58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51" t="s">
        <v>24</v>
      </c>
      <c r="I11" s="51"/>
    </row>
    <row r="12" customHeight="1" spans="1:12">
      <c r="A12" s="102">
        <v>2</v>
      </c>
      <c r="B12" s="107" t="s">
        <v>21</v>
      </c>
      <c r="C12" s="109"/>
      <c r="D12" s="109" t="s">
        <v>187</v>
      </c>
      <c r="E12" s="108" t="s">
        <v>188</v>
      </c>
      <c r="F12" s="109" t="s">
        <v>189</v>
      </c>
      <c r="G12" s="51" t="s">
        <v>190</v>
      </c>
      <c r="H12" s="51" t="s">
        <v>27</v>
      </c>
      <c r="I12" s="39" t="s">
        <v>191</v>
      </c>
      <c r="J12" s="37" t="s">
        <v>4</v>
      </c>
      <c r="K12" s="37" t="s">
        <v>26</v>
      </c>
      <c r="L12" s="37" t="s">
        <v>189</v>
      </c>
    </row>
    <row r="13" customHeight="1" spans="1:9">
      <c r="A13" s="102">
        <v>3</v>
      </c>
      <c r="B13" s="107" t="s">
        <v>21</v>
      </c>
      <c r="C13" s="109"/>
      <c r="D13" s="109" t="s">
        <v>192</v>
      </c>
      <c r="E13" s="108" t="s">
        <v>192</v>
      </c>
      <c r="F13" s="109" t="s">
        <v>193</v>
      </c>
      <c r="G13" s="51"/>
      <c r="H13" s="51" t="s">
        <v>53</v>
      </c>
      <c r="I13" s="51"/>
    </row>
    <row r="14" customHeight="1" spans="1:9">
      <c r="A14" s="102">
        <v>4</v>
      </c>
      <c r="B14" s="107" t="s">
        <v>21</v>
      </c>
      <c r="C14" s="109"/>
      <c r="D14" s="109" t="s">
        <v>194</v>
      </c>
      <c r="E14" s="108" t="s">
        <v>194</v>
      </c>
      <c r="F14" s="109" t="s">
        <v>195</v>
      </c>
      <c r="G14" s="51"/>
      <c r="H14" s="51" t="s">
        <v>154</v>
      </c>
      <c r="I14" s="51"/>
    </row>
    <row r="15" customHeight="1" spans="1:9">
      <c r="A15" s="102">
        <v>5</v>
      </c>
      <c r="B15" s="106" t="s">
        <v>21</v>
      </c>
      <c r="C15" s="30"/>
      <c r="D15" s="30" t="s">
        <v>181</v>
      </c>
      <c r="E15" s="35" t="s">
        <v>196</v>
      </c>
      <c r="F15" s="30" t="s">
        <v>183</v>
      </c>
      <c r="G15" s="51" t="s">
        <v>116</v>
      </c>
      <c r="H15" s="51" t="s">
        <v>27</v>
      </c>
      <c r="I15" s="51"/>
    </row>
    <row r="16" customHeight="1" spans="1:12">
      <c r="A16" s="102">
        <v>6</v>
      </c>
      <c r="B16" s="106" t="s">
        <v>21</v>
      </c>
      <c r="C16" s="133"/>
      <c r="D16" s="133" t="s">
        <v>197</v>
      </c>
      <c r="E16" s="105" t="s">
        <v>197</v>
      </c>
      <c r="F16" s="30" t="s">
        <v>198</v>
      </c>
      <c r="G16" s="102"/>
      <c r="H16" s="102" t="s">
        <v>27</v>
      </c>
      <c r="I16" s="102"/>
      <c r="J16" s="37" t="s">
        <v>4</v>
      </c>
      <c r="K16" s="37" t="s">
        <v>26</v>
      </c>
      <c r="L16" s="37" t="s">
        <v>198</v>
      </c>
    </row>
    <row r="17" customHeight="1" spans="1:9">
      <c r="A17" s="102">
        <v>7</v>
      </c>
      <c r="B17" s="106" t="s">
        <v>21</v>
      </c>
      <c r="C17" s="151"/>
      <c r="D17" s="151" t="s">
        <v>199</v>
      </c>
      <c r="E17" s="149" t="s">
        <v>200</v>
      </c>
      <c r="F17" s="109" t="s">
        <v>201</v>
      </c>
      <c r="G17" s="148"/>
      <c r="H17" s="148" t="s">
        <v>42</v>
      </c>
      <c r="I17" s="148"/>
    </row>
    <row r="18" ht="45" customHeight="1" spans="1:9">
      <c r="A18" s="102">
        <v>8</v>
      </c>
      <c r="B18" s="106" t="s">
        <v>21</v>
      </c>
      <c r="C18" s="133"/>
      <c r="D18" s="133" t="s">
        <v>202</v>
      </c>
      <c r="E18" s="108" t="s">
        <v>203</v>
      </c>
      <c r="F18" s="30" t="s">
        <v>204</v>
      </c>
      <c r="G18" s="102"/>
      <c r="H18" s="102" t="s">
        <v>42</v>
      </c>
      <c r="I18" s="102"/>
    </row>
    <row r="19" customHeight="1" spans="1:9">
      <c r="A19" s="102">
        <v>9</v>
      </c>
      <c r="B19" s="106" t="s">
        <v>21</v>
      </c>
      <c r="C19" s="133"/>
      <c r="D19" s="133" t="s">
        <v>205</v>
      </c>
      <c r="E19" s="108" t="s">
        <v>206</v>
      </c>
      <c r="F19" s="30" t="s">
        <v>207</v>
      </c>
      <c r="G19" s="102"/>
      <c r="H19" s="102" t="s">
        <v>42</v>
      </c>
      <c r="I19" s="102"/>
    </row>
    <row r="20" customHeight="1" spans="1:9">
      <c r="A20" s="102">
        <v>10</v>
      </c>
      <c r="B20" s="106" t="s">
        <v>21</v>
      </c>
      <c r="C20" s="133"/>
      <c r="D20" s="133" t="s">
        <v>208</v>
      </c>
      <c r="E20" s="108" t="s">
        <v>209</v>
      </c>
      <c r="F20" s="30" t="s">
        <v>210</v>
      </c>
      <c r="G20" s="102"/>
      <c r="H20" s="102" t="s">
        <v>42</v>
      </c>
      <c r="I20" s="10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5" zoomScaleNormal="85" topLeftCell="A19" workbookViewId="0">
      <selection activeCell="D21" sqref="D21"/>
    </sheetView>
  </sheetViews>
  <sheetFormatPr defaultColWidth="10.8333333333333" defaultRowHeight="35" customHeight="1"/>
  <cols>
    <col min="1" max="2" width="5.66666666666667" style="37" customWidth="1"/>
    <col min="3" max="4" width="20.5" style="37" customWidth="1"/>
    <col min="5" max="5" width="21.8333333333333" style="37" customWidth="1"/>
    <col min="6" max="6" width="33.9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0" width="22.3333333333333" style="37" customWidth="1"/>
    <col min="11" max="16384" width="10.8333333333333" style="37"/>
  </cols>
  <sheetData>
    <row r="1" customHeight="1" spans="1:9">
      <c r="A1" s="102" t="s">
        <v>0</v>
      </c>
      <c r="B1" s="28" t="s">
        <v>211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212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213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214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215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12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  <c r="J10" s="103" t="s">
        <v>56</v>
      </c>
      <c r="K10" s="182" t="s">
        <v>57</v>
      </c>
      <c r="L10" s="182" t="s">
        <v>58</v>
      </c>
    </row>
    <row r="11" customHeight="1" spans="1:9">
      <c r="A11" s="102">
        <f t="shared" ref="A11:A14" si="0">ROW(A11)-10</f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51" t="s">
        <v>24</v>
      </c>
      <c r="I11" s="51"/>
    </row>
    <row r="12" customHeight="1" spans="1:9">
      <c r="A12" s="102">
        <f t="shared" si="0"/>
        <v>2</v>
      </c>
      <c r="B12" s="107" t="s">
        <v>21</v>
      </c>
      <c r="C12" s="46"/>
      <c r="D12" s="46" t="s">
        <v>25</v>
      </c>
      <c r="E12" s="108" t="s">
        <v>216</v>
      </c>
      <c r="F12" s="109" t="s">
        <v>26</v>
      </c>
      <c r="G12" s="51" t="s">
        <v>217</v>
      </c>
      <c r="H12" s="51" t="s">
        <v>24</v>
      </c>
      <c r="I12" s="51"/>
    </row>
    <row r="13" customHeight="1" spans="1:9">
      <c r="A13" s="102">
        <f t="shared" si="0"/>
        <v>3</v>
      </c>
      <c r="B13" s="106" t="s">
        <v>21</v>
      </c>
      <c r="C13" s="36"/>
      <c r="D13" s="36" t="s">
        <v>28</v>
      </c>
      <c r="E13" s="35" t="s">
        <v>218</v>
      </c>
      <c r="F13" s="30" t="s">
        <v>29</v>
      </c>
      <c r="G13" s="51"/>
      <c r="H13" s="51" t="s">
        <v>219</v>
      </c>
      <c r="I13" s="51"/>
    </row>
    <row r="14" customHeight="1" spans="1:9">
      <c r="A14" s="102">
        <f t="shared" si="0"/>
        <v>4</v>
      </c>
      <c r="B14" s="107"/>
      <c r="C14" s="46"/>
      <c r="D14" s="46" t="s">
        <v>220</v>
      </c>
      <c r="E14" s="108" t="s">
        <v>221</v>
      </c>
      <c r="F14" s="109" t="s">
        <v>222</v>
      </c>
      <c r="G14" s="51"/>
      <c r="H14" s="51" t="s">
        <v>24</v>
      </c>
      <c r="I14" s="51"/>
    </row>
    <row r="15" customHeight="1" spans="1:9">
      <c r="A15" s="102">
        <v>5</v>
      </c>
      <c r="B15" s="107"/>
      <c r="C15" s="110"/>
      <c r="D15" s="110" t="s">
        <v>223</v>
      </c>
      <c r="E15" s="108"/>
      <c r="F15" s="97" t="s">
        <v>36</v>
      </c>
      <c r="G15" s="51"/>
      <c r="H15" s="51" t="s">
        <v>24</v>
      </c>
      <c r="I15" s="51"/>
    </row>
    <row r="16" customHeight="1" spans="1:11">
      <c r="A16" s="102">
        <f>ROW(A16)-10</f>
        <v>6</v>
      </c>
      <c r="B16" s="106" t="s">
        <v>21</v>
      </c>
      <c r="C16" s="86" t="s">
        <v>224</v>
      </c>
      <c r="D16" s="86" t="s">
        <v>225</v>
      </c>
      <c r="E16" s="35" t="s">
        <v>226</v>
      </c>
      <c r="F16" s="30" t="s">
        <v>227</v>
      </c>
      <c r="G16" s="51"/>
      <c r="H16" s="51" t="s">
        <v>24</v>
      </c>
      <c r="I16" s="51"/>
      <c r="J16" s="37" t="s">
        <v>212</v>
      </c>
      <c r="K16" s="37" t="s">
        <v>22</v>
      </c>
    </row>
    <row r="17" customHeight="1" spans="1:9">
      <c r="A17" s="102">
        <v>7</v>
      </c>
      <c r="B17" s="107"/>
      <c r="C17" s="46"/>
      <c r="D17" s="46" t="s">
        <v>5</v>
      </c>
      <c r="E17" s="108" t="s">
        <v>5</v>
      </c>
      <c r="F17" s="109" t="s">
        <v>52</v>
      </c>
      <c r="G17" s="51"/>
      <c r="H17" s="51" t="s">
        <v>53</v>
      </c>
      <c r="I17" s="51"/>
    </row>
    <row r="18" customHeight="1" spans="1:9">
      <c r="A18" s="102">
        <f t="shared" ref="A18:A27" si="1">ROW(A18)-10</f>
        <v>8</v>
      </c>
      <c r="B18" s="107"/>
      <c r="C18" s="110" t="s">
        <v>224</v>
      </c>
      <c r="D18" s="110" t="s">
        <v>228</v>
      </c>
      <c r="E18" s="108" t="s">
        <v>228</v>
      </c>
      <c r="F18" s="109" t="s">
        <v>229</v>
      </c>
      <c r="G18" s="51" t="s">
        <v>230</v>
      </c>
      <c r="H18" s="51" t="s">
        <v>53</v>
      </c>
      <c r="I18" s="51"/>
    </row>
    <row r="19" customHeight="1" spans="1:9">
      <c r="A19" s="102">
        <f t="shared" si="1"/>
        <v>9</v>
      </c>
      <c r="B19" s="106" t="s">
        <v>21</v>
      </c>
      <c r="C19" s="86" t="s">
        <v>224</v>
      </c>
      <c r="D19" s="86" t="s">
        <v>231</v>
      </c>
      <c r="E19" s="35" t="s">
        <v>231</v>
      </c>
      <c r="F19" s="30" t="s">
        <v>232</v>
      </c>
      <c r="G19" s="111" t="s">
        <v>233</v>
      </c>
      <c r="H19" s="51" t="s">
        <v>234</v>
      </c>
      <c r="I19" s="51"/>
    </row>
    <row r="20" customHeight="1" spans="1:9">
      <c r="A20" s="102">
        <f t="shared" si="1"/>
        <v>10</v>
      </c>
      <c r="B20" s="106" t="s">
        <v>21</v>
      </c>
      <c r="C20" s="86" t="s">
        <v>224</v>
      </c>
      <c r="D20" s="86" t="s">
        <v>235</v>
      </c>
      <c r="E20" s="35" t="s">
        <v>235</v>
      </c>
      <c r="F20" s="30" t="s">
        <v>236</v>
      </c>
      <c r="G20" s="111" t="s">
        <v>237</v>
      </c>
      <c r="H20" s="51" t="s">
        <v>27</v>
      </c>
      <c r="I20" s="51"/>
    </row>
    <row r="21" customHeight="1" spans="1:9">
      <c r="A21" s="102">
        <f t="shared" si="1"/>
        <v>11</v>
      </c>
      <c r="B21" s="107" t="s">
        <v>21</v>
      </c>
      <c r="C21" s="110" t="s">
        <v>224</v>
      </c>
      <c r="D21" s="110" t="s">
        <v>238</v>
      </c>
      <c r="E21" s="108" t="s">
        <v>238</v>
      </c>
      <c r="F21" s="109" t="s">
        <v>41</v>
      </c>
      <c r="G21" s="51" t="s">
        <v>239</v>
      </c>
      <c r="H21" s="51" t="s">
        <v>42</v>
      </c>
      <c r="I21" s="51"/>
    </row>
    <row r="22" customHeight="1" spans="1:9">
      <c r="A22" s="102">
        <f t="shared" si="1"/>
        <v>12</v>
      </c>
      <c r="B22" s="106"/>
      <c r="C22" s="86" t="s">
        <v>224</v>
      </c>
      <c r="D22" s="86" t="s">
        <v>240</v>
      </c>
      <c r="E22" s="35" t="s">
        <v>241</v>
      </c>
      <c r="F22" s="30" t="s">
        <v>38</v>
      </c>
      <c r="G22" s="51" t="s">
        <v>242</v>
      </c>
      <c r="H22" s="51" t="s">
        <v>243</v>
      </c>
      <c r="I22" s="51"/>
    </row>
    <row r="23" customHeight="1" spans="1:9">
      <c r="A23" s="102">
        <f t="shared" si="1"/>
        <v>13</v>
      </c>
      <c r="B23" s="106"/>
      <c r="C23" s="86" t="s">
        <v>224</v>
      </c>
      <c r="D23" s="86" t="s">
        <v>244</v>
      </c>
      <c r="E23" s="35" t="s">
        <v>244</v>
      </c>
      <c r="F23" s="30" t="s">
        <v>245</v>
      </c>
      <c r="G23" s="51"/>
      <c r="H23" s="51" t="s">
        <v>24</v>
      </c>
      <c r="I23" s="51"/>
    </row>
    <row r="24" customHeight="1" spans="1:9">
      <c r="A24" s="102">
        <f t="shared" si="1"/>
        <v>14</v>
      </c>
      <c r="B24" s="106"/>
      <c r="C24" s="86" t="s">
        <v>224</v>
      </c>
      <c r="D24" s="86" t="s">
        <v>246</v>
      </c>
      <c r="E24" s="35" t="s">
        <v>246</v>
      </c>
      <c r="F24" s="30" t="s">
        <v>247</v>
      </c>
      <c r="G24" s="51"/>
      <c r="H24" s="51" t="s">
        <v>24</v>
      </c>
      <c r="I24" s="51"/>
    </row>
    <row r="25" s="183" customFormat="1" customHeight="1" spans="1:9">
      <c r="A25" s="184">
        <f t="shared" si="1"/>
        <v>15</v>
      </c>
      <c r="B25" s="185"/>
      <c r="C25" s="186"/>
      <c r="D25" s="186" t="s">
        <v>248</v>
      </c>
      <c r="E25" s="187" t="s">
        <v>248</v>
      </c>
      <c r="F25" s="186" t="s">
        <v>249</v>
      </c>
      <c r="G25" s="188" t="s">
        <v>250</v>
      </c>
      <c r="H25" s="188" t="s">
        <v>24</v>
      </c>
      <c r="I25" s="188"/>
    </row>
    <row r="26" s="183" customFormat="1" customHeight="1" spans="1:9">
      <c r="A26" s="184">
        <f t="shared" si="1"/>
        <v>16</v>
      </c>
      <c r="B26" s="185"/>
      <c r="C26" s="186"/>
      <c r="D26" s="186" t="s">
        <v>251</v>
      </c>
      <c r="E26" s="187" t="s">
        <v>251</v>
      </c>
      <c r="F26" s="186" t="s">
        <v>252</v>
      </c>
      <c r="G26" s="188" t="s">
        <v>250</v>
      </c>
      <c r="H26" s="188" t="s">
        <v>24</v>
      </c>
      <c r="I26" s="188"/>
    </row>
    <row r="27" customHeight="1" spans="1:9">
      <c r="A27" s="102">
        <f t="shared" ref="A27:A34" si="2">ROW(A27)-10</f>
        <v>17</v>
      </c>
      <c r="B27" s="30"/>
      <c r="C27" s="30"/>
      <c r="D27" s="35" t="s">
        <v>251</v>
      </c>
      <c r="E27" s="35" t="s">
        <v>251</v>
      </c>
      <c r="F27" s="30" t="s">
        <v>253</v>
      </c>
      <c r="G27" s="51" t="s">
        <v>254</v>
      </c>
      <c r="H27" s="51" t="s">
        <v>24</v>
      </c>
      <c r="I27" s="30"/>
    </row>
    <row r="28" customHeight="1" spans="1:9">
      <c r="A28" s="102">
        <f t="shared" si="2"/>
        <v>18</v>
      </c>
      <c r="B28" s="30"/>
      <c r="C28" s="30"/>
      <c r="D28" s="35" t="s">
        <v>248</v>
      </c>
      <c r="E28" s="35" t="s">
        <v>248</v>
      </c>
      <c r="F28" s="30" t="s">
        <v>255</v>
      </c>
      <c r="G28" s="51" t="s">
        <v>254</v>
      </c>
      <c r="H28" s="51" t="s">
        <v>24</v>
      </c>
      <c r="I28" s="30"/>
    </row>
    <row r="29" customHeight="1" spans="1:9">
      <c r="A29" s="102">
        <f t="shared" si="2"/>
        <v>19</v>
      </c>
      <c r="B29" s="30"/>
      <c r="C29" s="30"/>
      <c r="D29" s="30" t="s">
        <v>256</v>
      </c>
      <c r="E29" s="35"/>
      <c r="F29" s="30" t="s">
        <v>257</v>
      </c>
      <c r="G29" s="30"/>
      <c r="H29" s="51" t="s">
        <v>27</v>
      </c>
      <c r="I29" s="30"/>
    </row>
    <row r="30" customHeight="1" spans="1:9">
      <c r="A30" s="102">
        <f t="shared" si="2"/>
        <v>20</v>
      </c>
      <c r="B30" s="30"/>
      <c r="C30" s="30"/>
      <c r="D30" s="30" t="s">
        <v>258</v>
      </c>
      <c r="E30" s="35"/>
      <c r="F30" s="30" t="s">
        <v>44</v>
      </c>
      <c r="G30" s="30"/>
      <c r="H30" s="51" t="s">
        <v>24</v>
      </c>
      <c r="I30" s="30"/>
    </row>
    <row r="31" customHeight="1" spans="1:9">
      <c r="A31" s="102">
        <f t="shared" si="2"/>
        <v>21</v>
      </c>
      <c r="B31" s="30"/>
      <c r="C31" s="30"/>
      <c r="D31" s="30" t="s">
        <v>45</v>
      </c>
      <c r="E31" s="35"/>
      <c r="F31" s="30" t="s">
        <v>46</v>
      </c>
      <c r="G31" s="30"/>
      <c r="H31" s="51" t="s">
        <v>27</v>
      </c>
      <c r="I31" s="30"/>
    </row>
    <row r="32" customHeight="1" spans="1:9">
      <c r="A32" s="102">
        <f t="shared" si="2"/>
        <v>22</v>
      </c>
      <c r="B32" s="30"/>
      <c r="C32" s="30"/>
      <c r="D32" s="30" t="s">
        <v>259</v>
      </c>
      <c r="E32" s="35"/>
      <c r="F32" s="30" t="s">
        <v>49</v>
      </c>
      <c r="G32" s="30"/>
      <c r="H32" s="51" t="s">
        <v>24</v>
      </c>
      <c r="I32" s="30"/>
    </row>
    <row r="33" customHeight="1" spans="1:9">
      <c r="A33" s="102">
        <f t="shared" si="2"/>
        <v>23</v>
      </c>
      <c r="B33" s="30"/>
      <c r="C33" s="30"/>
      <c r="D33" s="30" t="s">
        <v>260</v>
      </c>
      <c r="E33" s="35"/>
      <c r="F33" s="30" t="s">
        <v>51</v>
      </c>
      <c r="G33" s="30"/>
      <c r="H33" s="51" t="s">
        <v>27</v>
      </c>
      <c r="I33" s="3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85" zoomScaleNormal="85" topLeftCell="A4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38.1666666666667" style="37" customWidth="1"/>
    <col min="10" max="10" width="23.6666666666667" style="37" customWidth="1"/>
    <col min="11" max="16384" width="10.8333333333333" style="37"/>
  </cols>
  <sheetData>
    <row r="1" customHeight="1" spans="1:9">
      <c r="A1" s="98" t="s">
        <v>0</v>
      </c>
      <c r="B1" s="28" t="s">
        <v>261</v>
      </c>
      <c r="C1" s="99"/>
      <c r="D1" s="99"/>
      <c r="E1" s="99"/>
      <c r="F1" s="99"/>
      <c r="G1" s="99"/>
      <c r="H1" s="99"/>
      <c r="I1" s="99"/>
    </row>
    <row r="2" customHeight="1" spans="1:9">
      <c r="A2" s="178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01" t="s">
        <v>2</v>
      </c>
      <c r="B3" s="101"/>
      <c r="C3" s="101"/>
      <c r="D3" s="101"/>
      <c r="E3" s="101"/>
      <c r="F3" s="101"/>
      <c r="G3" s="101"/>
      <c r="H3" s="101"/>
      <c r="I3" s="101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262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263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264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01" t="s">
        <v>12</v>
      </c>
      <c r="B9" s="101"/>
      <c r="C9" s="101"/>
      <c r="D9" s="101"/>
      <c r="E9" s="101"/>
      <c r="F9" s="101"/>
      <c r="G9" s="101"/>
      <c r="H9" s="101"/>
      <c r="I9" s="101"/>
    </row>
    <row r="10" customHeight="1" spans="1:12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  <c r="J10" s="103" t="s">
        <v>56</v>
      </c>
      <c r="K10" s="182" t="s">
        <v>57</v>
      </c>
      <c r="L10" s="182" t="s">
        <v>58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102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265</v>
      </c>
      <c r="E12" s="108" t="s">
        <v>266</v>
      </c>
      <c r="F12" s="109" t="s">
        <v>267</v>
      </c>
      <c r="G12" s="51"/>
      <c r="H12" s="102" t="s">
        <v>24</v>
      </c>
      <c r="I12" s="51"/>
      <c r="J12" s="37" t="s">
        <v>212</v>
      </c>
      <c r="K12" s="37" t="s">
        <v>22</v>
      </c>
    </row>
    <row r="13" customHeight="1" spans="1:9">
      <c r="A13" s="102">
        <v>3</v>
      </c>
      <c r="B13" s="107" t="s">
        <v>21</v>
      </c>
      <c r="C13" s="109"/>
      <c r="D13" s="109" t="s">
        <v>25</v>
      </c>
      <c r="E13" s="108" t="s">
        <v>268</v>
      </c>
      <c r="F13" s="109" t="s">
        <v>26</v>
      </c>
      <c r="G13" s="51"/>
      <c r="H13" s="102" t="s">
        <v>24</v>
      </c>
      <c r="I13" s="51"/>
    </row>
    <row r="14" customHeight="1" spans="1:9">
      <c r="A14" s="102">
        <v>4</v>
      </c>
      <c r="B14" s="107" t="s">
        <v>21</v>
      </c>
      <c r="C14" s="109"/>
      <c r="D14" s="109" t="s">
        <v>28</v>
      </c>
      <c r="E14" s="108" t="s">
        <v>269</v>
      </c>
      <c r="F14" s="109" t="s">
        <v>29</v>
      </c>
      <c r="G14" s="51"/>
      <c r="H14" s="102" t="s">
        <v>24</v>
      </c>
      <c r="I14" s="51"/>
    </row>
    <row r="15" customHeight="1" spans="1:9">
      <c r="A15" s="102">
        <v>5</v>
      </c>
      <c r="B15" s="107" t="s">
        <v>21</v>
      </c>
      <c r="C15" s="110" t="s">
        <v>224</v>
      </c>
      <c r="D15" s="110" t="s">
        <v>270</v>
      </c>
      <c r="E15" s="108" t="s">
        <v>271</v>
      </c>
      <c r="F15" s="109" t="s">
        <v>38</v>
      </c>
      <c r="G15" s="51" t="s">
        <v>272</v>
      </c>
      <c r="H15" s="102" t="s">
        <v>243</v>
      </c>
      <c r="I15" s="51"/>
    </row>
    <row r="16" customHeight="1" spans="1:9">
      <c r="A16" s="102">
        <v>6</v>
      </c>
      <c r="B16" s="106" t="s">
        <v>21</v>
      </c>
      <c r="C16" s="86" t="s">
        <v>224</v>
      </c>
      <c r="D16" s="86" t="s">
        <v>40</v>
      </c>
      <c r="E16" s="35" t="s">
        <v>273</v>
      </c>
      <c r="F16" s="30" t="s">
        <v>41</v>
      </c>
      <c r="G16" s="51"/>
      <c r="H16" s="102" t="s">
        <v>42</v>
      </c>
      <c r="I16" s="51"/>
    </row>
    <row r="17" customHeight="1" spans="1:9">
      <c r="A17" s="102">
        <v>7</v>
      </c>
      <c r="B17" s="106" t="s">
        <v>21</v>
      </c>
      <c r="C17" s="86" t="s">
        <v>224</v>
      </c>
      <c r="D17" s="86" t="s">
        <v>258</v>
      </c>
      <c r="E17" s="35" t="s">
        <v>258</v>
      </c>
      <c r="F17" s="30" t="s">
        <v>44</v>
      </c>
      <c r="G17" s="39"/>
      <c r="H17" s="30" t="s">
        <v>24</v>
      </c>
      <c r="I17" s="39"/>
    </row>
    <row r="18" customHeight="1" spans="1:9">
      <c r="A18" s="102">
        <v>8</v>
      </c>
      <c r="B18" s="106" t="s">
        <v>21</v>
      </c>
      <c r="C18" s="86" t="s">
        <v>224</v>
      </c>
      <c r="D18" s="86" t="s">
        <v>45</v>
      </c>
      <c r="E18" s="35" t="s">
        <v>45</v>
      </c>
      <c r="F18" s="30" t="s">
        <v>46</v>
      </c>
      <c r="G18" s="39"/>
      <c r="H18" s="180" t="s">
        <v>47</v>
      </c>
      <c r="I18" s="153"/>
    </row>
    <row r="19" customHeight="1" spans="1:9">
      <c r="A19" s="102">
        <v>9</v>
      </c>
      <c r="B19" s="106" t="s">
        <v>21</v>
      </c>
      <c r="C19" s="86" t="s">
        <v>224</v>
      </c>
      <c r="D19" s="86" t="s">
        <v>274</v>
      </c>
      <c r="E19" s="35" t="s">
        <v>274</v>
      </c>
      <c r="F19" s="30" t="s">
        <v>49</v>
      </c>
      <c r="G19" s="181"/>
      <c r="H19" s="30" t="s">
        <v>24</v>
      </c>
      <c r="I19" s="39"/>
    </row>
    <row r="20" customHeight="1" spans="1:9">
      <c r="A20" s="102">
        <v>10</v>
      </c>
      <c r="B20" s="106" t="s">
        <v>21</v>
      </c>
      <c r="C20" s="86" t="s">
        <v>224</v>
      </c>
      <c r="D20" s="86" t="s">
        <v>50</v>
      </c>
      <c r="E20" s="35" t="s">
        <v>50</v>
      </c>
      <c r="F20" s="30" t="s">
        <v>51</v>
      </c>
      <c r="G20" s="39"/>
      <c r="H20" s="30" t="s">
        <v>47</v>
      </c>
      <c r="I20" s="39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85" zoomScaleNormal="85" workbookViewId="0">
      <selection activeCell="J13" sqref="J13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38.1666666666667" style="37" customWidth="1"/>
    <col min="10" max="10" width="22.8333333333333" style="37" customWidth="1"/>
    <col min="11" max="16384" width="10.8333333333333" style="37"/>
  </cols>
  <sheetData>
    <row r="1" customHeight="1" spans="1:9">
      <c r="A1" s="98" t="s">
        <v>0</v>
      </c>
      <c r="B1" s="28" t="s">
        <v>275</v>
      </c>
      <c r="C1" s="99"/>
      <c r="D1" s="99"/>
      <c r="E1" s="99"/>
      <c r="F1" s="99"/>
      <c r="G1" s="99"/>
      <c r="H1" s="99"/>
      <c r="I1" s="99"/>
    </row>
    <row r="2" customHeight="1" spans="1:9">
      <c r="A2" s="178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01" t="s">
        <v>2</v>
      </c>
      <c r="B3" s="101"/>
      <c r="C3" s="101"/>
      <c r="D3" s="101"/>
      <c r="E3" s="101"/>
      <c r="F3" s="101"/>
      <c r="G3" s="101"/>
      <c r="H3" s="101"/>
      <c r="I3" s="101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276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277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264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01" t="s">
        <v>12</v>
      </c>
      <c r="B9" s="101"/>
      <c r="C9" s="101"/>
      <c r="D9" s="101"/>
      <c r="E9" s="101"/>
      <c r="F9" s="101"/>
      <c r="G9" s="101"/>
      <c r="H9" s="101"/>
      <c r="I9" s="101"/>
    </row>
    <row r="10" customHeight="1" spans="1:12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  <c r="J10" s="103" t="s">
        <v>56</v>
      </c>
      <c r="K10" s="182" t="s">
        <v>57</v>
      </c>
      <c r="L10" s="182" t="s">
        <v>58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102" t="s">
        <v>24</v>
      </c>
      <c r="I11" s="51"/>
    </row>
    <row r="12" customHeight="1" spans="1:11">
      <c r="A12" s="102">
        <f t="shared" ref="A12:A21" si="0">A11+1</f>
        <v>2</v>
      </c>
      <c r="B12" s="107" t="s">
        <v>21</v>
      </c>
      <c r="C12" s="46"/>
      <c r="D12" s="46" t="s">
        <v>278</v>
      </c>
      <c r="E12" s="108" t="s">
        <v>279</v>
      </c>
      <c r="F12" s="109" t="s">
        <v>280</v>
      </c>
      <c r="G12" s="51"/>
      <c r="H12" s="102" t="s">
        <v>24</v>
      </c>
      <c r="I12" s="51"/>
      <c r="J12" s="37" t="s">
        <v>262</v>
      </c>
      <c r="K12" s="37" t="s">
        <v>22</v>
      </c>
    </row>
    <row r="13" customHeight="1" spans="1:11">
      <c r="A13" s="102">
        <f t="shared" si="0"/>
        <v>3</v>
      </c>
      <c r="B13" s="106" t="s">
        <v>21</v>
      </c>
      <c r="C13" s="30"/>
      <c r="D13" s="179" t="s">
        <v>281</v>
      </c>
      <c r="E13" s="35" t="s">
        <v>282</v>
      </c>
      <c r="F13" s="30" t="s">
        <v>162</v>
      </c>
      <c r="G13" s="51"/>
      <c r="H13" s="102" t="s">
        <v>24</v>
      </c>
      <c r="I13" s="51"/>
      <c r="J13" s="37" t="s">
        <v>161</v>
      </c>
      <c r="K13" s="37" t="s">
        <v>162</v>
      </c>
    </row>
    <row r="14" customHeight="1" spans="1:9">
      <c r="A14" s="102">
        <f t="shared" si="0"/>
        <v>4</v>
      </c>
      <c r="B14" s="106" t="s">
        <v>21</v>
      </c>
      <c r="C14" s="30"/>
      <c r="D14" s="30" t="s">
        <v>283</v>
      </c>
      <c r="E14" s="35" t="s">
        <v>284</v>
      </c>
      <c r="F14" s="30" t="s">
        <v>285</v>
      </c>
      <c r="G14" s="51"/>
      <c r="H14" s="102" t="s">
        <v>24</v>
      </c>
      <c r="I14" s="51"/>
    </row>
    <row r="15" customHeight="1" spans="1:9">
      <c r="A15" s="102">
        <f t="shared" si="0"/>
        <v>5</v>
      </c>
      <c r="B15" s="106" t="s">
        <v>21</v>
      </c>
      <c r="C15" s="30"/>
      <c r="D15" s="30" t="s">
        <v>286</v>
      </c>
      <c r="E15" s="35" t="s">
        <v>287</v>
      </c>
      <c r="F15" s="30" t="s">
        <v>288</v>
      </c>
      <c r="G15" s="51" t="s">
        <v>289</v>
      </c>
      <c r="H15" s="102" t="s">
        <v>24</v>
      </c>
      <c r="I15" s="51"/>
    </row>
    <row r="16" customHeight="1" spans="1:9">
      <c r="A16" s="102">
        <f t="shared" si="0"/>
        <v>6</v>
      </c>
      <c r="B16" s="106" t="s">
        <v>21</v>
      </c>
      <c r="C16" s="86" t="s">
        <v>224</v>
      </c>
      <c r="D16" s="86" t="s">
        <v>270</v>
      </c>
      <c r="E16" s="35" t="s">
        <v>290</v>
      </c>
      <c r="F16" s="30" t="s">
        <v>38</v>
      </c>
      <c r="G16" s="51" t="s">
        <v>291</v>
      </c>
      <c r="H16" s="102" t="s">
        <v>243</v>
      </c>
      <c r="I16" s="51"/>
    </row>
    <row r="17" customHeight="1" spans="1:9">
      <c r="A17" s="102">
        <f t="shared" si="0"/>
        <v>7</v>
      </c>
      <c r="B17" s="106" t="s">
        <v>21</v>
      </c>
      <c r="C17" s="86" t="s">
        <v>224</v>
      </c>
      <c r="D17" s="86" t="s">
        <v>40</v>
      </c>
      <c r="E17" s="35" t="s">
        <v>40</v>
      </c>
      <c r="F17" s="30" t="s">
        <v>41</v>
      </c>
      <c r="G17" s="51"/>
      <c r="H17" s="102" t="s">
        <v>42</v>
      </c>
      <c r="I17" s="51"/>
    </row>
    <row r="18" customHeight="1" spans="1:9">
      <c r="A18" s="102">
        <f t="shared" si="0"/>
        <v>8</v>
      </c>
      <c r="B18" s="106" t="s">
        <v>21</v>
      </c>
      <c r="C18" s="86" t="s">
        <v>224</v>
      </c>
      <c r="D18" s="86" t="s">
        <v>258</v>
      </c>
      <c r="E18" s="35" t="s">
        <v>258</v>
      </c>
      <c r="F18" s="30" t="s">
        <v>44</v>
      </c>
      <c r="G18" s="39"/>
      <c r="H18" s="30" t="s">
        <v>24</v>
      </c>
      <c r="I18" s="39"/>
    </row>
    <row r="19" customHeight="1" spans="1:9">
      <c r="A19" s="102">
        <f t="shared" si="0"/>
        <v>9</v>
      </c>
      <c r="B19" s="106" t="s">
        <v>21</v>
      </c>
      <c r="C19" s="86" t="s">
        <v>224</v>
      </c>
      <c r="D19" s="86" t="s">
        <v>45</v>
      </c>
      <c r="E19" s="35" t="s">
        <v>45</v>
      </c>
      <c r="F19" s="30" t="s">
        <v>46</v>
      </c>
      <c r="G19" s="39"/>
      <c r="H19" s="180" t="s">
        <v>47</v>
      </c>
      <c r="I19" s="153"/>
    </row>
    <row r="20" customHeight="1" spans="1:9">
      <c r="A20" s="102">
        <f t="shared" si="0"/>
        <v>10</v>
      </c>
      <c r="B20" s="106" t="s">
        <v>21</v>
      </c>
      <c r="C20" s="86" t="s">
        <v>224</v>
      </c>
      <c r="D20" s="86" t="s">
        <v>274</v>
      </c>
      <c r="E20" s="35" t="s">
        <v>274</v>
      </c>
      <c r="F20" s="30" t="s">
        <v>49</v>
      </c>
      <c r="G20" s="181"/>
      <c r="H20" s="30" t="s">
        <v>24</v>
      </c>
      <c r="I20" s="39"/>
    </row>
    <row r="21" customHeight="1" spans="1:9">
      <c r="A21" s="102">
        <f t="shared" si="0"/>
        <v>11</v>
      </c>
      <c r="B21" s="106" t="s">
        <v>21</v>
      </c>
      <c r="C21" s="86" t="s">
        <v>224</v>
      </c>
      <c r="D21" s="86" t="s">
        <v>50</v>
      </c>
      <c r="E21" s="35" t="s">
        <v>50</v>
      </c>
      <c r="F21" s="30" t="s">
        <v>51</v>
      </c>
      <c r="G21" s="39"/>
      <c r="H21" s="30" t="s">
        <v>47</v>
      </c>
      <c r="I21" s="39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"/>
  <sheetViews>
    <sheetView zoomScale="70" zoomScaleNormal="70" topLeftCell="A4" workbookViewId="0">
      <selection activeCell="G15" sqref="G15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40.3333333333333" style="37" customWidth="1"/>
    <col min="10" max="10" width="20.5" style="37" customWidth="1"/>
    <col min="11" max="11" width="10.8333333333333" style="37"/>
    <col min="12" max="12" width="22.1416666666667" style="37" customWidth="1"/>
    <col min="13" max="16384" width="10.8333333333333" style="37"/>
  </cols>
  <sheetData>
    <row r="1" customHeight="1" spans="1:9">
      <c r="A1" s="98" t="s">
        <v>0</v>
      </c>
      <c r="B1" s="28" t="s">
        <v>292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293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294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295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51" t="s">
        <v>296</v>
      </c>
      <c r="I11" s="39"/>
    </row>
    <row r="12" customHeight="1" spans="1:9">
      <c r="A12" s="102">
        <v>2</v>
      </c>
      <c r="B12" s="107" t="s">
        <v>21</v>
      </c>
      <c r="C12" s="109"/>
      <c r="D12" s="109" t="s">
        <v>297</v>
      </c>
      <c r="E12" s="108" t="s">
        <v>297</v>
      </c>
      <c r="F12" s="109" t="s">
        <v>298</v>
      </c>
      <c r="G12" s="51" t="s">
        <v>299</v>
      </c>
      <c r="H12" s="51" t="s">
        <v>296</v>
      </c>
      <c r="I12" s="39"/>
    </row>
    <row r="13" customHeight="1" spans="1:9">
      <c r="A13" s="102">
        <v>3</v>
      </c>
      <c r="B13" s="106" t="s">
        <v>21</v>
      </c>
      <c r="C13" s="30"/>
      <c r="D13" s="30" t="s">
        <v>300</v>
      </c>
      <c r="E13" s="35" t="s">
        <v>300</v>
      </c>
      <c r="F13" s="30" t="s">
        <v>29</v>
      </c>
      <c r="G13" s="51"/>
      <c r="H13" s="51" t="s">
        <v>301</v>
      </c>
      <c r="I13" s="39"/>
    </row>
    <row r="14" customHeight="1" spans="1:11">
      <c r="A14" s="102">
        <v>4</v>
      </c>
      <c r="B14" s="106" t="s">
        <v>21</v>
      </c>
      <c r="C14" s="30"/>
      <c r="D14" s="30" t="s">
        <v>302</v>
      </c>
      <c r="E14" s="35" t="s">
        <v>303</v>
      </c>
      <c r="F14" s="30" t="s">
        <v>304</v>
      </c>
      <c r="G14" s="51" t="s">
        <v>305</v>
      </c>
      <c r="H14" s="51" t="s">
        <v>24</v>
      </c>
      <c r="I14" s="39" t="s">
        <v>306</v>
      </c>
      <c r="J14" s="37" t="s">
        <v>307</v>
      </c>
      <c r="K14" s="37" t="s">
        <v>26</v>
      </c>
    </row>
    <row r="15" customHeight="1" spans="1:9">
      <c r="A15" s="102">
        <v>5</v>
      </c>
      <c r="B15" s="107" t="s">
        <v>21</v>
      </c>
      <c r="C15" s="109"/>
      <c r="D15" s="109" t="s">
        <v>308</v>
      </c>
      <c r="E15" s="108" t="s">
        <v>309</v>
      </c>
      <c r="F15" s="109" t="s">
        <v>310</v>
      </c>
      <c r="G15" s="51" t="s">
        <v>311</v>
      </c>
      <c r="H15" s="51" t="s">
        <v>42</v>
      </c>
      <c r="I15" s="39"/>
    </row>
    <row r="16" customHeight="1" spans="1:12">
      <c r="A16" s="102">
        <v>6</v>
      </c>
      <c r="B16" s="107" t="s">
        <v>21</v>
      </c>
      <c r="C16" s="176"/>
      <c r="D16" s="176" t="s">
        <v>312</v>
      </c>
      <c r="E16" s="108" t="s">
        <v>313</v>
      </c>
      <c r="F16" s="109" t="s">
        <v>314</v>
      </c>
      <c r="G16" s="51" t="s">
        <v>315</v>
      </c>
      <c r="H16" s="51" t="s">
        <v>24</v>
      </c>
      <c r="I16" s="39" t="s">
        <v>316</v>
      </c>
      <c r="J16" s="37" t="s">
        <v>4</v>
      </c>
      <c r="K16" s="37" t="s">
        <v>26</v>
      </c>
      <c r="L16" s="37" t="s">
        <v>314</v>
      </c>
    </row>
    <row r="17" customHeight="1" spans="1:9">
      <c r="A17" s="102">
        <v>7</v>
      </c>
      <c r="B17" s="106" t="s">
        <v>21</v>
      </c>
      <c r="C17" s="30"/>
      <c r="D17" s="30" t="s">
        <v>317</v>
      </c>
      <c r="E17" s="35" t="s">
        <v>318</v>
      </c>
      <c r="F17" s="30" t="s">
        <v>319</v>
      </c>
      <c r="G17" s="51" t="s">
        <v>320</v>
      </c>
      <c r="H17" s="51" t="s">
        <v>243</v>
      </c>
      <c r="I17" s="39"/>
    </row>
    <row r="18" customHeight="1" spans="1:9">
      <c r="A18" s="102">
        <v>8</v>
      </c>
      <c r="B18" s="106" t="s">
        <v>21</v>
      </c>
      <c r="C18" s="36"/>
      <c r="D18" s="36" t="s">
        <v>321</v>
      </c>
      <c r="E18" s="35" t="s">
        <v>322</v>
      </c>
      <c r="F18" s="30" t="s">
        <v>323</v>
      </c>
      <c r="G18" s="51" t="s">
        <v>324</v>
      </c>
      <c r="H18" s="51" t="s">
        <v>243</v>
      </c>
      <c r="I18" s="39"/>
    </row>
    <row r="19" customHeight="1" spans="1:9">
      <c r="A19" s="102">
        <v>9</v>
      </c>
      <c r="B19" s="107" t="s">
        <v>21</v>
      </c>
      <c r="C19" s="109"/>
      <c r="D19" s="109" t="s">
        <v>325</v>
      </c>
      <c r="E19" s="108" t="s">
        <v>326</v>
      </c>
      <c r="F19" s="109" t="s">
        <v>327</v>
      </c>
      <c r="G19" s="51" t="s">
        <v>328</v>
      </c>
      <c r="H19" s="51" t="s">
        <v>329</v>
      </c>
      <c r="I19" s="39"/>
    </row>
    <row r="20" customHeight="1" spans="1:9">
      <c r="A20" s="102">
        <v>10</v>
      </c>
      <c r="B20" s="106" t="s">
        <v>21</v>
      </c>
      <c r="C20" s="30"/>
      <c r="D20" s="30" t="s">
        <v>330</v>
      </c>
      <c r="E20" s="35" t="s">
        <v>331</v>
      </c>
      <c r="F20" s="30" t="s">
        <v>332</v>
      </c>
      <c r="G20" s="51" t="s">
        <v>333</v>
      </c>
      <c r="H20" s="51" t="s">
        <v>329</v>
      </c>
      <c r="I20" s="39"/>
    </row>
    <row r="21" customHeight="1" spans="1:9">
      <c r="A21" s="102">
        <v>11</v>
      </c>
      <c r="B21" s="106" t="s">
        <v>21</v>
      </c>
      <c r="C21" s="86" t="s">
        <v>224</v>
      </c>
      <c r="D21" s="86" t="s">
        <v>40</v>
      </c>
      <c r="E21" s="35" t="s">
        <v>40</v>
      </c>
      <c r="F21" s="30" t="s">
        <v>41</v>
      </c>
      <c r="G21" s="51" t="s">
        <v>239</v>
      </c>
      <c r="H21" s="51" t="s">
        <v>42</v>
      </c>
      <c r="I21" s="39"/>
    </row>
    <row r="22" customHeight="1" spans="1:9">
      <c r="A22" s="102">
        <v>12</v>
      </c>
      <c r="B22" s="106" t="s">
        <v>21</v>
      </c>
      <c r="C22" s="86" t="s">
        <v>224</v>
      </c>
      <c r="D22" s="86" t="s">
        <v>244</v>
      </c>
      <c r="E22" s="35" t="s">
        <v>334</v>
      </c>
      <c r="F22" s="30" t="s">
        <v>245</v>
      </c>
      <c r="G22" s="51"/>
      <c r="H22" s="51" t="s">
        <v>219</v>
      </c>
      <c r="I22" s="39"/>
    </row>
    <row r="23" customHeight="1" spans="1:9">
      <c r="A23" s="102">
        <v>13</v>
      </c>
      <c r="B23" s="106" t="s">
        <v>21</v>
      </c>
      <c r="C23" s="46"/>
      <c r="D23" s="46" t="s">
        <v>220</v>
      </c>
      <c r="E23" s="108" t="s">
        <v>335</v>
      </c>
      <c r="F23" s="109" t="s">
        <v>222</v>
      </c>
      <c r="G23" s="51"/>
      <c r="H23" s="51" t="s">
        <v>219</v>
      </c>
      <c r="I23" s="39"/>
    </row>
    <row r="24" customHeight="1" spans="1:9">
      <c r="A24" s="102">
        <v>14</v>
      </c>
      <c r="B24" s="106" t="s">
        <v>21</v>
      </c>
      <c r="C24" s="86" t="s">
        <v>224</v>
      </c>
      <c r="D24" s="86" t="s">
        <v>246</v>
      </c>
      <c r="E24" s="35" t="s">
        <v>336</v>
      </c>
      <c r="F24" s="30" t="s">
        <v>247</v>
      </c>
      <c r="G24" s="51"/>
      <c r="H24" s="51" t="s">
        <v>219</v>
      </c>
      <c r="I24" s="39"/>
    </row>
    <row r="25" customHeight="1" spans="1:12">
      <c r="A25" s="102">
        <v>15</v>
      </c>
      <c r="B25" s="106" t="s">
        <v>21</v>
      </c>
      <c r="C25" s="86" t="s">
        <v>224</v>
      </c>
      <c r="D25" s="86" t="s">
        <v>337</v>
      </c>
      <c r="E25" s="35" t="s">
        <v>337</v>
      </c>
      <c r="F25" s="30" t="s">
        <v>338</v>
      </c>
      <c r="G25" s="51" t="s">
        <v>339</v>
      </c>
      <c r="H25" s="51" t="s">
        <v>27</v>
      </c>
      <c r="J25" s="37" t="s">
        <v>4</v>
      </c>
      <c r="K25" s="37" t="s">
        <v>26</v>
      </c>
      <c r="L25" s="37" t="s">
        <v>338</v>
      </c>
    </row>
    <row r="26" customHeight="1" spans="1:13">
      <c r="A26" s="102">
        <v>16</v>
      </c>
      <c r="B26" s="106" t="s">
        <v>21</v>
      </c>
      <c r="C26" s="30"/>
      <c r="D26" s="30" t="s">
        <v>340</v>
      </c>
      <c r="E26" s="35" t="s">
        <v>341</v>
      </c>
      <c r="F26" s="30" t="s">
        <v>342</v>
      </c>
      <c r="G26" s="51"/>
      <c r="H26" s="51" t="s">
        <v>42</v>
      </c>
      <c r="J26" s="177"/>
      <c r="K26" s="177"/>
      <c r="L26" s="177"/>
      <c r="M26" s="177"/>
    </row>
    <row r="27" s="132" customFormat="1" customHeight="1" spans="1:8">
      <c r="A27" s="133">
        <v>17</v>
      </c>
      <c r="B27" s="134" t="s">
        <v>21</v>
      </c>
      <c r="C27" s="86" t="s">
        <v>224</v>
      </c>
      <c r="D27" s="86" t="s">
        <v>343</v>
      </c>
      <c r="E27" s="35" t="s">
        <v>344</v>
      </c>
      <c r="F27" s="36" t="s">
        <v>38</v>
      </c>
      <c r="G27" s="136"/>
      <c r="H27" s="136" t="s">
        <v>345</v>
      </c>
    </row>
    <row r="28" customHeight="1" spans="4:8">
      <c r="D28" s="37" t="s">
        <v>278</v>
      </c>
      <c r="E28" s="37" t="s">
        <v>278</v>
      </c>
      <c r="F28" s="97" t="s">
        <v>346</v>
      </c>
      <c r="H28" s="51" t="s">
        <v>347</v>
      </c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zoomScale="75" zoomScaleNormal="75" topLeftCell="A4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0" width="10.8333333333333" style="37"/>
    <col min="11" max="11" width="11.8333333333333" style="37" customWidth="1"/>
    <col min="12" max="12" width="15.3333333333333" style="37" customWidth="1"/>
    <col min="13" max="16384" width="10.8333333333333" style="37"/>
  </cols>
  <sheetData>
    <row r="1" customHeight="1" spans="1:9">
      <c r="A1" s="100" t="s">
        <v>0</v>
      </c>
      <c r="B1" s="28" t="s">
        <v>348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349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350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351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352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51" t="s">
        <v>24</v>
      </c>
      <c r="I11" s="51"/>
    </row>
    <row r="12" customHeight="1" spans="1:9">
      <c r="A12" s="102">
        <v>2</v>
      </c>
      <c r="B12" s="107" t="s">
        <v>21</v>
      </c>
      <c r="C12" s="109"/>
      <c r="D12" s="109" t="s">
        <v>25</v>
      </c>
      <c r="E12" s="108" t="s">
        <v>353</v>
      </c>
      <c r="F12" s="109" t="s">
        <v>26</v>
      </c>
      <c r="G12" s="51" t="s">
        <v>299</v>
      </c>
      <c r="H12" s="51" t="s">
        <v>24</v>
      </c>
      <c r="I12" s="51"/>
    </row>
    <row r="13" customHeight="1" spans="1:9">
      <c r="A13" s="102">
        <v>3</v>
      </c>
      <c r="B13" s="106" t="s">
        <v>21</v>
      </c>
      <c r="C13" s="30"/>
      <c r="D13" s="30" t="s">
        <v>28</v>
      </c>
      <c r="E13" s="35" t="s">
        <v>354</v>
      </c>
      <c r="F13" s="30" t="s">
        <v>29</v>
      </c>
      <c r="G13" s="51"/>
      <c r="H13" s="51" t="s">
        <v>219</v>
      </c>
      <c r="I13" s="51"/>
    </row>
    <row r="14" customHeight="1" spans="1:9">
      <c r="A14" s="102">
        <v>4</v>
      </c>
      <c r="B14" s="106" t="s">
        <v>21</v>
      </c>
      <c r="C14" s="86"/>
      <c r="D14" s="86" t="s">
        <v>225</v>
      </c>
      <c r="E14" s="35" t="s">
        <v>355</v>
      </c>
      <c r="F14" s="30" t="s">
        <v>227</v>
      </c>
      <c r="G14" s="51"/>
      <c r="H14" s="51" t="s">
        <v>24</v>
      </c>
      <c r="I14" s="51"/>
    </row>
    <row r="15" s="132" customFormat="1" customHeight="1" spans="1:9">
      <c r="A15" s="133">
        <v>5</v>
      </c>
      <c r="B15" s="175" t="s">
        <v>21</v>
      </c>
      <c r="C15" s="110" t="s">
        <v>224</v>
      </c>
      <c r="D15" s="110" t="s">
        <v>228</v>
      </c>
      <c r="E15" s="108" t="s">
        <v>228</v>
      </c>
      <c r="F15" s="46" t="s">
        <v>229</v>
      </c>
      <c r="G15" s="136" t="s">
        <v>230</v>
      </c>
      <c r="H15" s="136" t="s">
        <v>53</v>
      </c>
      <c r="I15" s="136"/>
    </row>
    <row r="16" s="132" customFormat="1" customHeight="1" spans="1:9">
      <c r="A16" s="133">
        <v>6</v>
      </c>
      <c r="B16" s="134" t="s">
        <v>21</v>
      </c>
      <c r="C16" s="86" t="s">
        <v>224</v>
      </c>
      <c r="D16" s="86" t="s">
        <v>231</v>
      </c>
      <c r="E16" s="35" t="s">
        <v>231</v>
      </c>
      <c r="F16" s="36" t="s">
        <v>232</v>
      </c>
      <c r="G16" s="136" t="s">
        <v>356</v>
      </c>
      <c r="H16" s="136" t="s">
        <v>234</v>
      </c>
      <c r="I16" s="136"/>
    </row>
    <row r="17" s="132" customFormat="1" customHeight="1" spans="1:9">
      <c r="A17" s="133">
        <v>7</v>
      </c>
      <c r="B17" s="134" t="s">
        <v>21</v>
      </c>
      <c r="C17" s="86" t="s">
        <v>224</v>
      </c>
      <c r="D17" s="86" t="s">
        <v>235</v>
      </c>
      <c r="E17" s="35" t="s">
        <v>235</v>
      </c>
      <c r="F17" s="36" t="s">
        <v>236</v>
      </c>
      <c r="G17" s="136" t="s">
        <v>357</v>
      </c>
      <c r="H17" s="136" t="s">
        <v>27</v>
      </c>
      <c r="I17" s="136"/>
    </row>
    <row r="18" s="132" customFormat="1" customHeight="1" spans="1:9">
      <c r="A18" s="133">
        <v>8</v>
      </c>
      <c r="B18" s="175" t="s">
        <v>21</v>
      </c>
      <c r="C18" s="110" t="s">
        <v>224</v>
      </c>
      <c r="D18" s="110" t="s">
        <v>238</v>
      </c>
      <c r="E18" s="108" t="s">
        <v>238</v>
      </c>
      <c r="F18" s="46" t="s">
        <v>41</v>
      </c>
      <c r="G18" s="136" t="s">
        <v>239</v>
      </c>
      <c r="H18" s="136" t="s">
        <v>42</v>
      </c>
      <c r="I18" s="136"/>
    </row>
    <row r="19" s="132" customFormat="1" customHeight="1" spans="1:9">
      <c r="A19" s="133">
        <v>9</v>
      </c>
      <c r="B19" s="134" t="s">
        <v>21</v>
      </c>
      <c r="C19" s="86" t="s">
        <v>224</v>
      </c>
      <c r="D19" s="86" t="s">
        <v>240</v>
      </c>
      <c r="E19" s="35" t="s">
        <v>240</v>
      </c>
      <c r="F19" s="36" t="s">
        <v>38</v>
      </c>
      <c r="G19" s="136" t="s">
        <v>242</v>
      </c>
      <c r="H19" s="136" t="s">
        <v>243</v>
      </c>
      <c r="I19" s="136"/>
    </row>
    <row r="20" customHeight="1" spans="1:12">
      <c r="A20" s="102">
        <v>10</v>
      </c>
      <c r="B20" s="106"/>
      <c r="C20" s="30"/>
      <c r="D20" s="30" t="s">
        <v>358</v>
      </c>
      <c r="E20" s="35" t="s">
        <v>359</v>
      </c>
      <c r="F20" s="30" t="s">
        <v>360</v>
      </c>
      <c r="G20" s="39" t="s">
        <v>361</v>
      </c>
      <c r="H20" s="51" t="s">
        <v>27</v>
      </c>
      <c r="I20" s="51"/>
      <c r="J20" s="37" t="s">
        <v>4</v>
      </c>
      <c r="K20" s="37" t="s">
        <v>26</v>
      </c>
      <c r="L20" s="37" t="s">
        <v>360</v>
      </c>
    </row>
    <row r="21" customHeight="1" spans="1:9">
      <c r="A21" s="102">
        <v>11</v>
      </c>
      <c r="B21" s="106"/>
      <c r="C21" s="30"/>
      <c r="D21" s="30" t="s">
        <v>362</v>
      </c>
      <c r="E21" s="35" t="s">
        <v>363</v>
      </c>
      <c r="F21" s="30" t="s">
        <v>364</v>
      </c>
      <c r="G21" s="51"/>
      <c r="H21" s="51" t="s">
        <v>243</v>
      </c>
      <c r="I21" s="51"/>
    </row>
    <row r="22" customHeight="1" spans="1:9">
      <c r="A22" s="102">
        <v>12</v>
      </c>
      <c r="B22" s="106"/>
      <c r="C22" s="86" t="s">
        <v>224</v>
      </c>
      <c r="D22" s="86" t="s">
        <v>365</v>
      </c>
      <c r="E22" s="35" t="s">
        <v>366</v>
      </c>
      <c r="F22" s="30" t="s">
        <v>367</v>
      </c>
      <c r="G22" s="51"/>
      <c r="H22" s="51" t="s">
        <v>24</v>
      </c>
      <c r="I22" s="51"/>
    </row>
    <row r="23" customHeight="1" spans="1:9">
      <c r="A23" s="102">
        <v>13</v>
      </c>
      <c r="B23" s="106"/>
      <c r="C23" s="86" t="s">
        <v>224</v>
      </c>
      <c r="D23" s="86" t="s">
        <v>368</v>
      </c>
      <c r="E23" s="35" t="s">
        <v>369</v>
      </c>
      <c r="F23" s="30" t="s">
        <v>370</v>
      </c>
      <c r="G23" s="51"/>
      <c r="H23" s="51" t="s">
        <v>24</v>
      </c>
      <c r="I23" s="51"/>
    </row>
    <row r="24" customHeight="1" spans="1:9">
      <c r="A24" s="102">
        <v>14</v>
      </c>
      <c r="B24" s="106"/>
      <c r="C24" s="30"/>
      <c r="D24" s="30" t="s">
        <v>371</v>
      </c>
      <c r="E24" s="35" t="s">
        <v>372</v>
      </c>
      <c r="F24" s="30" t="s">
        <v>119</v>
      </c>
      <c r="G24" s="51" t="s">
        <v>373</v>
      </c>
      <c r="H24" s="51" t="s">
        <v>117</v>
      </c>
      <c r="I24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opLeftCell="A4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6384" width="10.8333333333333" style="37"/>
  </cols>
  <sheetData>
    <row r="1" customHeight="1" spans="1:9">
      <c r="A1" s="98" t="s">
        <v>0</v>
      </c>
      <c r="B1" s="28" t="s">
        <v>374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375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376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377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352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27</v>
      </c>
      <c r="I11" s="51"/>
    </row>
    <row r="12" customHeight="1" spans="1:9">
      <c r="A12" s="102">
        <v>2</v>
      </c>
      <c r="B12" s="107" t="s">
        <v>21</v>
      </c>
      <c r="C12" s="109"/>
      <c r="D12" s="109" t="s">
        <v>378</v>
      </c>
      <c r="E12" s="108" t="s">
        <v>378</v>
      </c>
      <c r="F12" s="109" t="s">
        <v>379</v>
      </c>
      <c r="G12" s="131" t="s">
        <v>380</v>
      </c>
      <c r="H12" s="51" t="s">
        <v>381</v>
      </c>
      <c r="I12" s="51"/>
    </row>
    <row r="13" customHeight="1" spans="1:9">
      <c r="A13" s="102">
        <v>3</v>
      </c>
      <c r="B13" s="106" t="s">
        <v>21</v>
      </c>
      <c r="C13" s="30"/>
      <c r="D13" s="30" t="s">
        <v>382</v>
      </c>
      <c r="E13" s="35" t="s">
        <v>382</v>
      </c>
      <c r="F13" s="30" t="s">
        <v>383</v>
      </c>
      <c r="G13" s="131" t="s">
        <v>384</v>
      </c>
      <c r="H13" s="51" t="s">
        <v>381</v>
      </c>
      <c r="I13" s="51"/>
    </row>
    <row r="14" customHeight="1" spans="1:9">
      <c r="A14" s="102">
        <v>4</v>
      </c>
      <c r="B14" s="106" t="s">
        <v>21</v>
      </c>
      <c r="C14" s="36"/>
      <c r="D14" s="36" t="s">
        <v>385</v>
      </c>
      <c r="E14" s="35" t="s">
        <v>386</v>
      </c>
      <c r="F14" s="30" t="s">
        <v>387</v>
      </c>
      <c r="G14" s="131" t="s">
        <v>388</v>
      </c>
      <c r="H14" s="51" t="s">
        <v>381</v>
      </c>
      <c r="I14" s="51"/>
    </row>
    <row r="15" customHeight="1" spans="1:9">
      <c r="A15" s="102">
        <v>5</v>
      </c>
      <c r="B15" s="106" t="s">
        <v>21</v>
      </c>
      <c r="C15" s="36"/>
      <c r="D15" s="36" t="s">
        <v>389</v>
      </c>
      <c r="E15" s="35" t="s">
        <v>390</v>
      </c>
      <c r="F15" s="30" t="s">
        <v>391</v>
      </c>
      <c r="G15" s="131" t="s">
        <v>388</v>
      </c>
      <c r="H15" s="51" t="s">
        <v>381</v>
      </c>
      <c r="I15" s="51"/>
    </row>
    <row r="16" customHeight="1" spans="1:9">
      <c r="A16" s="102">
        <v>6</v>
      </c>
      <c r="B16" s="106" t="s">
        <v>21</v>
      </c>
      <c r="C16" s="30"/>
      <c r="D16" s="30" t="s">
        <v>392</v>
      </c>
      <c r="E16" s="35" t="s">
        <v>393</v>
      </c>
      <c r="F16" s="30" t="s">
        <v>394</v>
      </c>
      <c r="G16" s="131" t="s">
        <v>395</v>
      </c>
      <c r="H16" s="51" t="s">
        <v>381</v>
      </c>
      <c r="I16" s="51"/>
    </row>
    <row r="17" customHeight="1" spans="1:9">
      <c r="A17" s="102">
        <v>7</v>
      </c>
      <c r="B17" s="106" t="s">
        <v>21</v>
      </c>
      <c r="C17" s="36"/>
      <c r="D17" s="36" t="s">
        <v>396</v>
      </c>
      <c r="E17" s="35" t="s">
        <v>397</v>
      </c>
      <c r="F17" s="30" t="s">
        <v>398</v>
      </c>
      <c r="G17" s="131" t="s">
        <v>399</v>
      </c>
      <c r="H17" s="51" t="s">
        <v>381</v>
      </c>
      <c r="I17" s="51"/>
    </row>
    <row r="18" customHeight="1" spans="1:9">
      <c r="A18" s="102">
        <v>8</v>
      </c>
      <c r="B18" s="106" t="s">
        <v>21</v>
      </c>
      <c r="C18" s="36"/>
      <c r="D18" s="36" t="s">
        <v>400</v>
      </c>
      <c r="E18" s="35" t="s">
        <v>401</v>
      </c>
      <c r="F18" s="30" t="s">
        <v>402</v>
      </c>
      <c r="G18" s="131" t="s">
        <v>388</v>
      </c>
      <c r="H18" s="51" t="s">
        <v>381</v>
      </c>
      <c r="I18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9" workbookViewId="0">
      <selection activeCell="E13" sqref="E13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6384" width="10.8333333333333" style="37"/>
  </cols>
  <sheetData>
    <row r="1" customHeight="1" spans="1:9">
      <c r="A1" s="98" t="s">
        <v>0</v>
      </c>
      <c r="B1" s="28" t="s">
        <v>403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404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405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377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406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>ROW(A11)-10</f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9">
      <c r="A12" s="102">
        <f t="shared" ref="A12:A22" si="0">ROW(A12)-10</f>
        <v>2</v>
      </c>
      <c r="B12" s="107" t="s">
        <v>21</v>
      </c>
      <c r="C12" s="109"/>
      <c r="D12" s="109" t="s">
        <v>28</v>
      </c>
      <c r="E12" s="108" t="s">
        <v>407</v>
      </c>
      <c r="F12" s="109" t="s">
        <v>29</v>
      </c>
      <c r="G12" s="131" t="s">
        <v>408</v>
      </c>
      <c r="H12" s="51" t="s">
        <v>219</v>
      </c>
      <c r="I12" s="51"/>
    </row>
    <row r="13" customHeight="1" spans="1:9">
      <c r="A13" s="102">
        <f t="shared" si="0"/>
        <v>3</v>
      </c>
      <c r="B13" s="106" t="s">
        <v>21</v>
      </c>
      <c r="C13" s="30"/>
      <c r="D13" s="30" t="s">
        <v>378</v>
      </c>
      <c r="E13" s="35" t="s">
        <v>409</v>
      </c>
      <c r="F13" s="30" t="s">
        <v>379</v>
      </c>
      <c r="G13" s="131" t="s">
        <v>410</v>
      </c>
      <c r="H13" s="51" t="s">
        <v>411</v>
      </c>
      <c r="I13" s="51"/>
    </row>
    <row r="14" customHeight="1" spans="1:9">
      <c r="A14" s="102">
        <f t="shared" si="0"/>
        <v>4</v>
      </c>
      <c r="B14" s="106" t="s">
        <v>21</v>
      </c>
      <c r="C14" s="30"/>
      <c r="D14" s="30" t="s">
        <v>382</v>
      </c>
      <c r="E14" s="35" t="s">
        <v>412</v>
      </c>
      <c r="F14" s="30" t="s">
        <v>383</v>
      </c>
      <c r="G14" s="131" t="s">
        <v>413</v>
      </c>
      <c r="H14" s="51" t="s">
        <v>411</v>
      </c>
      <c r="I14" s="51"/>
    </row>
    <row r="15" customHeight="1" spans="1:9">
      <c r="A15" s="102">
        <f t="shared" si="0"/>
        <v>5</v>
      </c>
      <c r="B15" s="106" t="s">
        <v>21</v>
      </c>
      <c r="C15" s="30"/>
      <c r="D15" s="30" t="s">
        <v>414</v>
      </c>
      <c r="E15" s="35" t="s">
        <v>415</v>
      </c>
      <c r="F15" s="30" t="s">
        <v>398</v>
      </c>
      <c r="G15" s="131" t="s">
        <v>388</v>
      </c>
      <c r="H15" s="51" t="s">
        <v>411</v>
      </c>
      <c r="I15" s="51"/>
    </row>
    <row r="16" customHeight="1" spans="1:9">
      <c r="A16" s="102">
        <f t="shared" si="0"/>
        <v>6</v>
      </c>
      <c r="B16" s="106" t="s">
        <v>21</v>
      </c>
      <c r="C16" s="30"/>
      <c r="D16" s="30" t="s">
        <v>416</v>
      </c>
      <c r="E16" s="35" t="s">
        <v>417</v>
      </c>
      <c r="F16" s="30" t="s">
        <v>402</v>
      </c>
      <c r="G16" s="131" t="s">
        <v>388</v>
      </c>
      <c r="H16" s="51" t="s">
        <v>411</v>
      </c>
      <c r="I16" s="51"/>
    </row>
    <row r="17" customHeight="1" spans="1:9">
      <c r="A17" s="102">
        <f t="shared" si="0"/>
        <v>7</v>
      </c>
      <c r="B17" s="106"/>
      <c r="C17" s="114"/>
      <c r="D17" s="114" t="s">
        <v>418</v>
      </c>
      <c r="E17" s="35" t="s">
        <v>419</v>
      </c>
      <c r="F17" s="30" t="s">
        <v>420</v>
      </c>
      <c r="G17" s="131"/>
      <c r="H17" s="51" t="s">
        <v>24</v>
      </c>
      <c r="I17" s="51"/>
    </row>
    <row r="18" customHeight="1" spans="1:9">
      <c r="A18" s="102">
        <f t="shared" si="0"/>
        <v>8</v>
      </c>
      <c r="B18" s="106"/>
      <c r="C18" s="30"/>
      <c r="D18" s="30" t="s">
        <v>421</v>
      </c>
      <c r="E18" s="35" t="s">
        <v>421</v>
      </c>
      <c r="F18" s="30" t="s">
        <v>422</v>
      </c>
      <c r="G18" s="131"/>
      <c r="H18" s="51" t="s">
        <v>53</v>
      </c>
      <c r="I18" s="51"/>
    </row>
    <row r="19" customHeight="1" spans="1:6">
      <c r="A19" s="102">
        <f t="shared" si="0"/>
        <v>9</v>
      </c>
      <c r="D19" s="37" t="s">
        <v>258</v>
      </c>
      <c r="E19" s="37" t="s">
        <v>258</v>
      </c>
      <c r="F19" s="97" t="s">
        <v>44</v>
      </c>
    </row>
    <row r="20" customHeight="1" spans="1:6">
      <c r="A20" s="102">
        <f t="shared" si="0"/>
        <v>10</v>
      </c>
      <c r="D20" s="37" t="s">
        <v>45</v>
      </c>
      <c r="E20" s="37" t="s">
        <v>45</v>
      </c>
      <c r="F20" s="97" t="s">
        <v>46</v>
      </c>
    </row>
    <row r="21" customHeight="1" spans="1:6">
      <c r="A21" s="102">
        <f t="shared" si="0"/>
        <v>11</v>
      </c>
      <c r="D21" s="37" t="s">
        <v>259</v>
      </c>
      <c r="E21" s="37" t="s">
        <v>259</v>
      </c>
      <c r="F21" s="97" t="s">
        <v>49</v>
      </c>
    </row>
    <row r="22" customHeight="1" spans="1:6">
      <c r="A22" s="102">
        <f t="shared" si="0"/>
        <v>12</v>
      </c>
      <c r="D22" s="37" t="s">
        <v>260</v>
      </c>
      <c r="E22" s="37" t="s">
        <v>260</v>
      </c>
      <c r="F22" s="97" t="s">
        <v>51</v>
      </c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5"/>
  <sheetViews>
    <sheetView topLeftCell="A92" workbookViewId="0">
      <selection activeCell="D102" sqref="D102:D105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3.75" style="97" customWidth="1"/>
    <col min="7" max="7" width="73.3333333333333" style="37" customWidth="1"/>
    <col min="8" max="8" width="20.1666666666667" style="37" customWidth="1"/>
    <col min="9" max="9" width="42.3333333333333" style="37" customWidth="1"/>
    <col min="10" max="10" width="24.3333333333333" style="37" customWidth="1"/>
    <col min="11" max="11" width="10.8333333333333" style="37"/>
    <col min="12" max="12" width="17.0666666666667" style="37" customWidth="1"/>
    <col min="13" max="16384" width="10.8333333333333" style="37"/>
  </cols>
  <sheetData>
    <row r="1" customHeight="1" spans="1:9">
      <c r="A1" s="98" t="s">
        <v>0</v>
      </c>
      <c r="B1" s="28" t="s">
        <v>423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161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424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425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426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 t="s">
        <v>11</v>
      </c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>ROW(A11)-10</f>
        <v>1</v>
      </c>
      <c r="B11" s="106" t="s">
        <v>21</v>
      </c>
      <c r="C11" s="102"/>
      <c r="D11" s="102" t="s">
        <v>22</v>
      </c>
      <c r="E11" s="105" t="s">
        <v>22</v>
      </c>
      <c r="F11" s="30" t="s">
        <v>22</v>
      </c>
      <c r="G11" s="51" t="s">
        <v>23</v>
      </c>
      <c r="H11" s="51" t="s">
        <v>24</v>
      </c>
      <c r="I11" s="39"/>
    </row>
    <row r="12" customHeight="1" spans="1:11">
      <c r="A12" s="102">
        <f t="shared" ref="A12:A68" si="0">ROW(A12)-10</f>
        <v>2</v>
      </c>
      <c r="B12" s="107" t="s">
        <v>21</v>
      </c>
      <c r="C12" s="151"/>
      <c r="D12" s="151" t="s">
        <v>427</v>
      </c>
      <c r="E12" s="149" t="s">
        <v>428</v>
      </c>
      <c r="F12" s="109" t="s">
        <v>429</v>
      </c>
      <c r="G12" s="39" t="s">
        <v>430</v>
      </c>
      <c r="H12" s="39" t="s">
        <v>24</v>
      </c>
      <c r="I12" s="39" t="s">
        <v>431</v>
      </c>
      <c r="J12" s="37" t="s">
        <v>212</v>
      </c>
      <c r="K12" s="37" t="s">
        <v>22</v>
      </c>
    </row>
    <row r="13" customHeight="1" spans="1:11">
      <c r="A13" s="102">
        <f t="shared" si="0"/>
        <v>3</v>
      </c>
      <c r="B13" s="107" t="s">
        <v>21</v>
      </c>
      <c r="C13" s="151"/>
      <c r="D13" s="151" t="s">
        <v>432</v>
      </c>
      <c r="E13" s="149" t="s">
        <v>433</v>
      </c>
      <c r="F13" s="109" t="s">
        <v>267</v>
      </c>
      <c r="G13" s="39" t="s">
        <v>434</v>
      </c>
      <c r="H13" s="51" t="s">
        <v>24</v>
      </c>
      <c r="I13" s="39" t="s">
        <v>435</v>
      </c>
      <c r="J13" s="37" t="s">
        <v>212</v>
      </c>
      <c r="K13" s="37" t="s">
        <v>22</v>
      </c>
    </row>
    <row r="14" customHeight="1" spans="1:9">
      <c r="A14" s="102">
        <f t="shared" si="0"/>
        <v>4</v>
      </c>
      <c r="B14" s="107" t="s">
        <v>21</v>
      </c>
      <c r="C14" s="148"/>
      <c r="D14" s="148" t="s">
        <v>436</v>
      </c>
      <c r="E14" s="149" t="s">
        <v>437</v>
      </c>
      <c r="F14" s="109" t="s">
        <v>162</v>
      </c>
      <c r="G14" s="51" t="s">
        <v>299</v>
      </c>
      <c r="H14" s="51" t="s">
        <v>24</v>
      </c>
      <c r="I14" s="39"/>
    </row>
    <row r="15" customHeight="1" spans="1:9">
      <c r="A15" s="102">
        <f t="shared" si="0"/>
        <v>5</v>
      </c>
      <c r="B15" s="107" t="s">
        <v>21</v>
      </c>
      <c r="C15" s="148"/>
      <c r="D15" s="148" t="s">
        <v>438</v>
      </c>
      <c r="E15" s="149" t="s">
        <v>439</v>
      </c>
      <c r="F15" s="109" t="s">
        <v>29</v>
      </c>
      <c r="G15" s="51"/>
      <c r="H15" s="51" t="s">
        <v>24</v>
      </c>
      <c r="I15" s="39"/>
    </row>
    <row r="16" ht="35.25" spans="1:12">
      <c r="A16" s="102">
        <f t="shared" si="0"/>
        <v>6</v>
      </c>
      <c r="B16" s="107" t="s">
        <v>21</v>
      </c>
      <c r="C16" s="151"/>
      <c r="D16" s="151" t="s">
        <v>440</v>
      </c>
      <c r="E16" s="108" t="s">
        <v>441</v>
      </c>
      <c r="F16" s="109" t="s">
        <v>442</v>
      </c>
      <c r="G16" s="39" t="s">
        <v>443</v>
      </c>
      <c r="H16" s="39" t="s">
        <v>27</v>
      </c>
      <c r="I16" s="39" t="s">
        <v>444</v>
      </c>
      <c r="J16" s="37" t="s">
        <v>4</v>
      </c>
      <c r="K16" s="37" t="s">
        <v>26</v>
      </c>
      <c r="L16" s="37" t="s">
        <v>442</v>
      </c>
    </row>
    <row r="17" ht="52.5" spans="1:12">
      <c r="A17" s="102">
        <f t="shared" si="0"/>
        <v>7</v>
      </c>
      <c r="B17" s="107" t="s">
        <v>21</v>
      </c>
      <c r="C17" s="151"/>
      <c r="D17" s="151" t="s">
        <v>445</v>
      </c>
      <c r="E17" s="108" t="s">
        <v>446</v>
      </c>
      <c r="F17" s="109" t="s">
        <v>447</v>
      </c>
      <c r="G17" s="39" t="s">
        <v>448</v>
      </c>
      <c r="H17" s="51" t="s">
        <v>27</v>
      </c>
      <c r="I17" s="39" t="s">
        <v>449</v>
      </c>
      <c r="J17" s="37" t="s">
        <v>4</v>
      </c>
      <c r="K17" s="37" t="s">
        <v>26</v>
      </c>
      <c r="L17" s="37" t="s">
        <v>447</v>
      </c>
    </row>
    <row r="18" ht="48" spans="1:12">
      <c r="A18" s="102">
        <f t="shared" si="0"/>
        <v>8</v>
      </c>
      <c r="B18" s="107" t="s">
        <v>21</v>
      </c>
      <c r="C18" s="151"/>
      <c r="D18" s="151" t="s">
        <v>450</v>
      </c>
      <c r="E18" s="108" t="s">
        <v>451</v>
      </c>
      <c r="F18" s="109" t="s">
        <v>452</v>
      </c>
      <c r="G18" s="152" t="s">
        <v>453</v>
      </c>
      <c r="H18" s="153" t="s">
        <v>27</v>
      </c>
      <c r="I18" s="153" t="s">
        <v>454</v>
      </c>
      <c r="J18" s="37" t="s">
        <v>4</v>
      </c>
      <c r="K18" s="37" t="s">
        <v>26</v>
      </c>
      <c r="L18" s="37" t="s">
        <v>452</v>
      </c>
    </row>
    <row r="19" ht="36" spans="1:12">
      <c r="A19" s="102">
        <f t="shared" si="0"/>
        <v>9</v>
      </c>
      <c r="B19" s="107" t="s">
        <v>21</v>
      </c>
      <c r="C19" s="151"/>
      <c r="D19" s="151" t="s">
        <v>455</v>
      </c>
      <c r="E19" s="108" t="s">
        <v>456</v>
      </c>
      <c r="F19" s="109" t="s">
        <v>457</v>
      </c>
      <c r="G19" s="39" t="s">
        <v>458</v>
      </c>
      <c r="H19" s="51" t="s">
        <v>27</v>
      </c>
      <c r="I19" s="39" t="s">
        <v>459</v>
      </c>
      <c r="J19" s="37" t="s">
        <v>4</v>
      </c>
      <c r="K19" s="37" t="s">
        <v>26</v>
      </c>
      <c r="L19" s="37" t="s">
        <v>457</v>
      </c>
    </row>
    <row r="20" customHeight="1" spans="1:9">
      <c r="A20" s="102">
        <f t="shared" si="0"/>
        <v>10</v>
      </c>
      <c r="B20" s="107"/>
      <c r="C20" s="148"/>
      <c r="D20" s="148" t="s">
        <v>460</v>
      </c>
      <c r="E20" s="149" t="s">
        <v>461</v>
      </c>
      <c r="F20" s="109" t="s">
        <v>462</v>
      </c>
      <c r="G20" s="51"/>
      <c r="H20" s="51" t="s">
        <v>24</v>
      </c>
      <c r="I20" s="39"/>
    </row>
    <row r="21" customHeight="1" spans="1:12">
      <c r="A21" s="102">
        <f t="shared" si="0"/>
        <v>11</v>
      </c>
      <c r="B21" s="107" t="s">
        <v>21</v>
      </c>
      <c r="C21" s="148"/>
      <c r="D21" s="148" t="s">
        <v>463</v>
      </c>
      <c r="E21" s="149" t="s">
        <v>464</v>
      </c>
      <c r="F21" s="109" t="s">
        <v>465</v>
      </c>
      <c r="G21" s="154"/>
      <c r="H21" s="39" t="s">
        <v>27</v>
      </c>
      <c r="I21" s="39" t="s">
        <v>466</v>
      </c>
      <c r="J21" s="37" t="s">
        <v>4</v>
      </c>
      <c r="K21" s="37" t="s">
        <v>26</v>
      </c>
      <c r="L21" s="37" t="s">
        <v>465</v>
      </c>
    </row>
    <row r="22" ht="35.25" spans="1:12">
      <c r="A22" s="102">
        <f t="shared" si="0"/>
        <v>12</v>
      </c>
      <c r="B22" s="107"/>
      <c r="C22" s="151"/>
      <c r="D22" s="151" t="s">
        <v>467</v>
      </c>
      <c r="E22" s="108" t="s">
        <v>468</v>
      </c>
      <c r="F22" s="109" t="s">
        <v>469</v>
      </c>
      <c r="G22" s="39" t="s">
        <v>470</v>
      </c>
      <c r="H22" s="39" t="s">
        <v>27</v>
      </c>
      <c r="I22" s="174" t="s">
        <v>471</v>
      </c>
      <c r="J22" s="37" t="s">
        <v>4</v>
      </c>
      <c r="K22" s="37" t="s">
        <v>26</v>
      </c>
      <c r="L22" s="37" t="s">
        <v>469</v>
      </c>
    </row>
    <row r="23" ht="36" spans="1:12">
      <c r="A23" s="102">
        <f t="shared" si="0"/>
        <v>13</v>
      </c>
      <c r="B23" s="107"/>
      <c r="C23" s="151"/>
      <c r="D23" s="151" t="s">
        <v>472</v>
      </c>
      <c r="E23" s="108" t="s">
        <v>473</v>
      </c>
      <c r="F23" s="109" t="s">
        <v>474</v>
      </c>
      <c r="G23" s="39" t="s">
        <v>475</v>
      </c>
      <c r="H23" s="39" t="s">
        <v>27</v>
      </c>
      <c r="I23" s="39" t="s">
        <v>476</v>
      </c>
      <c r="J23" s="37" t="s">
        <v>4</v>
      </c>
      <c r="K23" s="37" t="s">
        <v>26</v>
      </c>
      <c r="L23" s="37" t="s">
        <v>474</v>
      </c>
    </row>
    <row r="24" customHeight="1" spans="1:9">
      <c r="A24" s="102">
        <f t="shared" si="0"/>
        <v>14</v>
      </c>
      <c r="B24" s="107"/>
      <c r="C24" s="148"/>
      <c r="D24" s="148" t="s">
        <v>477</v>
      </c>
      <c r="E24" s="149" t="s">
        <v>478</v>
      </c>
      <c r="F24" s="109" t="s">
        <v>479</v>
      </c>
      <c r="G24" s="39"/>
      <c r="H24" s="39" t="s">
        <v>53</v>
      </c>
      <c r="I24" s="39"/>
    </row>
    <row r="25" ht="34.5" spans="1:12">
      <c r="A25" s="102">
        <f t="shared" si="0"/>
        <v>15</v>
      </c>
      <c r="B25" s="107"/>
      <c r="C25" s="148"/>
      <c r="D25" s="148" t="s">
        <v>480</v>
      </c>
      <c r="E25" s="108" t="s">
        <v>481</v>
      </c>
      <c r="F25" s="109" t="s">
        <v>482</v>
      </c>
      <c r="G25" s="39" t="s">
        <v>483</v>
      </c>
      <c r="H25" s="39" t="s">
        <v>53</v>
      </c>
      <c r="I25" s="39"/>
      <c r="J25" s="37" t="s">
        <v>4</v>
      </c>
      <c r="K25" s="37" t="s">
        <v>26</v>
      </c>
      <c r="L25" s="109" t="s">
        <v>482</v>
      </c>
    </row>
    <row r="26" ht="35.25" spans="1:12">
      <c r="A26" s="102">
        <f t="shared" si="0"/>
        <v>16</v>
      </c>
      <c r="B26" s="107"/>
      <c r="C26" s="148"/>
      <c r="D26" s="148" t="s">
        <v>484</v>
      </c>
      <c r="E26" s="108" t="s">
        <v>485</v>
      </c>
      <c r="F26" s="109" t="s">
        <v>486</v>
      </c>
      <c r="G26" s="39" t="s">
        <v>487</v>
      </c>
      <c r="H26" s="39" t="s">
        <v>53</v>
      </c>
      <c r="I26" s="39"/>
      <c r="J26" s="37" t="s">
        <v>4</v>
      </c>
      <c r="K26" s="37" t="s">
        <v>26</v>
      </c>
      <c r="L26" s="109" t="s">
        <v>486</v>
      </c>
    </row>
    <row r="27" customHeight="1" spans="1:9">
      <c r="A27" s="102">
        <f t="shared" si="0"/>
        <v>17</v>
      </c>
      <c r="B27" s="107"/>
      <c r="C27" s="148"/>
      <c r="D27" s="148" t="s">
        <v>488</v>
      </c>
      <c r="E27" s="149" t="s">
        <v>489</v>
      </c>
      <c r="F27" s="109" t="s">
        <v>490</v>
      </c>
      <c r="G27" s="39"/>
      <c r="H27" s="39" t="s">
        <v>53</v>
      </c>
      <c r="I27" s="39"/>
    </row>
    <row r="28" customHeight="1" spans="1:12">
      <c r="A28" s="102">
        <f t="shared" si="0"/>
        <v>18</v>
      </c>
      <c r="B28" s="107" t="s">
        <v>21</v>
      </c>
      <c r="C28" s="148"/>
      <c r="D28" s="148" t="s">
        <v>491</v>
      </c>
      <c r="E28" s="149" t="s">
        <v>492</v>
      </c>
      <c r="F28" s="109" t="s">
        <v>493</v>
      </c>
      <c r="G28" s="154"/>
      <c r="H28" s="39" t="s">
        <v>27</v>
      </c>
      <c r="I28" s="39" t="s">
        <v>494</v>
      </c>
      <c r="J28" s="37" t="s">
        <v>4</v>
      </c>
      <c r="K28" s="37" t="s">
        <v>26</v>
      </c>
      <c r="L28" s="37" t="s">
        <v>493</v>
      </c>
    </row>
    <row r="29" customHeight="1" spans="1:12">
      <c r="A29" s="102">
        <f t="shared" si="0"/>
        <v>19</v>
      </c>
      <c r="B29" s="107" t="s">
        <v>21</v>
      </c>
      <c r="C29" s="148"/>
      <c r="D29" s="148" t="s">
        <v>495</v>
      </c>
      <c r="E29" s="149" t="s">
        <v>496</v>
      </c>
      <c r="F29" s="109" t="s">
        <v>497</v>
      </c>
      <c r="G29" s="154"/>
      <c r="H29" s="39" t="s">
        <v>27</v>
      </c>
      <c r="I29" s="39" t="s">
        <v>498</v>
      </c>
      <c r="J29" s="37" t="s">
        <v>4</v>
      </c>
      <c r="K29" s="37" t="s">
        <v>26</v>
      </c>
      <c r="L29" s="37" t="s">
        <v>497</v>
      </c>
    </row>
    <row r="30" customHeight="1" spans="1:9">
      <c r="A30" s="102">
        <f t="shared" si="0"/>
        <v>20</v>
      </c>
      <c r="B30" s="107"/>
      <c r="C30" s="148"/>
      <c r="D30" s="148" t="s">
        <v>499</v>
      </c>
      <c r="E30" s="149" t="s">
        <v>500</v>
      </c>
      <c r="F30" s="109" t="s">
        <v>501</v>
      </c>
      <c r="G30" s="39"/>
      <c r="H30" s="39" t="s">
        <v>411</v>
      </c>
      <c r="I30" s="39"/>
    </row>
    <row r="31" customHeight="1" spans="1:9">
      <c r="A31" s="102">
        <f t="shared" si="0"/>
        <v>21</v>
      </c>
      <c r="B31" s="107" t="s">
        <v>21</v>
      </c>
      <c r="C31" s="148"/>
      <c r="D31" s="148" t="s">
        <v>502</v>
      </c>
      <c r="E31" s="149" t="s">
        <v>503</v>
      </c>
      <c r="F31" s="109" t="s">
        <v>504</v>
      </c>
      <c r="G31" s="154" t="s">
        <v>505</v>
      </c>
      <c r="H31" s="39" t="s">
        <v>47</v>
      </c>
      <c r="I31" s="39"/>
    </row>
    <row r="32" customHeight="1" spans="1:9">
      <c r="A32" s="102">
        <f t="shared" si="0"/>
        <v>22</v>
      </c>
      <c r="B32" s="107" t="s">
        <v>21</v>
      </c>
      <c r="C32" s="148"/>
      <c r="D32" s="148" t="s">
        <v>506</v>
      </c>
      <c r="E32" s="149" t="s">
        <v>507</v>
      </c>
      <c r="F32" s="109" t="s">
        <v>508</v>
      </c>
      <c r="G32" s="154" t="s">
        <v>509</v>
      </c>
      <c r="H32" s="39" t="s">
        <v>411</v>
      </c>
      <c r="I32" s="39"/>
    </row>
    <row r="33" customHeight="1" spans="1:9">
      <c r="A33" s="102">
        <f t="shared" si="0"/>
        <v>23</v>
      </c>
      <c r="B33" s="107" t="s">
        <v>21</v>
      </c>
      <c r="C33" s="148"/>
      <c r="D33" s="148" t="s">
        <v>510</v>
      </c>
      <c r="E33" s="149" t="s">
        <v>511</v>
      </c>
      <c r="F33" s="109" t="s">
        <v>512</v>
      </c>
      <c r="G33" s="154" t="s">
        <v>513</v>
      </c>
      <c r="H33" s="39" t="s">
        <v>411</v>
      </c>
      <c r="I33" s="39"/>
    </row>
    <row r="34" customHeight="1" spans="1:9">
      <c r="A34" s="102">
        <f t="shared" si="0"/>
        <v>24</v>
      </c>
      <c r="B34" s="107" t="s">
        <v>21</v>
      </c>
      <c r="C34" s="148"/>
      <c r="D34" s="148" t="s">
        <v>514</v>
      </c>
      <c r="E34" s="108" t="s">
        <v>515</v>
      </c>
      <c r="F34" s="109" t="s">
        <v>516</v>
      </c>
      <c r="G34" s="154" t="s">
        <v>517</v>
      </c>
      <c r="H34" s="39" t="s">
        <v>411</v>
      </c>
      <c r="I34" s="39"/>
    </row>
    <row r="35" customHeight="1" spans="1:9">
      <c r="A35" s="102">
        <f t="shared" si="0"/>
        <v>25</v>
      </c>
      <c r="B35" s="107"/>
      <c r="C35" s="148"/>
      <c r="D35" s="148" t="s">
        <v>518</v>
      </c>
      <c r="E35" s="108" t="s">
        <v>519</v>
      </c>
      <c r="F35" s="109" t="s">
        <v>520</v>
      </c>
      <c r="G35" s="39" t="s">
        <v>521</v>
      </c>
      <c r="H35" s="51" t="s">
        <v>411</v>
      </c>
      <c r="I35" s="39"/>
    </row>
    <row r="36" customHeight="1" spans="1:9">
      <c r="A36" s="102">
        <f t="shared" si="0"/>
        <v>26</v>
      </c>
      <c r="B36" s="107"/>
      <c r="C36" s="148"/>
      <c r="D36" s="148" t="s">
        <v>522</v>
      </c>
      <c r="E36" s="108" t="s">
        <v>523</v>
      </c>
      <c r="F36" s="109" t="s">
        <v>524</v>
      </c>
      <c r="G36" s="39"/>
      <c r="H36" s="39" t="s">
        <v>219</v>
      </c>
      <c r="I36" s="39"/>
    </row>
    <row r="37" customHeight="1" spans="1:9">
      <c r="A37" s="102">
        <f t="shared" si="0"/>
        <v>27</v>
      </c>
      <c r="B37" s="107"/>
      <c r="C37" s="148"/>
      <c r="D37" s="148" t="s">
        <v>525</v>
      </c>
      <c r="E37" s="108" t="s">
        <v>526</v>
      </c>
      <c r="F37" s="109" t="s">
        <v>527</v>
      </c>
      <c r="G37" s="39"/>
      <c r="H37" s="39" t="s">
        <v>219</v>
      </c>
      <c r="I37" s="39"/>
    </row>
    <row r="38" ht="34.5" spans="1:9">
      <c r="A38" s="102">
        <f t="shared" si="0"/>
        <v>28</v>
      </c>
      <c r="B38" s="107"/>
      <c r="C38" s="148"/>
      <c r="D38" s="148" t="s">
        <v>528</v>
      </c>
      <c r="E38" s="108" t="s">
        <v>529</v>
      </c>
      <c r="F38" s="109" t="s">
        <v>530</v>
      </c>
      <c r="G38" s="39"/>
      <c r="H38" s="39" t="s">
        <v>219</v>
      </c>
      <c r="I38" s="39"/>
    </row>
    <row r="39" customHeight="1" spans="1:11">
      <c r="A39" s="102">
        <f t="shared" si="0"/>
        <v>29</v>
      </c>
      <c r="B39" s="107" t="s">
        <v>21</v>
      </c>
      <c r="C39" s="151"/>
      <c r="D39" s="151" t="s">
        <v>531</v>
      </c>
      <c r="E39" s="108" t="s">
        <v>532</v>
      </c>
      <c r="F39" s="109" t="s">
        <v>533</v>
      </c>
      <c r="G39" s="39" t="s">
        <v>534</v>
      </c>
      <c r="H39" s="39" t="s">
        <v>24</v>
      </c>
      <c r="I39" s="39" t="s">
        <v>535</v>
      </c>
      <c r="J39" s="37" t="s">
        <v>536</v>
      </c>
      <c r="K39" s="37" t="s">
        <v>22</v>
      </c>
    </row>
    <row r="40" customHeight="1" spans="1:9">
      <c r="A40" s="102">
        <f t="shared" si="0"/>
        <v>30</v>
      </c>
      <c r="B40" s="107"/>
      <c r="C40" s="151"/>
      <c r="D40" s="151" t="s">
        <v>537</v>
      </c>
      <c r="E40" s="108" t="s">
        <v>538</v>
      </c>
      <c r="F40" s="109" t="s">
        <v>539</v>
      </c>
      <c r="G40" s="39"/>
      <c r="H40" s="39" t="s">
        <v>411</v>
      </c>
      <c r="I40" s="39"/>
    </row>
    <row r="41" customHeight="1" spans="1:11">
      <c r="A41" s="102">
        <f t="shared" si="0"/>
        <v>31</v>
      </c>
      <c r="B41" s="107"/>
      <c r="C41" s="151"/>
      <c r="D41" s="151" t="s">
        <v>540</v>
      </c>
      <c r="E41" s="108" t="s">
        <v>541</v>
      </c>
      <c r="F41" s="109" t="s">
        <v>542</v>
      </c>
      <c r="G41" s="39" t="s">
        <v>543</v>
      </c>
      <c r="H41" s="39" t="s">
        <v>24</v>
      </c>
      <c r="I41" s="39" t="s">
        <v>544</v>
      </c>
      <c r="J41" s="37" t="s">
        <v>536</v>
      </c>
      <c r="K41" s="37" t="s">
        <v>22</v>
      </c>
    </row>
    <row r="42" customHeight="1" spans="1:11">
      <c r="A42" s="102">
        <f t="shared" si="0"/>
        <v>32</v>
      </c>
      <c r="B42" s="107"/>
      <c r="C42" s="151"/>
      <c r="D42" s="151" t="s">
        <v>545</v>
      </c>
      <c r="E42" s="108" t="s">
        <v>546</v>
      </c>
      <c r="F42" s="109" t="s">
        <v>547</v>
      </c>
      <c r="G42" s="39" t="s">
        <v>548</v>
      </c>
      <c r="H42" s="39" t="s">
        <v>24</v>
      </c>
      <c r="I42" s="39" t="s">
        <v>549</v>
      </c>
      <c r="J42" s="37" t="s">
        <v>536</v>
      </c>
      <c r="K42" s="37" t="s">
        <v>22</v>
      </c>
    </row>
    <row r="43" customHeight="1" spans="1:11">
      <c r="A43" s="102">
        <f t="shared" si="0"/>
        <v>33</v>
      </c>
      <c r="B43" s="107"/>
      <c r="C43" s="151"/>
      <c r="D43" s="151" t="s">
        <v>550</v>
      </c>
      <c r="E43" s="108" t="s">
        <v>551</v>
      </c>
      <c r="F43" s="109" t="s">
        <v>552</v>
      </c>
      <c r="G43" s="39" t="s">
        <v>553</v>
      </c>
      <c r="H43" s="39" t="s">
        <v>24</v>
      </c>
      <c r="I43" s="39" t="s">
        <v>554</v>
      </c>
      <c r="J43" s="37" t="s">
        <v>536</v>
      </c>
      <c r="K43" s="37" t="s">
        <v>22</v>
      </c>
    </row>
    <row r="44" customHeight="1" spans="1:11">
      <c r="A44" s="102">
        <f t="shared" si="0"/>
        <v>34</v>
      </c>
      <c r="B44" s="107"/>
      <c r="C44" s="148"/>
      <c r="D44" s="148" t="s">
        <v>555</v>
      </c>
      <c r="E44" s="108" t="s">
        <v>556</v>
      </c>
      <c r="F44" s="109" t="s">
        <v>557</v>
      </c>
      <c r="G44" s="39" t="s">
        <v>558</v>
      </c>
      <c r="H44" s="39" t="s">
        <v>24</v>
      </c>
      <c r="I44" s="39"/>
      <c r="J44" s="37" t="s">
        <v>349</v>
      </c>
      <c r="K44" s="37" t="s">
        <v>22</v>
      </c>
    </row>
    <row r="45" customHeight="1" spans="1:11">
      <c r="A45" s="102">
        <f t="shared" si="0"/>
        <v>35</v>
      </c>
      <c r="B45" s="107" t="s">
        <v>21</v>
      </c>
      <c r="C45" s="173"/>
      <c r="D45" s="173" t="s">
        <v>559</v>
      </c>
      <c r="E45" s="108" t="s">
        <v>560</v>
      </c>
      <c r="F45" s="109" t="s">
        <v>561</v>
      </c>
      <c r="G45" s="39" t="s">
        <v>562</v>
      </c>
      <c r="H45" s="39" t="s">
        <v>24</v>
      </c>
      <c r="I45" s="39" t="s">
        <v>563</v>
      </c>
      <c r="J45" s="37" t="s">
        <v>564</v>
      </c>
      <c r="K45" s="37" t="s">
        <v>22</v>
      </c>
    </row>
    <row r="46" customHeight="1" spans="1:11">
      <c r="A46" s="102">
        <f t="shared" si="0"/>
        <v>36</v>
      </c>
      <c r="B46" s="107"/>
      <c r="C46" s="173"/>
      <c r="D46" s="173" t="s">
        <v>565</v>
      </c>
      <c r="E46" s="108" t="s">
        <v>566</v>
      </c>
      <c r="F46" s="109" t="s">
        <v>567</v>
      </c>
      <c r="G46" s="51" t="s">
        <v>568</v>
      </c>
      <c r="H46" s="51" t="s">
        <v>24</v>
      </c>
      <c r="I46" s="39" t="s">
        <v>569</v>
      </c>
      <c r="J46" s="37" t="s">
        <v>570</v>
      </c>
      <c r="K46" s="37" t="s">
        <v>22</v>
      </c>
    </row>
    <row r="47" customHeight="1" spans="1:9">
      <c r="A47" s="102">
        <f t="shared" si="0"/>
        <v>37</v>
      </c>
      <c r="B47" s="107"/>
      <c r="C47" s="148"/>
      <c r="D47" s="148" t="s">
        <v>571</v>
      </c>
      <c r="E47" s="108" t="s">
        <v>572</v>
      </c>
      <c r="F47" s="109" t="s">
        <v>573</v>
      </c>
      <c r="G47" s="51"/>
      <c r="H47" s="51" t="s">
        <v>219</v>
      </c>
      <c r="I47" s="39"/>
    </row>
    <row r="48" customHeight="1" spans="1:9">
      <c r="A48" s="102">
        <f t="shared" si="0"/>
        <v>38</v>
      </c>
      <c r="B48" s="107"/>
      <c r="C48" s="148"/>
      <c r="D48" s="148" t="s">
        <v>574</v>
      </c>
      <c r="E48" s="108" t="s">
        <v>575</v>
      </c>
      <c r="F48" s="109" t="s">
        <v>576</v>
      </c>
      <c r="G48" s="51"/>
      <c r="H48" s="51" t="s">
        <v>219</v>
      </c>
      <c r="I48" s="39"/>
    </row>
    <row r="49" customHeight="1" spans="1:9">
      <c r="A49" s="102">
        <f t="shared" si="0"/>
        <v>39</v>
      </c>
      <c r="B49" s="107"/>
      <c r="C49" s="148"/>
      <c r="D49" s="148" t="s">
        <v>577</v>
      </c>
      <c r="E49" s="108" t="s">
        <v>578</v>
      </c>
      <c r="F49" s="109" t="s">
        <v>579</v>
      </c>
      <c r="G49" s="51"/>
      <c r="H49" s="51" t="s">
        <v>411</v>
      </c>
      <c r="I49" s="39"/>
    </row>
    <row r="50" customHeight="1" spans="1:11">
      <c r="A50" s="102">
        <f t="shared" si="0"/>
        <v>40</v>
      </c>
      <c r="B50" s="107"/>
      <c r="C50" s="173"/>
      <c r="D50" s="173" t="s">
        <v>580</v>
      </c>
      <c r="E50" s="108" t="s">
        <v>581</v>
      </c>
      <c r="F50" s="109" t="s">
        <v>582</v>
      </c>
      <c r="G50" s="51" t="s">
        <v>583</v>
      </c>
      <c r="H50" s="51" t="s">
        <v>24</v>
      </c>
      <c r="I50" s="39" t="s">
        <v>563</v>
      </c>
      <c r="J50" s="37" t="s">
        <v>584</v>
      </c>
      <c r="K50" s="37" t="s">
        <v>22</v>
      </c>
    </row>
    <row r="51" customHeight="1" spans="1:11">
      <c r="A51" s="102">
        <f t="shared" si="0"/>
        <v>41</v>
      </c>
      <c r="B51" s="107"/>
      <c r="C51" s="173"/>
      <c r="D51" s="173" t="s">
        <v>585</v>
      </c>
      <c r="E51" s="108" t="s">
        <v>586</v>
      </c>
      <c r="F51" s="109" t="s">
        <v>587</v>
      </c>
      <c r="G51" s="51" t="s">
        <v>588</v>
      </c>
      <c r="H51" s="51" t="s">
        <v>24</v>
      </c>
      <c r="I51" s="39" t="s">
        <v>569</v>
      </c>
      <c r="J51" s="37" t="s">
        <v>570</v>
      </c>
      <c r="K51" s="37" t="s">
        <v>22</v>
      </c>
    </row>
    <row r="52" customHeight="1" spans="1:9">
      <c r="A52" s="102">
        <f t="shared" si="0"/>
        <v>42</v>
      </c>
      <c r="B52" s="107"/>
      <c r="C52" s="148"/>
      <c r="D52" s="148" t="s">
        <v>589</v>
      </c>
      <c r="E52" s="108" t="s">
        <v>590</v>
      </c>
      <c r="F52" s="109" t="s">
        <v>591</v>
      </c>
      <c r="G52" s="51"/>
      <c r="H52" s="51" t="s">
        <v>219</v>
      </c>
      <c r="I52" s="39"/>
    </row>
    <row r="53" customHeight="1" spans="1:9">
      <c r="A53" s="102">
        <f t="shared" si="0"/>
        <v>43</v>
      </c>
      <c r="B53" s="107"/>
      <c r="C53" s="148"/>
      <c r="D53" s="148" t="s">
        <v>592</v>
      </c>
      <c r="E53" s="108" t="s">
        <v>593</v>
      </c>
      <c r="F53" s="109" t="s">
        <v>594</v>
      </c>
      <c r="G53" s="51"/>
      <c r="H53" s="51" t="s">
        <v>219</v>
      </c>
      <c r="I53" s="39"/>
    </row>
    <row r="54" customHeight="1" spans="1:9">
      <c r="A54" s="102">
        <f t="shared" si="0"/>
        <v>44</v>
      </c>
      <c r="B54" s="107"/>
      <c r="C54" s="148"/>
      <c r="D54" s="148" t="s">
        <v>595</v>
      </c>
      <c r="E54" s="108" t="s">
        <v>596</v>
      </c>
      <c r="F54" s="109" t="s">
        <v>597</v>
      </c>
      <c r="G54" s="51"/>
      <c r="H54" s="51" t="s">
        <v>411</v>
      </c>
      <c r="I54" s="39"/>
    </row>
    <row r="55" customHeight="1" spans="1:11">
      <c r="A55" s="102">
        <f t="shared" si="0"/>
        <v>45</v>
      </c>
      <c r="B55" s="107" t="s">
        <v>21</v>
      </c>
      <c r="C55" s="109"/>
      <c r="D55" s="109" t="s">
        <v>598</v>
      </c>
      <c r="E55" s="108" t="s">
        <v>599</v>
      </c>
      <c r="F55" s="109" t="s">
        <v>600</v>
      </c>
      <c r="G55" s="39" t="s">
        <v>601</v>
      </c>
      <c r="H55" s="39" t="s">
        <v>27</v>
      </c>
      <c r="I55" s="39" t="s">
        <v>602</v>
      </c>
      <c r="J55" s="37" t="s">
        <v>603</v>
      </c>
      <c r="K55" s="37" t="s">
        <v>22</v>
      </c>
    </row>
    <row r="56" customHeight="1" spans="1:9">
      <c r="A56" s="102">
        <f t="shared" si="0"/>
        <v>46</v>
      </c>
      <c r="B56" s="107"/>
      <c r="C56" s="148"/>
      <c r="D56" s="148" t="s">
        <v>604</v>
      </c>
      <c r="E56" s="108" t="s">
        <v>605</v>
      </c>
      <c r="F56" s="109" t="s">
        <v>606</v>
      </c>
      <c r="G56" s="51"/>
      <c r="H56" s="51" t="s">
        <v>411</v>
      </c>
      <c r="I56" s="39"/>
    </row>
    <row r="57" customHeight="1" spans="1:9">
      <c r="A57" s="102">
        <f t="shared" si="0"/>
        <v>47</v>
      </c>
      <c r="B57" s="107"/>
      <c r="C57" s="148"/>
      <c r="D57" s="148" t="s">
        <v>607</v>
      </c>
      <c r="E57" s="108" t="s">
        <v>608</v>
      </c>
      <c r="F57" s="109" t="s">
        <v>609</v>
      </c>
      <c r="G57" s="51"/>
      <c r="H57" s="51" t="s">
        <v>411</v>
      </c>
      <c r="I57" s="39"/>
    </row>
    <row r="58" customHeight="1" spans="1:12">
      <c r="A58" s="102">
        <f t="shared" si="0"/>
        <v>48</v>
      </c>
      <c r="B58" s="107"/>
      <c r="C58" s="148"/>
      <c r="D58" s="148" t="s">
        <v>610</v>
      </c>
      <c r="E58" s="108" t="s">
        <v>611</v>
      </c>
      <c r="F58" s="109" t="s">
        <v>612</v>
      </c>
      <c r="G58" s="39" t="s">
        <v>613</v>
      </c>
      <c r="H58" s="39" t="s">
        <v>27</v>
      </c>
      <c r="I58" s="39" t="s">
        <v>614</v>
      </c>
      <c r="J58" s="37" t="s">
        <v>4</v>
      </c>
      <c r="K58" s="37" t="s">
        <v>26</v>
      </c>
      <c r="L58" s="37" t="s">
        <v>612</v>
      </c>
    </row>
    <row r="59" customHeight="1" spans="1:9">
      <c r="A59" s="102">
        <f t="shared" si="0"/>
        <v>49</v>
      </c>
      <c r="B59" s="107"/>
      <c r="C59" s="148"/>
      <c r="D59" s="148" t="s">
        <v>615</v>
      </c>
      <c r="E59" s="108" t="s">
        <v>616</v>
      </c>
      <c r="F59" s="109" t="s">
        <v>617</v>
      </c>
      <c r="G59" s="51"/>
      <c r="H59" s="51" t="s">
        <v>411</v>
      </c>
      <c r="I59" s="39"/>
    </row>
    <row r="60" ht="34.5" spans="1:12">
      <c r="A60" s="102">
        <f t="shared" si="0"/>
        <v>50</v>
      </c>
      <c r="B60" s="107"/>
      <c r="C60" s="109"/>
      <c r="D60" s="109" t="s">
        <v>618</v>
      </c>
      <c r="E60" s="108" t="s">
        <v>619</v>
      </c>
      <c r="F60" s="109" t="s">
        <v>620</v>
      </c>
      <c r="G60" s="155" t="s">
        <v>621</v>
      </c>
      <c r="H60" s="51" t="s">
        <v>27</v>
      </c>
      <c r="I60" s="39" t="s">
        <v>622</v>
      </c>
      <c r="J60" s="37" t="s">
        <v>4</v>
      </c>
      <c r="K60" s="37" t="s">
        <v>26</v>
      </c>
      <c r="L60" s="37" t="s">
        <v>620</v>
      </c>
    </row>
    <row r="61" customHeight="1" spans="1:9">
      <c r="A61" s="102">
        <f t="shared" si="0"/>
        <v>51</v>
      </c>
      <c r="B61" s="107" t="s">
        <v>21</v>
      </c>
      <c r="C61" s="109"/>
      <c r="D61" s="109" t="s">
        <v>623</v>
      </c>
      <c r="E61" s="108" t="s">
        <v>624</v>
      </c>
      <c r="F61" s="109" t="s">
        <v>625</v>
      </c>
      <c r="G61" s="154" t="s">
        <v>626</v>
      </c>
      <c r="H61" s="39" t="s">
        <v>42</v>
      </c>
      <c r="I61" s="39"/>
    </row>
    <row r="62" customHeight="1" spans="1:9">
      <c r="A62" s="102">
        <f t="shared" si="0"/>
        <v>52</v>
      </c>
      <c r="B62" s="107" t="s">
        <v>21</v>
      </c>
      <c r="C62" s="148"/>
      <c r="D62" s="148" t="s">
        <v>627</v>
      </c>
      <c r="E62" s="108" t="s">
        <v>628</v>
      </c>
      <c r="F62" s="109" t="s">
        <v>629</v>
      </c>
      <c r="G62" s="154" t="s">
        <v>630</v>
      </c>
      <c r="H62" s="39" t="s">
        <v>42</v>
      </c>
      <c r="I62" s="39"/>
    </row>
    <row r="63" ht="34.5" spans="1:12">
      <c r="A63" s="102">
        <f t="shared" si="0"/>
        <v>53</v>
      </c>
      <c r="B63" s="107"/>
      <c r="C63" s="109"/>
      <c r="D63" s="109" t="s">
        <v>631</v>
      </c>
      <c r="E63" s="108" t="s">
        <v>632</v>
      </c>
      <c r="F63" s="109" t="s">
        <v>633</v>
      </c>
      <c r="G63" s="39" t="s">
        <v>634</v>
      </c>
      <c r="H63" s="39" t="s">
        <v>27</v>
      </c>
      <c r="I63" s="39" t="s">
        <v>635</v>
      </c>
      <c r="J63" s="37" t="s">
        <v>4</v>
      </c>
      <c r="K63" s="37" t="s">
        <v>26</v>
      </c>
      <c r="L63" s="37" t="s">
        <v>633</v>
      </c>
    </row>
    <row r="64" ht="34.5" spans="1:12">
      <c r="A64" s="102">
        <f t="shared" si="0"/>
        <v>54</v>
      </c>
      <c r="B64" s="107"/>
      <c r="C64" s="109"/>
      <c r="D64" s="109" t="s">
        <v>636</v>
      </c>
      <c r="E64" s="108" t="s">
        <v>637</v>
      </c>
      <c r="F64" s="109" t="s">
        <v>638</v>
      </c>
      <c r="G64" s="39" t="s">
        <v>634</v>
      </c>
      <c r="H64" s="39" t="s">
        <v>27</v>
      </c>
      <c r="I64" s="39" t="s">
        <v>639</v>
      </c>
      <c r="J64" s="37" t="s">
        <v>4</v>
      </c>
      <c r="K64" s="37" t="s">
        <v>26</v>
      </c>
      <c r="L64" s="37" t="s">
        <v>638</v>
      </c>
    </row>
    <row r="65" ht="34.5" spans="1:12">
      <c r="A65" s="102">
        <f t="shared" si="0"/>
        <v>55</v>
      </c>
      <c r="B65" s="106"/>
      <c r="C65" s="30"/>
      <c r="D65" s="30" t="s">
        <v>640</v>
      </c>
      <c r="E65" s="35" t="s">
        <v>641</v>
      </c>
      <c r="F65" s="30" t="s">
        <v>642</v>
      </c>
      <c r="G65" s="39" t="s">
        <v>634</v>
      </c>
      <c r="H65" s="39" t="s">
        <v>27</v>
      </c>
      <c r="I65" s="39" t="s">
        <v>643</v>
      </c>
      <c r="J65" s="37" t="s">
        <v>4</v>
      </c>
      <c r="K65" s="37" t="s">
        <v>26</v>
      </c>
      <c r="L65" s="37" t="s">
        <v>642</v>
      </c>
    </row>
    <row r="66" customHeight="1" spans="1:9">
      <c r="A66" s="102">
        <f t="shared" si="0"/>
        <v>56</v>
      </c>
      <c r="B66" s="106" t="s">
        <v>21</v>
      </c>
      <c r="C66" s="30"/>
      <c r="D66" s="30" t="s">
        <v>244</v>
      </c>
      <c r="E66" s="35" t="s">
        <v>644</v>
      </c>
      <c r="F66" s="30" t="s">
        <v>245</v>
      </c>
      <c r="G66" s="39"/>
      <c r="H66" s="39" t="s">
        <v>219</v>
      </c>
      <c r="I66" s="39"/>
    </row>
    <row r="67" customHeight="1" spans="1:9">
      <c r="A67" s="102">
        <f t="shared" si="0"/>
        <v>57</v>
      </c>
      <c r="B67" s="106" t="s">
        <v>21</v>
      </c>
      <c r="C67" s="36"/>
      <c r="D67" s="36" t="s">
        <v>645</v>
      </c>
      <c r="E67" s="35" t="s">
        <v>646</v>
      </c>
      <c r="F67" s="30" t="s">
        <v>647</v>
      </c>
      <c r="G67" s="39" t="s">
        <v>648</v>
      </c>
      <c r="H67" s="39" t="s">
        <v>42</v>
      </c>
      <c r="I67" s="39"/>
    </row>
    <row r="68" s="132" customFormat="1" customHeight="1" spans="1:9">
      <c r="A68" s="133">
        <f t="shared" si="0"/>
        <v>58</v>
      </c>
      <c r="B68" s="134"/>
      <c r="C68" s="86" t="s">
        <v>224</v>
      </c>
      <c r="D68" s="86" t="s">
        <v>240</v>
      </c>
      <c r="E68" s="35" t="s">
        <v>240</v>
      </c>
      <c r="F68" s="36" t="s">
        <v>38</v>
      </c>
      <c r="G68" s="40" t="s">
        <v>649</v>
      </c>
      <c r="H68" s="40" t="s">
        <v>243</v>
      </c>
      <c r="I68" s="40"/>
    </row>
    <row r="69" customHeight="1" spans="1:9">
      <c r="A69" s="133">
        <f t="shared" ref="A69:A105" si="1">ROW(A69)-10</f>
        <v>59</v>
      </c>
      <c r="B69" s="133"/>
      <c r="C69" s="133"/>
      <c r="D69" s="133" t="s">
        <v>650</v>
      </c>
      <c r="E69" s="133" t="s">
        <v>650</v>
      </c>
      <c r="F69" s="133" t="s">
        <v>137</v>
      </c>
      <c r="G69" s="133"/>
      <c r="H69" s="133" t="s">
        <v>24</v>
      </c>
      <c r="I69" s="133"/>
    </row>
    <row r="70" customHeight="1" spans="1:9">
      <c r="A70" s="133">
        <f t="shared" si="1"/>
        <v>60</v>
      </c>
      <c r="B70" s="133"/>
      <c r="C70" s="133"/>
      <c r="D70" s="133" t="s">
        <v>651</v>
      </c>
      <c r="E70" s="133" t="s">
        <v>651</v>
      </c>
      <c r="F70" s="133" t="s">
        <v>652</v>
      </c>
      <c r="G70" s="133"/>
      <c r="H70" s="133" t="s">
        <v>42</v>
      </c>
      <c r="I70" s="133"/>
    </row>
    <row r="71" customHeight="1" spans="1:9">
      <c r="A71" s="133">
        <f t="shared" si="1"/>
        <v>61</v>
      </c>
      <c r="B71" s="133"/>
      <c r="C71" s="133"/>
      <c r="D71" s="133" t="s">
        <v>653</v>
      </c>
      <c r="E71" s="133" t="s">
        <v>653</v>
      </c>
      <c r="F71" s="133" t="s">
        <v>654</v>
      </c>
      <c r="G71" s="133"/>
      <c r="H71" s="133" t="s">
        <v>655</v>
      </c>
      <c r="I71" s="133"/>
    </row>
    <row r="72" customHeight="1" spans="1:9">
      <c r="A72" s="133">
        <f t="shared" si="1"/>
        <v>62</v>
      </c>
      <c r="B72" s="133"/>
      <c r="C72" s="133"/>
      <c r="D72" s="133" t="s">
        <v>656</v>
      </c>
      <c r="E72" s="133" t="s">
        <v>656</v>
      </c>
      <c r="F72" s="133" t="s">
        <v>657</v>
      </c>
      <c r="G72" s="133"/>
      <c r="H72" s="133" t="s">
        <v>24</v>
      </c>
      <c r="I72" s="133"/>
    </row>
    <row r="73" customHeight="1" spans="1:9">
      <c r="A73" s="133">
        <f t="shared" si="1"/>
        <v>63</v>
      </c>
      <c r="B73" s="133"/>
      <c r="C73" s="133"/>
      <c r="D73" s="133" t="s">
        <v>658</v>
      </c>
      <c r="E73" s="133" t="s">
        <v>658</v>
      </c>
      <c r="F73" s="133" t="s">
        <v>659</v>
      </c>
      <c r="G73" s="133"/>
      <c r="H73" s="133" t="s">
        <v>347</v>
      </c>
      <c r="I73" s="133"/>
    </row>
    <row r="74" customHeight="1" spans="1:9">
      <c r="A74" s="133">
        <f t="shared" si="1"/>
        <v>64</v>
      </c>
      <c r="B74" s="133"/>
      <c r="C74" s="133"/>
      <c r="D74" s="133" t="s">
        <v>660</v>
      </c>
      <c r="E74" s="133" t="s">
        <v>660</v>
      </c>
      <c r="F74" s="133" t="s">
        <v>661</v>
      </c>
      <c r="G74" s="133"/>
      <c r="H74" s="133" t="s">
        <v>42</v>
      </c>
      <c r="I74" s="133"/>
    </row>
    <row r="75" customHeight="1" spans="1:9">
      <c r="A75" s="133">
        <f t="shared" si="1"/>
        <v>65</v>
      </c>
      <c r="B75" s="133"/>
      <c r="C75" s="133"/>
      <c r="D75" s="133" t="s">
        <v>662</v>
      </c>
      <c r="E75" s="133" t="s">
        <v>662</v>
      </c>
      <c r="F75" s="133" t="s">
        <v>663</v>
      </c>
      <c r="G75" s="133"/>
      <c r="H75" s="133" t="s">
        <v>219</v>
      </c>
      <c r="I75" s="133"/>
    </row>
    <row r="76" customHeight="1" spans="1:9">
      <c r="A76" s="133">
        <f t="shared" si="1"/>
        <v>66</v>
      </c>
      <c r="B76" s="133"/>
      <c r="C76" s="133"/>
      <c r="D76" s="133" t="s">
        <v>664</v>
      </c>
      <c r="E76" s="133" t="s">
        <v>664</v>
      </c>
      <c r="F76" s="133" t="s">
        <v>665</v>
      </c>
      <c r="G76" s="133"/>
      <c r="H76" s="133" t="s">
        <v>42</v>
      </c>
      <c r="I76" s="133"/>
    </row>
    <row r="77" customHeight="1" spans="1:9">
      <c r="A77" s="133">
        <f t="shared" si="1"/>
        <v>67</v>
      </c>
      <c r="B77" s="133"/>
      <c r="C77" s="133"/>
      <c r="D77" s="133" t="s">
        <v>666</v>
      </c>
      <c r="E77" s="133" t="s">
        <v>666</v>
      </c>
      <c r="F77" s="133" t="s">
        <v>667</v>
      </c>
      <c r="G77" s="133"/>
      <c r="H77" s="133" t="s">
        <v>42</v>
      </c>
      <c r="I77" s="133"/>
    </row>
    <row r="78" customHeight="1" spans="1:9">
      <c r="A78" s="133">
        <f t="shared" si="1"/>
        <v>68</v>
      </c>
      <c r="B78" s="133"/>
      <c r="C78" s="133"/>
      <c r="D78" s="133" t="s">
        <v>668</v>
      </c>
      <c r="E78" s="133" t="s">
        <v>668</v>
      </c>
      <c r="F78" s="133" t="s">
        <v>669</v>
      </c>
      <c r="G78" s="133"/>
      <c r="H78" s="133" t="s">
        <v>42</v>
      </c>
      <c r="I78" s="133"/>
    </row>
    <row r="79" customHeight="1" spans="1:9">
      <c r="A79" s="133">
        <f t="shared" si="1"/>
        <v>69</v>
      </c>
      <c r="B79" s="133"/>
      <c r="C79" s="133"/>
      <c r="D79" s="133" t="s">
        <v>670</v>
      </c>
      <c r="E79" s="133" t="s">
        <v>670</v>
      </c>
      <c r="F79" s="133" t="s">
        <v>671</v>
      </c>
      <c r="G79" s="133"/>
      <c r="H79" s="133" t="s">
        <v>42</v>
      </c>
      <c r="I79" s="133"/>
    </row>
    <row r="80" customHeight="1" spans="1:9">
      <c r="A80" s="133">
        <f t="shared" si="1"/>
        <v>70</v>
      </c>
      <c r="B80" s="133"/>
      <c r="C80" s="133"/>
      <c r="D80" s="133" t="s">
        <v>672</v>
      </c>
      <c r="E80" s="133" t="s">
        <v>672</v>
      </c>
      <c r="F80" s="133" t="s">
        <v>673</v>
      </c>
      <c r="G80" s="133"/>
      <c r="H80" s="133" t="s">
        <v>27</v>
      </c>
      <c r="I80" s="133"/>
    </row>
    <row r="81" customHeight="1" spans="1:9">
      <c r="A81" s="133">
        <f t="shared" si="1"/>
        <v>71</v>
      </c>
      <c r="B81" s="133"/>
      <c r="C81" s="133"/>
      <c r="D81" s="133" t="s">
        <v>674</v>
      </c>
      <c r="E81" s="133" t="s">
        <v>674</v>
      </c>
      <c r="F81" s="133" t="s">
        <v>675</v>
      </c>
      <c r="G81" s="133"/>
      <c r="H81" s="133" t="s">
        <v>27</v>
      </c>
      <c r="I81" s="133"/>
    </row>
    <row r="82" customHeight="1" spans="1:9">
      <c r="A82" s="133">
        <f t="shared" si="1"/>
        <v>72</v>
      </c>
      <c r="B82" s="133"/>
      <c r="C82" s="133"/>
      <c r="D82" s="133" t="s">
        <v>676</v>
      </c>
      <c r="E82" s="133" t="s">
        <v>676</v>
      </c>
      <c r="F82" s="133" t="s">
        <v>677</v>
      </c>
      <c r="G82" s="133"/>
      <c r="H82" s="133" t="s">
        <v>27</v>
      </c>
      <c r="I82" s="133"/>
    </row>
    <row r="83" customHeight="1" spans="1:9">
      <c r="A83" s="133">
        <f t="shared" si="1"/>
        <v>73</v>
      </c>
      <c r="B83" s="133"/>
      <c r="C83" s="133"/>
      <c r="D83" s="133" t="s">
        <v>678</v>
      </c>
      <c r="E83" s="133" t="s">
        <v>678</v>
      </c>
      <c r="F83" s="133" t="s">
        <v>679</v>
      </c>
      <c r="G83" s="133"/>
      <c r="H83" s="133" t="s">
        <v>42</v>
      </c>
      <c r="I83" s="133"/>
    </row>
    <row r="84" customHeight="1" spans="1:9">
      <c r="A84" s="133">
        <f t="shared" si="1"/>
        <v>74</v>
      </c>
      <c r="B84" s="133"/>
      <c r="C84" s="133"/>
      <c r="D84" s="133" t="s">
        <v>680</v>
      </c>
      <c r="E84" s="133" t="s">
        <v>680</v>
      </c>
      <c r="F84" s="133" t="s">
        <v>681</v>
      </c>
      <c r="G84" s="133"/>
      <c r="H84" s="133" t="s">
        <v>219</v>
      </c>
      <c r="I84" s="133"/>
    </row>
    <row r="85" customHeight="1" spans="1:9">
      <c r="A85" s="133">
        <f t="shared" si="1"/>
        <v>75</v>
      </c>
      <c r="B85" s="133"/>
      <c r="C85" s="133"/>
      <c r="D85" s="133" t="s">
        <v>682</v>
      </c>
      <c r="E85" s="133" t="s">
        <v>682</v>
      </c>
      <c r="F85" s="133" t="s">
        <v>683</v>
      </c>
      <c r="G85" s="133"/>
      <c r="H85" s="133" t="s">
        <v>219</v>
      </c>
      <c r="I85" s="133"/>
    </row>
    <row r="86" customHeight="1" spans="1:9">
      <c r="A86" s="133">
        <f t="shared" si="1"/>
        <v>76</v>
      </c>
      <c r="B86" s="133"/>
      <c r="C86" s="133"/>
      <c r="D86" s="133" t="s">
        <v>684</v>
      </c>
      <c r="E86" s="133" t="s">
        <v>684</v>
      </c>
      <c r="F86" s="133" t="s">
        <v>685</v>
      </c>
      <c r="G86" s="133"/>
      <c r="H86" s="133" t="s">
        <v>411</v>
      </c>
      <c r="I86" s="133"/>
    </row>
    <row r="87" customHeight="1" spans="1:9">
      <c r="A87" s="133">
        <f t="shared" si="1"/>
        <v>77</v>
      </c>
      <c r="B87" s="133"/>
      <c r="C87" s="133"/>
      <c r="D87" s="133" t="s">
        <v>686</v>
      </c>
      <c r="E87" s="133" t="s">
        <v>686</v>
      </c>
      <c r="F87" s="133" t="s">
        <v>687</v>
      </c>
      <c r="G87" s="133"/>
      <c r="H87" s="133" t="s">
        <v>27</v>
      </c>
      <c r="I87" s="133"/>
    </row>
    <row r="88" customHeight="1" spans="1:9">
      <c r="A88" s="133">
        <f t="shared" si="1"/>
        <v>78</v>
      </c>
      <c r="B88" s="133"/>
      <c r="C88" s="133"/>
      <c r="D88" s="133" t="s">
        <v>688</v>
      </c>
      <c r="E88" s="133" t="s">
        <v>688</v>
      </c>
      <c r="F88" s="133" t="s">
        <v>689</v>
      </c>
      <c r="G88" s="133"/>
      <c r="H88" s="133" t="s">
        <v>27</v>
      </c>
      <c r="I88" s="133"/>
    </row>
    <row r="89" customHeight="1" spans="1:9">
      <c r="A89" s="133">
        <f t="shared" si="1"/>
        <v>79</v>
      </c>
      <c r="B89" s="133"/>
      <c r="C89" s="133"/>
      <c r="D89" s="133" t="s">
        <v>690</v>
      </c>
      <c r="E89" s="133" t="s">
        <v>690</v>
      </c>
      <c r="F89" s="133" t="s">
        <v>691</v>
      </c>
      <c r="G89" s="133"/>
      <c r="H89" s="133" t="s">
        <v>27</v>
      </c>
      <c r="I89" s="133"/>
    </row>
    <row r="90" customHeight="1" spans="1:9">
      <c r="A90" s="133">
        <f t="shared" si="1"/>
        <v>80</v>
      </c>
      <c r="B90" s="133"/>
      <c r="C90" s="133"/>
      <c r="D90" s="133" t="s">
        <v>692</v>
      </c>
      <c r="E90" s="133" t="s">
        <v>692</v>
      </c>
      <c r="F90" s="133" t="s">
        <v>693</v>
      </c>
      <c r="G90" s="133"/>
      <c r="H90" s="133" t="s">
        <v>53</v>
      </c>
      <c r="I90" s="133"/>
    </row>
    <row r="91" customHeight="1" spans="1:9">
      <c r="A91" s="133">
        <f t="shared" si="1"/>
        <v>81</v>
      </c>
      <c r="B91" s="133"/>
      <c r="C91" s="133"/>
      <c r="D91" s="133" t="s">
        <v>694</v>
      </c>
      <c r="E91" s="133" t="s">
        <v>694</v>
      </c>
      <c r="F91" s="133" t="s">
        <v>695</v>
      </c>
      <c r="G91" s="133"/>
      <c r="H91" s="133" t="s">
        <v>27</v>
      </c>
      <c r="I91" s="133"/>
    </row>
    <row r="92" customHeight="1" spans="1:9">
      <c r="A92" s="133">
        <f t="shared" si="1"/>
        <v>82</v>
      </c>
      <c r="B92" s="133"/>
      <c r="C92" s="133"/>
      <c r="D92" s="133" t="s">
        <v>696</v>
      </c>
      <c r="E92" s="133" t="s">
        <v>696</v>
      </c>
      <c r="F92" s="133" t="s">
        <v>697</v>
      </c>
      <c r="G92" s="133"/>
      <c r="H92" s="133" t="s">
        <v>24</v>
      </c>
      <c r="I92" s="133"/>
    </row>
    <row r="93" customHeight="1" spans="1:9">
      <c r="A93" s="133">
        <f t="shared" si="1"/>
        <v>83</v>
      </c>
      <c r="B93" s="133"/>
      <c r="C93" s="133"/>
      <c r="D93" s="133" t="s">
        <v>698</v>
      </c>
      <c r="E93" s="133" t="s">
        <v>698</v>
      </c>
      <c r="F93" s="133" t="s">
        <v>699</v>
      </c>
      <c r="G93" s="133"/>
      <c r="H93" s="133" t="s">
        <v>53</v>
      </c>
      <c r="I93" s="133"/>
    </row>
    <row r="94" customHeight="1" spans="1:9">
      <c r="A94" s="133">
        <f t="shared" si="1"/>
        <v>84</v>
      </c>
      <c r="B94" s="133"/>
      <c r="C94" s="133"/>
      <c r="D94" s="133" t="s">
        <v>700</v>
      </c>
      <c r="E94" s="133" t="s">
        <v>700</v>
      </c>
      <c r="F94" s="133" t="s">
        <v>701</v>
      </c>
      <c r="G94" s="133"/>
      <c r="H94" s="133" t="s">
        <v>27</v>
      </c>
      <c r="I94" s="133"/>
    </row>
    <row r="95" customHeight="1" spans="1:9">
      <c r="A95" s="133">
        <f t="shared" si="1"/>
        <v>85</v>
      </c>
      <c r="B95" s="133"/>
      <c r="C95" s="133"/>
      <c r="D95" s="133" t="s">
        <v>702</v>
      </c>
      <c r="E95" s="133" t="s">
        <v>702</v>
      </c>
      <c r="F95" s="133" t="s">
        <v>703</v>
      </c>
      <c r="G95" s="133"/>
      <c r="H95" s="133" t="s">
        <v>27</v>
      </c>
      <c r="I95" s="133"/>
    </row>
    <row r="96" customHeight="1" spans="1:9">
      <c r="A96" s="133">
        <f t="shared" si="1"/>
        <v>86</v>
      </c>
      <c r="B96" s="133"/>
      <c r="C96" s="133"/>
      <c r="D96" s="133" t="s">
        <v>704</v>
      </c>
      <c r="E96" s="133" t="s">
        <v>704</v>
      </c>
      <c r="F96" s="133" t="s">
        <v>705</v>
      </c>
      <c r="G96" s="133"/>
      <c r="H96" s="133" t="s">
        <v>42</v>
      </c>
      <c r="I96" s="133"/>
    </row>
    <row r="97" customHeight="1" spans="1:9">
      <c r="A97" s="133">
        <f t="shared" si="1"/>
        <v>87</v>
      </c>
      <c r="B97" s="133"/>
      <c r="C97" s="133"/>
      <c r="D97" s="133" t="s">
        <v>706</v>
      </c>
      <c r="E97" s="133" t="s">
        <v>706</v>
      </c>
      <c r="F97" s="133" t="s">
        <v>707</v>
      </c>
      <c r="G97" s="133"/>
      <c r="H97" s="133" t="s">
        <v>27</v>
      </c>
      <c r="I97" s="133"/>
    </row>
    <row r="98" customHeight="1" spans="1:9">
      <c r="A98" s="133">
        <f t="shared" si="1"/>
        <v>88</v>
      </c>
      <c r="B98" s="133"/>
      <c r="C98" s="133"/>
      <c r="D98" s="133" t="s">
        <v>708</v>
      </c>
      <c r="E98" s="133" t="s">
        <v>708</v>
      </c>
      <c r="F98" s="133" t="s">
        <v>709</v>
      </c>
      <c r="G98" s="133"/>
      <c r="H98" s="133" t="s">
        <v>27</v>
      </c>
      <c r="I98" s="133"/>
    </row>
    <row r="99" customHeight="1" spans="1:9">
      <c r="A99" s="133">
        <f t="shared" si="1"/>
        <v>89</v>
      </c>
      <c r="B99" s="133"/>
      <c r="C99" s="133"/>
      <c r="D99" s="133" t="s">
        <v>710</v>
      </c>
      <c r="E99" s="133" t="s">
        <v>710</v>
      </c>
      <c r="F99" s="133" t="s">
        <v>711</v>
      </c>
      <c r="G99" s="133"/>
      <c r="H99" s="133" t="s">
        <v>24</v>
      </c>
      <c r="I99" s="133"/>
    </row>
    <row r="100" customHeight="1" spans="1:9">
      <c r="A100" s="133">
        <f t="shared" si="1"/>
        <v>90</v>
      </c>
      <c r="B100" s="133"/>
      <c r="C100" s="133"/>
      <c r="D100" s="133" t="s">
        <v>712</v>
      </c>
      <c r="E100" s="133" t="s">
        <v>712</v>
      </c>
      <c r="F100" s="133" t="s">
        <v>713</v>
      </c>
      <c r="G100" s="133"/>
      <c r="H100" s="133" t="s">
        <v>411</v>
      </c>
      <c r="I100" s="133"/>
    </row>
    <row r="101" customHeight="1" spans="1:9">
      <c r="A101" s="133">
        <f t="shared" si="1"/>
        <v>91</v>
      </c>
      <c r="B101" s="133"/>
      <c r="C101" s="133"/>
      <c r="D101" s="133" t="s">
        <v>714</v>
      </c>
      <c r="E101" s="133" t="s">
        <v>714</v>
      </c>
      <c r="F101" s="133" t="s">
        <v>715</v>
      </c>
      <c r="G101" s="133"/>
      <c r="H101" s="133" t="s">
        <v>347</v>
      </c>
      <c r="I101" s="133"/>
    </row>
    <row r="102" customHeight="1" spans="1:9">
      <c r="A102" s="133">
        <f t="shared" si="1"/>
        <v>92</v>
      </c>
      <c r="B102" s="133"/>
      <c r="C102" s="133"/>
      <c r="D102" s="133" t="s">
        <v>716</v>
      </c>
      <c r="E102" s="133" t="s">
        <v>716</v>
      </c>
      <c r="F102" s="133" t="s">
        <v>717</v>
      </c>
      <c r="G102" s="133"/>
      <c r="H102" s="133" t="s">
        <v>411</v>
      </c>
      <c r="I102" s="133"/>
    </row>
    <row r="103" customHeight="1" spans="1:9">
      <c r="A103" s="133">
        <f t="shared" si="1"/>
        <v>93</v>
      </c>
      <c r="B103" s="133"/>
      <c r="C103" s="133"/>
      <c r="D103" s="133" t="s">
        <v>718</v>
      </c>
      <c r="E103" s="133" t="s">
        <v>718</v>
      </c>
      <c r="F103" s="133" t="s">
        <v>719</v>
      </c>
      <c r="G103" s="133"/>
      <c r="H103" s="133" t="s">
        <v>411</v>
      </c>
      <c r="I103" s="133"/>
    </row>
    <row r="104" customHeight="1" spans="1:9">
      <c r="A104" s="133">
        <f t="shared" si="1"/>
        <v>94</v>
      </c>
      <c r="B104" s="133"/>
      <c r="C104" s="133"/>
      <c r="D104" s="133" t="s">
        <v>720</v>
      </c>
      <c r="E104" s="133" t="s">
        <v>720</v>
      </c>
      <c r="F104" s="133" t="s">
        <v>721</v>
      </c>
      <c r="G104" s="133"/>
      <c r="H104" s="133" t="s">
        <v>411</v>
      </c>
      <c r="I104" s="133"/>
    </row>
    <row r="105" customHeight="1" spans="1:9">
      <c r="A105" s="133">
        <f t="shared" si="1"/>
        <v>95</v>
      </c>
      <c r="B105" s="133"/>
      <c r="C105" s="133"/>
      <c r="D105" s="133" t="s">
        <v>722</v>
      </c>
      <c r="E105" s="133" t="s">
        <v>722</v>
      </c>
      <c r="F105" s="133" t="s">
        <v>723</v>
      </c>
      <c r="G105" s="133"/>
      <c r="H105" s="133" t="s">
        <v>411</v>
      </c>
      <c r="I105" s="133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85" zoomScaleNormal="85" workbookViewId="0">
      <selection activeCell="G12" sqref="G12"/>
    </sheetView>
  </sheetViews>
  <sheetFormatPr defaultColWidth="9" defaultRowHeight="13.5"/>
  <cols>
    <col min="1" max="2" width="6" customWidth="1"/>
    <col min="3" max="5" width="16.8333333333333" customWidth="1"/>
    <col min="6" max="6" width="23.1666666666667" customWidth="1"/>
    <col min="7" max="7" width="60.6666666666667" customWidth="1"/>
    <col min="8" max="8" width="19.1666666666667" customWidth="1"/>
    <col min="9" max="9" width="74" customWidth="1"/>
    <col min="10" max="10" width="16" customWidth="1"/>
  </cols>
  <sheetData>
    <row r="1" ht="14.25" spans="1:9">
      <c r="A1" s="43" t="s">
        <v>0</v>
      </c>
      <c r="B1" s="3" t="s">
        <v>724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725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726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 t="s">
        <v>727</v>
      </c>
      <c r="G6" s="14"/>
      <c r="H6" s="14"/>
      <c r="I6" s="24"/>
    </row>
    <row r="7" ht="34" customHeight="1" spans="1:9">
      <c r="A7" s="5">
        <v>4</v>
      </c>
      <c r="B7" s="10" t="s">
        <v>8</v>
      </c>
      <c r="C7" s="11"/>
      <c r="D7" s="12"/>
      <c r="E7" s="11"/>
      <c r="F7" s="13" t="s">
        <v>728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35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f>ROW(A11)-10</f>
        <v>1</v>
      </c>
      <c r="B11" s="25" t="s">
        <v>21</v>
      </c>
      <c r="C11" s="5"/>
      <c r="D11" s="5" t="s">
        <v>22</v>
      </c>
      <c r="E11" s="35" t="s">
        <v>22</v>
      </c>
      <c r="F11" s="5" t="s">
        <v>22</v>
      </c>
      <c r="G11" s="18" t="s">
        <v>730</v>
      </c>
      <c r="H11" s="5" t="s">
        <v>24</v>
      </c>
      <c r="I11" s="18"/>
    </row>
    <row r="12" ht="17.25" spans="1:11">
      <c r="A12" s="5">
        <f t="shared" ref="A12:A18" si="0">ROW(A12)-10</f>
        <v>2</v>
      </c>
      <c r="B12" s="25" t="s">
        <v>21</v>
      </c>
      <c r="C12" s="26"/>
      <c r="D12" s="26" t="s">
        <v>281</v>
      </c>
      <c r="E12" s="35" t="s">
        <v>731</v>
      </c>
      <c r="F12" s="5" t="s">
        <v>162</v>
      </c>
      <c r="G12" s="18" t="s">
        <v>732</v>
      </c>
      <c r="H12" s="5" t="s">
        <v>24</v>
      </c>
      <c r="I12" s="18"/>
      <c r="J12" s="37" t="s">
        <v>161</v>
      </c>
      <c r="K12" s="37" t="s">
        <v>162</v>
      </c>
    </row>
    <row r="13" ht="17.25" spans="1:9">
      <c r="A13" s="5">
        <f t="shared" si="0"/>
        <v>3</v>
      </c>
      <c r="B13" s="25" t="s">
        <v>21</v>
      </c>
      <c r="C13" s="5"/>
      <c r="D13" s="5" t="s">
        <v>733</v>
      </c>
      <c r="E13" s="35" t="s">
        <v>734</v>
      </c>
      <c r="F13" s="5" t="s">
        <v>735</v>
      </c>
      <c r="G13" s="18" t="s">
        <v>736</v>
      </c>
      <c r="H13" s="5" t="s">
        <v>219</v>
      </c>
      <c r="I13" s="18"/>
    </row>
    <row r="14" ht="17.25" spans="1:9">
      <c r="A14" s="5">
        <f t="shared" si="0"/>
        <v>4</v>
      </c>
      <c r="B14" s="25" t="s">
        <v>21</v>
      </c>
      <c r="C14" s="5"/>
      <c r="D14" s="5" t="s">
        <v>737</v>
      </c>
      <c r="E14" s="35" t="s">
        <v>738</v>
      </c>
      <c r="F14" s="5" t="s">
        <v>739</v>
      </c>
      <c r="G14" s="18" t="s">
        <v>740</v>
      </c>
      <c r="H14" s="5" t="s">
        <v>411</v>
      </c>
      <c r="I14" s="18"/>
    </row>
    <row r="15" ht="17.25" spans="1:9">
      <c r="A15" s="5">
        <f t="shared" si="0"/>
        <v>5</v>
      </c>
      <c r="B15" s="25"/>
      <c r="C15" s="5"/>
      <c r="D15" s="5" t="s">
        <v>741</v>
      </c>
      <c r="E15" s="35" t="s">
        <v>742</v>
      </c>
      <c r="F15" s="5" t="s">
        <v>743</v>
      </c>
      <c r="G15" s="18"/>
      <c r="H15" s="5" t="s">
        <v>744</v>
      </c>
      <c r="I15" s="18"/>
    </row>
    <row r="16" ht="69" spans="1:9">
      <c r="A16" s="5">
        <f t="shared" si="0"/>
        <v>6</v>
      </c>
      <c r="B16" s="25" t="s">
        <v>21</v>
      </c>
      <c r="C16" s="20" t="s">
        <v>224</v>
      </c>
      <c r="D16" s="20" t="s">
        <v>745</v>
      </c>
      <c r="E16" s="35" t="s">
        <v>746</v>
      </c>
      <c r="F16" s="5" t="s">
        <v>747</v>
      </c>
      <c r="G16" s="5" t="s">
        <v>748</v>
      </c>
      <c r="H16" s="5" t="s">
        <v>24</v>
      </c>
      <c r="I16" s="18"/>
    </row>
    <row r="17" ht="34.5" spans="1:9">
      <c r="A17" s="5">
        <f t="shared" si="0"/>
        <v>7</v>
      </c>
      <c r="B17" s="25" t="s">
        <v>21</v>
      </c>
      <c r="C17" s="20" t="s">
        <v>224</v>
      </c>
      <c r="D17" s="20" t="s">
        <v>260</v>
      </c>
      <c r="E17" s="35" t="s">
        <v>749</v>
      </c>
      <c r="F17" s="5" t="s">
        <v>750</v>
      </c>
      <c r="G17" s="18" t="s">
        <v>751</v>
      </c>
      <c r="H17" s="5" t="s">
        <v>27</v>
      </c>
      <c r="I17" s="18"/>
    </row>
    <row r="18" ht="17.25" spans="1:9">
      <c r="A18" s="5">
        <f t="shared" si="0"/>
        <v>8</v>
      </c>
      <c r="B18" s="25"/>
      <c r="C18" s="20" t="s">
        <v>224</v>
      </c>
      <c r="D18" s="20" t="s">
        <v>752</v>
      </c>
      <c r="E18" s="17" t="s">
        <v>752</v>
      </c>
      <c r="F18" s="5" t="s">
        <v>753</v>
      </c>
      <c r="G18" s="18" t="s">
        <v>754</v>
      </c>
      <c r="H18" s="5" t="s">
        <v>755</v>
      </c>
      <c r="I18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G13" sqref="G13"/>
    </sheetView>
  </sheetViews>
  <sheetFormatPr defaultColWidth="9" defaultRowHeight="13.5"/>
  <cols>
    <col min="1" max="2" width="4.25" customWidth="1"/>
    <col min="3" max="3" width="5.125" customWidth="1"/>
    <col min="4" max="4" width="12.75" customWidth="1"/>
    <col min="5" max="6" width="19.75" customWidth="1"/>
    <col min="7" max="7" width="45.125" customWidth="1"/>
    <col min="8" max="8" width="17.375" customWidth="1"/>
  </cols>
  <sheetData>
    <row r="1" ht="14.25" spans="1:9">
      <c r="A1" s="157" t="s">
        <v>0</v>
      </c>
      <c r="B1" s="158" t="s">
        <v>756</v>
      </c>
      <c r="C1" s="159"/>
      <c r="D1" s="159"/>
      <c r="E1" s="159"/>
      <c r="F1" s="159"/>
      <c r="G1" s="159"/>
      <c r="H1" s="159"/>
      <c r="I1" s="171"/>
    </row>
    <row r="2" ht="14.25" spans="1:9">
      <c r="A2" s="160"/>
      <c r="B2" s="161"/>
      <c r="C2" s="162"/>
      <c r="D2" s="162"/>
      <c r="E2" s="162"/>
      <c r="F2" s="162"/>
      <c r="G2" s="162"/>
      <c r="H2" s="162"/>
      <c r="I2" s="172"/>
    </row>
    <row r="3" ht="17.25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ht="17.25" spans="1:9">
      <c r="A4" s="163">
        <v>1</v>
      </c>
      <c r="B4" s="164" t="s">
        <v>3</v>
      </c>
      <c r="C4" s="165"/>
      <c r="D4" s="166"/>
      <c r="E4" s="51"/>
      <c r="F4" s="164" t="s">
        <v>757</v>
      </c>
      <c r="G4" s="165"/>
      <c r="H4" s="165"/>
      <c r="I4" s="166"/>
    </row>
    <row r="5" ht="17.25" spans="1:9">
      <c r="A5" s="163">
        <v>2</v>
      </c>
      <c r="B5" s="164" t="s">
        <v>5</v>
      </c>
      <c r="C5" s="165"/>
      <c r="D5" s="166"/>
      <c r="E5" s="51"/>
      <c r="F5" s="50" t="s">
        <v>758</v>
      </c>
      <c r="G5" s="50"/>
      <c r="H5" s="50"/>
      <c r="I5" s="50"/>
    </row>
    <row r="6" ht="17.25" spans="1:9">
      <c r="A6" s="163">
        <v>3</v>
      </c>
      <c r="B6" s="164" t="s">
        <v>6</v>
      </c>
      <c r="C6" s="165"/>
      <c r="D6" s="166"/>
      <c r="E6" s="51"/>
      <c r="F6" s="51"/>
      <c r="G6" s="51"/>
      <c r="H6" s="51"/>
      <c r="I6" s="51"/>
    </row>
    <row r="7" ht="17.25" spans="1:9">
      <c r="A7" s="163">
        <v>4</v>
      </c>
      <c r="B7" s="164" t="s">
        <v>8</v>
      </c>
      <c r="C7" s="165"/>
      <c r="D7" s="166"/>
      <c r="E7" s="51"/>
      <c r="F7" s="50" t="s">
        <v>759</v>
      </c>
      <c r="G7" s="50"/>
      <c r="H7" s="50"/>
      <c r="I7" s="50"/>
    </row>
    <row r="8" ht="17.25" spans="1:9">
      <c r="A8" s="163">
        <v>5</v>
      </c>
      <c r="B8" s="164" t="s">
        <v>10</v>
      </c>
      <c r="C8" s="165"/>
      <c r="D8" s="166"/>
      <c r="E8" s="51"/>
      <c r="F8" s="51"/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17.25" spans="1:9">
      <c r="A10" s="167"/>
      <c r="B10" s="167"/>
      <c r="C10" s="167" t="s">
        <v>13</v>
      </c>
      <c r="D10" s="167" t="s">
        <v>15</v>
      </c>
      <c r="E10" s="168" t="s">
        <v>760</v>
      </c>
      <c r="F10" s="168" t="s">
        <v>17</v>
      </c>
      <c r="G10" s="167" t="s">
        <v>18</v>
      </c>
      <c r="H10" s="167" t="s">
        <v>19</v>
      </c>
      <c r="I10" s="167" t="s">
        <v>20</v>
      </c>
    </row>
    <row r="11" ht="17.25" spans="1:9">
      <c r="A11" s="163">
        <v>1</v>
      </c>
      <c r="B11" s="163"/>
      <c r="C11" s="169" t="s">
        <v>21</v>
      </c>
      <c r="D11" s="170" t="s">
        <v>22</v>
      </c>
      <c r="E11" s="170"/>
      <c r="F11" s="170" t="s">
        <v>22</v>
      </c>
      <c r="G11" s="131" t="s">
        <v>23</v>
      </c>
      <c r="H11" s="170" t="s">
        <v>30</v>
      </c>
      <c r="I11" s="39"/>
    </row>
    <row r="12" ht="17.25" spans="1:9">
      <c r="A12" s="163">
        <v>2</v>
      </c>
      <c r="B12" s="163"/>
      <c r="C12" s="169" t="s">
        <v>21</v>
      </c>
      <c r="D12" s="170" t="s">
        <v>436</v>
      </c>
      <c r="E12" s="170"/>
      <c r="F12" s="170" t="s">
        <v>162</v>
      </c>
      <c r="G12" s="131"/>
      <c r="H12" s="170" t="s">
        <v>24</v>
      </c>
      <c r="I12" s="39"/>
    </row>
    <row r="13" ht="17.25" spans="1:9">
      <c r="A13" s="163">
        <v>3</v>
      </c>
      <c r="B13" s="163"/>
      <c r="C13" s="169"/>
      <c r="D13" s="170" t="s">
        <v>761</v>
      </c>
      <c r="E13" s="170"/>
      <c r="F13" s="170" t="s">
        <v>762</v>
      </c>
      <c r="G13" s="131"/>
      <c r="H13" s="170" t="s">
        <v>24</v>
      </c>
      <c r="I13" s="39"/>
    </row>
    <row r="14" ht="17.25" spans="1:9">
      <c r="A14" s="163">
        <v>4</v>
      </c>
      <c r="B14" s="163"/>
      <c r="C14" s="163"/>
      <c r="D14" s="170" t="s">
        <v>438</v>
      </c>
      <c r="E14" s="170"/>
      <c r="F14" s="170" t="s">
        <v>29</v>
      </c>
      <c r="G14" s="163"/>
      <c r="H14" s="170" t="s">
        <v>24</v>
      </c>
      <c r="I14" s="163"/>
    </row>
    <row r="15" ht="17.25" spans="1:9">
      <c r="A15" s="163">
        <v>5</v>
      </c>
      <c r="B15" s="163"/>
      <c r="C15" s="163"/>
      <c r="D15" s="170" t="s">
        <v>506</v>
      </c>
      <c r="E15" s="170"/>
      <c r="F15" s="170" t="s">
        <v>508</v>
      </c>
      <c r="G15" s="163"/>
      <c r="H15" s="170" t="s">
        <v>411</v>
      </c>
      <c r="I15" s="163"/>
    </row>
    <row r="16" ht="17.25" spans="1:9">
      <c r="A16" s="163">
        <v>6</v>
      </c>
      <c r="B16" s="163"/>
      <c r="C16" s="163"/>
      <c r="D16" s="170" t="s">
        <v>763</v>
      </c>
      <c r="E16" s="170"/>
      <c r="F16" s="170" t="s">
        <v>764</v>
      </c>
      <c r="G16" s="163"/>
      <c r="H16" s="170" t="s">
        <v>53</v>
      </c>
      <c r="I16" s="163"/>
    </row>
    <row r="17" ht="17.25" spans="1:9">
      <c r="A17" s="163">
        <v>7</v>
      </c>
      <c r="B17" s="163"/>
      <c r="C17" s="163"/>
      <c r="D17" s="170" t="s">
        <v>765</v>
      </c>
      <c r="E17" s="170"/>
      <c r="F17" s="170" t="s">
        <v>766</v>
      </c>
      <c r="G17" s="163"/>
      <c r="H17" s="170" t="s">
        <v>53</v>
      </c>
      <c r="I17" s="163"/>
    </row>
    <row r="18" ht="17.25" spans="1:9">
      <c r="A18" s="163">
        <v>8</v>
      </c>
      <c r="B18" s="163"/>
      <c r="C18" s="163"/>
      <c r="D18" s="170" t="s">
        <v>495</v>
      </c>
      <c r="E18" s="170"/>
      <c r="F18" s="170" t="s">
        <v>497</v>
      </c>
      <c r="G18" s="163"/>
      <c r="H18" s="170" t="s">
        <v>27</v>
      </c>
      <c r="I18" s="163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4" workbookViewId="0">
      <selection activeCell="E10" sqref="E10"/>
    </sheetView>
  </sheetViews>
  <sheetFormatPr defaultColWidth="9" defaultRowHeight="13.5"/>
  <cols>
    <col min="1" max="2" width="4.25" customWidth="1"/>
    <col min="3" max="3" width="5.125" customWidth="1"/>
    <col min="4" max="4" width="12.75" customWidth="1"/>
    <col min="5" max="5" width="19.75" customWidth="1"/>
    <col min="6" max="6" width="37.75" customWidth="1"/>
    <col min="7" max="7" width="45.125" customWidth="1"/>
    <col min="8" max="8" width="17.375" customWidth="1"/>
  </cols>
  <sheetData>
    <row r="1" ht="14.25" spans="1:9">
      <c r="A1" s="157" t="s">
        <v>0</v>
      </c>
      <c r="B1" s="158" t="s">
        <v>767</v>
      </c>
      <c r="C1" s="159"/>
      <c r="D1" s="159"/>
      <c r="E1" s="159"/>
      <c r="F1" s="159"/>
      <c r="G1" s="159"/>
      <c r="H1" s="159"/>
      <c r="I1" s="171"/>
    </row>
    <row r="2" ht="14.25" spans="1:9">
      <c r="A2" s="160"/>
      <c r="B2" s="161"/>
      <c r="C2" s="162"/>
      <c r="D2" s="162"/>
      <c r="E2" s="162"/>
      <c r="F2" s="162"/>
      <c r="G2" s="162"/>
      <c r="H2" s="162"/>
      <c r="I2" s="172"/>
    </row>
    <row r="3" ht="17.25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ht="17.25" spans="1:9">
      <c r="A4" s="163">
        <v>1</v>
      </c>
      <c r="B4" s="164" t="s">
        <v>3</v>
      </c>
      <c r="C4" s="165"/>
      <c r="D4" s="166"/>
      <c r="E4" s="51"/>
      <c r="F4" s="164" t="s">
        <v>768</v>
      </c>
      <c r="G4" s="165"/>
      <c r="H4" s="165"/>
      <c r="I4" s="166"/>
    </row>
    <row r="5" ht="17.25" spans="1:9">
      <c r="A5" s="163">
        <v>2</v>
      </c>
      <c r="B5" s="164" t="s">
        <v>5</v>
      </c>
      <c r="C5" s="165"/>
      <c r="D5" s="166"/>
      <c r="E5" s="51"/>
      <c r="F5" s="50" t="s">
        <v>767</v>
      </c>
      <c r="G5" s="50"/>
      <c r="H5" s="50"/>
      <c r="I5" s="50"/>
    </row>
    <row r="6" ht="17.25" spans="1:9">
      <c r="A6" s="163">
        <v>3</v>
      </c>
      <c r="B6" s="164" t="s">
        <v>6</v>
      </c>
      <c r="C6" s="165"/>
      <c r="D6" s="166"/>
      <c r="E6" s="51"/>
      <c r="F6" s="51"/>
      <c r="G6" s="51"/>
      <c r="H6" s="51"/>
      <c r="I6" s="51"/>
    </row>
    <row r="7" ht="17.25" spans="1:9">
      <c r="A7" s="163">
        <v>4</v>
      </c>
      <c r="B7" s="164" t="s">
        <v>8</v>
      </c>
      <c r="C7" s="165"/>
      <c r="D7" s="166"/>
      <c r="E7" s="51"/>
      <c r="F7" s="50" t="s">
        <v>759</v>
      </c>
      <c r="G7" s="50"/>
      <c r="H7" s="50"/>
      <c r="I7" s="50"/>
    </row>
    <row r="8" ht="17.25" spans="1:9">
      <c r="A8" s="163">
        <v>5</v>
      </c>
      <c r="B8" s="164" t="s">
        <v>10</v>
      </c>
      <c r="C8" s="165"/>
      <c r="D8" s="166"/>
      <c r="E8" s="51"/>
      <c r="F8" s="51"/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17.25" spans="1:9">
      <c r="A10" s="167"/>
      <c r="B10" s="167"/>
      <c r="C10" s="167" t="s">
        <v>13</v>
      </c>
      <c r="D10" s="167" t="s">
        <v>15</v>
      </c>
      <c r="E10" s="168" t="s">
        <v>760</v>
      </c>
      <c r="F10" s="168" t="s">
        <v>17</v>
      </c>
      <c r="G10" s="167" t="s">
        <v>18</v>
      </c>
      <c r="H10" s="167" t="s">
        <v>19</v>
      </c>
      <c r="I10" s="167" t="s">
        <v>20</v>
      </c>
    </row>
    <row r="11" ht="17.25" spans="1:9">
      <c r="A11" s="163">
        <v>1</v>
      </c>
      <c r="B11" s="163"/>
      <c r="C11" s="169" t="s">
        <v>21</v>
      </c>
      <c r="D11" s="170" t="s">
        <v>22</v>
      </c>
      <c r="E11" s="170"/>
      <c r="F11" s="170" t="s">
        <v>22</v>
      </c>
      <c r="G11" s="131" t="s">
        <v>23</v>
      </c>
      <c r="H11" s="170" t="s">
        <v>30</v>
      </c>
      <c r="I11" s="39"/>
    </row>
    <row r="12" ht="17.25" spans="1:9">
      <c r="A12" s="163">
        <v>2</v>
      </c>
      <c r="B12" s="163"/>
      <c r="C12" s="169" t="s">
        <v>21</v>
      </c>
      <c r="D12" s="170" t="s">
        <v>436</v>
      </c>
      <c r="E12" s="170"/>
      <c r="F12" s="170" t="s">
        <v>162</v>
      </c>
      <c r="G12" s="131"/>
      <c r="H12" s="170" t="s">
        <v>24</v>
      </c>
      <c r="I12" s="39"/>
    </row>
    <row r="13" ht="17.25" spans="1:9">
      <c r="A13" s="163">
        <v>3</v>
      </c>
      <c r="B13" s="163"/>
      <c r="C13" s="169"/>
      <c r="D13" s="170" t="s">
        <v>28</v>
      </c>
      <c r="E13" s="170"/>
      <c r="F13" s="170" t="s">
        <v>29</v>
      </c>
      <c r="G13" s="131"/>
      <c r="H13" s="170" t="s">
        <v>24</v>
      </c>
      <c r="I13" s="39"/>
    </row>
    <row r="14" ht="17.25" spans="1:9">
      <c r="A14" s="163">
        <v>4</v>
      </c>
      <c r="B14" s="163"/>
      <c r="C14" s="163"/>
      <c r="D14" s="170" t="s">
        <v>769</v>
      </c>
      <c r="E14" s="170"/>
      <c r="F14" s="170" t="s">
        <v>770</v>
      </c>
      <c r="G14" s="163"/>
      <c r="H14" s="170" t="s">
        <v>24</v>
      </c>
      <c r="I14" s="163"/>
    </row>
    <row r="15" ht="17.25" spans="1:9">
      <c r="A15" s="163">
        <v>5</v>
      </c>
      <c r="B15" s="163"/>
      <c r="C15" s="163"/>
      <c r="D15" s="170" t="s">
        <v>771</v>
      </c>
      <c r="E15" s="170"/>
      <c r="F15" s="170" t="s">
        <v>772</v>
      </c>
      <c r="G15" s="163"/>
      <c r="H15" s="170" t="s">
        <v>27</v>
      </c>
      <c r="I15" s="163"/>
    </row>
    <row r="16" ht="17.25" spans="1:9">
      <c r="A16" s="163">
        <v>6</v>
      </c>
      <c r="B16" s="163"/>
      <c r="C16" s="163"/>
      <c r="D16" s="170" t="s">
        <v>773</v>
      </c>
      <c r="E16" s="170"/>
      <c r="F16" s="170" t="s">
        <v>398</v>
      </c>
      <c r="G16" s="163"/>
      <c r="H16" s="170" t="s">
        <v>411</v>
      </c>
      <c r="I16" s="163"/>
    </row>
    <row r="17" ht="17.25" spans="1:9">
      <c r="A17" s="163">
        <v>7</v>
      </c>
      <c r="B17" s="163"/>
      <c r="C17" s="163"/>
      <c r="D17" s="170" t="s">
        <v>774</v>
      </c>
      <c r="E17" s="170"/>
      <c r="F17" s="170" t="s">
        <v>402</v>
      </c>
      <c r="G17" s="163"/>
      <c r="H17" s="170" t="s">
        <v>411</v>
      </c>
      <c r="I17" s="163"/>
    </row>
    <row r="18" ht="17.25" spans="1:9">
      <c r="A18" s="163">
        <v>8</v>
      </c>
      <c r="B18" s="163"/>
      <c r="C18" s="163"/>
      <c r="D18" s="170" t="s">
        <v>775</v>
      </c>
      <c r="E18" s="170"/>
      <c r="F18" s="170" t="s">
        <v>776</v>
      </c>
      <c r="G18" s="163"/>
      <c r="H18" s="170" t="s">
        <v>27</v>
      </c>
      <c r="I18" s="163"/>
    </row>
    <row r="19" ht="17.25" spans="1:9">
      <c r="A19" s="163">
        <v>9</v>
      </c>
      <c r="B19" s="170"/>
      <c r="C19" s="170"/>
      <c r="D19" s="170" t="s">
        <v>777</v>
      </c>
      <c r="E19" s="170"/>
      <c r="F19" s="170" t="s">
        <v>778</v>
      </c>
      <c r="G19" s="170"/>
      <c r="H19" s="170" t="s">
        <v>24</v>
      </c>
      <c r="I19" s="170"/>
    </row>
    <row r="20" ht="17.25" spans="1:9">
      <c r="A20" s="163">
        <v>10</v>
      </c>
      <c r="B20" s="170"/>
      <c r="C20" s="170"/>
      <c r="D20" s="170" t="s">
        <v>779</v>
      </c>
      <c r="E20" s="170"/>
      <c r="F20" s="170" t="s">
        <v>780</v>
      </c>
      <c r="G20" s="170"/>
      <c r="H20" s="170" t="s">
        <v>234</v>
      </c>
      <c r="I20" s="170"/>
    </row>
    <row r="21" ht="17.25" spans="1:9">
      <c r="A21" s="163">
        <v>11</v>
      </c>
      <c r="B21" s="170"/>
      <c r="C21" s="170"/>
      <c r="D21" s="170" t="s">
        <v>781</v>
      </c>
      <c r="E21" s="170"/>
      <c r="F21" s="170" t="s">
        <v>782</v>
      </c>
      <c r="G21" s="170"/>
      <c r="H21" s="170" t="s">
        <v>411</v>
      </c>
      <c r="I21" s="170"/>
    </row>
    <row r="22" ht="17.25" spans="1:9">
      <c r="A22" s="163">
        <v>12</v>
      </c>
      <c r="B22" s="170"/>
      <c r="C22" s="170"/>
      <c r="D22" s="170" t="s">
        <v>783</v>
      </c>
      <c r="E22" s="170"/>
      <c r="F22" s="170" t="s">
        <v>766</v>
      </c>
      <c r="G22" s="170"/>
      <c r="H22" s="170" t="s">
        <v>219</v>
      </c>
      <c r="I22" s="17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6"/>
  <sheetViews>
    <sheetView zoomScale="55" zoomScaleNormal="55" topLeftCell="A90" workbookViewId="0">
      <selection activeCell="D103" sqref="D103:D106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0.1666666666667" style="37" customWidth="1"/>
    <col min="9" max="9" width="42.3333333333333" style="37" customWidth="1"/>
    <col min="10" max="10" width="28.65" style="37" customWidth="1"/>
    <col min="11" max="16384" width="10.8333333333333" style="37"/>
  </cols>
  <sheetData>
    <row r="1" customHeight="1" spans="1:9">
      <c r="A1" s="98" t="s">
        <v>0</v>
      </c>
      <c r="B1" s="28" t="s">
        <v>784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785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786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787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426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 t="s">
        <v>11</v>
      </c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>ROW(A11)-10</f>
        <v>1</v>
      </c>
      <c r="B11" s="106" t="s">
        <v>21</v>
      </c>
      <c r="C11" s="102"/>
      <c r="D11" s="102" t="s">
        <v>22</v>
      </c>
      <c r="E11" s="105" t="s">
        <v>22</v>
      </c>
      <c r="F11" s="30" t="s">
        <v>22</v>
      </c>
      <c r="G11" s="51" t="s">
        <v>23</v>
      </c>
      <c r="H11" s="51" t="s">
        <v>24</v>
      </c>
      <c r="I11" s="39"/>
    </row>
    <row r="12" customHeight="1" spans="1:11">
      <c r="A12" s="102">
        <f t="shared" ref="A12:A66" si="0">ROW(A12)-10</f>
        <v>2</v>
      </c>
      <c r="B12" s="107" t="s">
        <v>21</v>
      </c>
      <c r="C12" s="151"/>
      <c r="D12" s="151" t="s">
        <v>427</v>
      </c>
      <c r="E12" s="149" t="s">
        <v>428</v>
      </c>
      <c r="F12" s="109" t="s">
        <v>429</v>
      </c>
      <c r="G12" s="39" t="s">
        <v>430</v>
      </c>
      <c r="H12" s="39" t="s">
        <v>24</v>
      </c>
      <c r="I12" s="39" t="s">
        <v>431</v>
      </c>
      <c r="J12" s="37" t="s">
        <v>212</v>
      </c>
      <c r="K12" s="37" t="s">
        <v>22</v>
      </c>
    </row>
    <row r="13" customHeight="1" spans="1:11">
      <c r="A13" s="102">
        <f t="shared" si="0"/>
        <v>3</v>
      </c>
      <c r="B13" s="107" t="s">
        <v>21</v>
      </c>
      <c r="C13" s="148"/>
      <c r="D13" s="148" t="s">
        <v>432</v>
      </c>
      <c r="E13" s="149" t="s">
        <v>433</v>
      </c>
      <c r="F13" s="109" t="s">
        <v>267</v>
      </c>
      <c r="G13" s="39" t="s">
        <v>788</v>
      </c>
      <c r="H13" s="51" t="s">
        <v>24</v>
      </c>
      <c r="I13" s="39" t="s">
        <v>435</v>
      </c>
      <c r="J13" s="37" t="s">
        <v>212</v>
      </c>
      <c r="K13" s="37" t="s">
        <v>22</v>
      </c>
    </row>
    <row r="14" customHeight="1" spans="1:9">
      <c r="A14" s="102">
        <f t="shared" si="0"/>
        <v>4</v>
      </c>
      <c r="B14" s="107" t="s">
        <v>21</v>
      </c>
      <c r="C14" s="148"/>
      <c r="D14" s="148" t="s">
        <v>436</v>
      </c>
      <c r="E14" s="149" t="s">
        <v>437</v>
      </c>
      <c r="F14" s="109" t="s">
        <v>162</v>
      </c>
      <c r="G14" s="51" t="s">
        <v>299</v>
      </c>
      <c r="H14" s="51" t="s">
        <v>24</v>
      </c>
      <c r="I14" s="39"/>
    </row>
    <row r="15" customHeight="1" spans="1:9">
      <c r="A15" s="102">
        <f t="shared" si="0"/>
        <v>5</v>
      </c>
      <c r="B15" s="107" t="s">
        <v>21</v>
      </c>
      <c r="C15" s="148"/>
      <c r="D15" s="148" t="s">
        <v>438</v>
      </c>
      <c r="E15" s="149" t="s">
        <v>439</v>
      </c>
      <c r="F15" s="109" t="s">
        <v>29</v>
      </c>
      <c r="G15" s="51"/>
      <c r="H15" s="51" t="s">
        <v>24</v>
      </c>
      <c r="I15" s="39"/>
    </row>
    <row r="16" customHeight="1" spans="1:12">
      <c r="A16" s="102">
        <f t="shared" si="0"/>
        <v>6</v>
      </c>
      <c r="B16" s="107" t="s">
        <v>21</v>
      </c>
      <c r="C16" s="148"/>
      <c r="D16" s="148" t="s">
        <v>440</v>
      </c>
      <c r="E16" s="108" t="s">
        <v>441</v>
      </c>
      <c r="F16" s="109" t="s">
        <v>442</v>
      </c>
      <c r="G16" s="39" t="s">
        <v>443</v>
      </c>
      <c r="H16" s="39" t="s">
        <v>27</v>
      </c>
      <c r="I16" s="39" t="s">
        <v>444</v>
      </c>
      <c r="J16" s="37" t="s">
        <v>4</v>
      </c>
      <c r="K16" s="37" t="s">
        <v>26</v>
      </c>
      <c r="L16" s="37" t="s">
        <v>442</v>
      </c>
    </row>
    <row r="17" ht="52.5" spans="1:12">
      <c r="A17" s="102">
        <f t="shared" ref="A17:A19" si="1">ROW(A17)-10</f>
        <v>7</v>
      </c>
      <c r="B17" s="107" t="s">
        <v>21</v>
      </c>
      <c r="C17" s="148"/>
      <c r="D17" s="148" t="s">
        <v>445</v>
      </c>
      <c r="E17" s="108" t="s">
        <v>445</v>
      </c>
      <c r="F17" s="109" t="s">
        <v>447</v>
      </c>
      <c r="G17" s="39" t="s">
        <v>448</v>
      </c>
      <c r="H17" s="51" t="s">
        <v>27</v>
      </c>
      <c r="I17" s="39" t="s">
        <v>449</v>
      </c>
      <c r="J17" s="37" t="s">
        <v>4</v>
      </c>
      <c r="K17" s="37" t="s">
        <v>26</v>
      </c>
      <c r="L17" s="37" t="s">
        <v>447</v>
      </c>
    </row>
    <row r="18" ht="48" spans="1:12">
      <c r="A18" s="102">
        <f t="shared" si="1"/>
        <v>8</v>
      </c>
      <c r="B18" s="107" t="s">
        <v>21</v>
      </c>
      <c r="C18" s="148"/>
      <c r="D18" s="148" t="s">
        <v>450</v>
      </c>
      <c r="E18" s="108" t="s">
        <v>789</v>
      </c>
      <c r="F18" s="109" t="s">
        <v>452</v>
      </c>
      <c r="G18" s="152" t="s">
        <v>453</v>
      </c>
      <c r="H18" s="153" t="s">
        <v>27</v>
      </c>
      <c r="I18" s="153" t="s">
        <v>454</v>
      </c>
      <c r="J18" s="37" t="s">
        <v>4</v>
      </c>
      <c r="K18" s="37" t="s">
        <v>26</v>
      </c>
      <c r="L18" s="37" t="s">
        <v>452</v>
      </c>
    </row>
    <row r="19" ht="36" spans="1:12">
      <c r="A19" s="102">
        <f t="shared" si="1"/>
        <v>9</v>
      </c>
      <c r="B19" s="107" t="s">
        <v>21</v>
      </c>
      <c r="C19" s="148"/>
      <c r="D19" s="148" t="s">
        <v>455</v>
      </c>
      <c r="E19" s="108" t="s">
        <v>790</v>
      </c>
      <c r="F19" s="109" t="s">
        <v>457</v>
      </c>
      <c r="G19" s="39" t="s">
        <v>458</v>
      </c>
      <c r="H19" s="51" t="s">
        <v>27</v>
      </c>
      <c r="I19" s="39" t="s">
        <v>454</v>
      </c>
      <c r="J19" s="37" t="s">
        <v>4</v>
      </c>
      <c r="K19" s="37" t="s">
        <v>26</v>
      </c>
      <c r="L19" s="37" t="s">
        <v>457</v>
      </c>
    </row>
    <row r="20" customHeight="1" spans="1:9">
      <c r="A20" s="102">
        <f t="shared" si="0"/>
        <v>10</v>
      </c>
      <c r="B20" s="107"/>
      <c r="C20" s="148"/>
      <c r="D20" s="148" t="s">
        <v>460</v>
      </c>
      <c r="E20" s="149" t="s">
        <v>791</v>
      </c>
      <c r="F20" s="109" t="s">
        <v>462</v>
      </c>
      <c r="G20" s="51"/>
      <c r="H20" s="51" t="s">
        <v>24</v>
      </c>
      <c r="I20" s="39"/>
    </row>
    <row r="21" customHeight="1" spans="1:12">
      <c r="A21" s="102">
        <f t="shared" si="0"/>
        <v>11</v>
      </c>
      <c r="B21" s="107" t="s">
        <v>21</v>
      </c>
      <c r="C21" s="148"/>
      <c r="D21" s="148" t="s">
        <v>463</v>
      </c>
      <c r="E21" s="149" t="s">
        <v>792</v>
      </c>
      <c r="F21" s="109" t="s">
        <v>465</v>
      </c>
      <c r="G21" s="154"/>
      <c r="H21" s="39" t="s">
        <v>27</v>
      </c>
      <c r="I21" s="39" t="s">
        <v>466</v>
      </c>
      <c r="J21" s="37" t="s">
        <v>4</v>
      </c>
      <c r="K21" s="37" t="s">
        <v>26</v>
      </c>
      <c r="L21" s="37" t="s">
        <v>465</v>
      </c>
    </row>
    <row r="22" customHeight="1" spans="1:12">
      <c r="A22" s="102">
        <f t="shared" si="0"/>
        <v>12</v>
      </c>
      <c r="B22" s="107"/>
      <c r="C22" s="148"/>
      <c r="D22" s="148" t="s">
        <v>467</v>
      </c>
      <c r="E22" s="108" t="s">
        <v>793</v>
      </c>
      <c r="F22" s="109" t="s">
        <v>469</v>
      </c>
      <c r="G22" s="39" t="s">
        <v>470</v>
      </c>
      <c r="H22" s="39" t="s">
        <v>27</v>
      </c>
      <c r="I22" s="39" t="s">
        <v>476</v>
      </c>
      <c r="J22" s="37" t="s">
        <v>4</v>
      </c>
      <c r="K22" s="37" t="s">
        <v>26</v>
      </c>
      <c r="L22" s="37" t="s">
        <v>469</v>
      </c>
    </row>
    <row r="23" customHeight="1" spans="1:12">
      <c r="A23" s="102">
        <f t="shared" si="0"/>
        <v>13</v>
      </c>
      <c r="B23" s="107"/>
      <c r="C23" s="148"/>
      <c r="D23" s="148" t="s">
        <v>472</v>
      </c>
      <c r="E23" s="108" t="s">
        <v>473</v>
      </c>
      <c r="F23" s="109" t="s">
        <v>474</v>
      </c>
      <c r="G23" s="39" t="s">
        <v>475</v>
      </c>
      <c r="H23" s="39" t="s">
        <v>27</v>
      </c>
      <c r="I23" s="39" t="s">
        <v>476</v>
      </c>
      <c r="J23" s="37" t="s">
        <v>4</v>
      </c>
      <c r="K23" s="37" t="s">
        <v>26</v>
      </c>
      <c r="L23" s="37" t="s">
        <v>474</v>
      </c>
    </row>
    <row r="24" customHeight="1" spans="1:9">
      <c r="A24" s="102">
        <f t="shared" si="0"/>
        <v>14</v>
      </c>
      <c r="B24" s="107"/>
      <c r="C24" s="148"/>
      <c r="D24" s="148" t="s">
        <v>477</v>
      </c>
      <c r="E24" s="149" t="s">
        <v>478</v>
      </c>
      <c r="F24" s="109" t="s">
        <v>479</v>
      </c>
      <c r="G24" s="39"/>
      <c r="H24" s="39" t="s">
        <v>53</v>
      </c>
      <c r="I24" s="39"/>
    </row>
    <row r="25" customHeight="1" spans="1:12">
      <c r="A25" s="102">
        <f t="shared" si="0"/>
        <v>15</v>
      </c>
      <c r="B25" s="107"/>
      <c r="C25" s="148"/>
      <c r="D25" s="148" t="s">
        <v>480</v>
      </c>
      <c r="E25" s="108" t="s">
        <v>481</v>
      </c>
      <c r="F25" s="109" t="s">
        <v>482</v>
      </c>
      <c r="G25" s="39" t="s">
        <v>483</v>
      </c>
      <c r="H25" s="39" t="s">
        <v>53</v>
      </c>
      <c r="I25" s="39"/>
      <c r="J25" s="37" t="s">
        <v>4</v>
      </c>
      <c r="K25" s="37" t="s">
        <v>26</v>
      </c>
      <c r="L25" s="109" t="s">
        <v>482</v>
      </c>
    </row>
    <row r="26" customHeight="1" spans="1:12">
      <c r="A26" s="102">
        <f t="shared" si="0"/>
        <v>16</v>
      </c>
      <c r="B26" s="107"/>
      <c r="C26" s="148"/>
      <c r="D26" s="148" t="s">
        <v>484</v>
      </c>
      <c r="E26" s="108" t="s">
        <v>485</v>
      </c>
      <c r="F26" s="109" t="s">
        <v>486</v>
      </c>
      <c r="G26" s="39" t="s">
        <v>487</v>
      </c>
      <c r="H26" s="39" t="s">
        <v>53</v>
      </c>
      <c r="I26" s="39"/>
      <c r="J26" s="37" t="s">
        <v>4</v>
      </c>
      <c r="K26" s="37" t="s">
        <v>26</v>
      </c>
      <c r="L26" s="109" t="s">
        <v>486</v>
      </c>
    </row>
    <row r="27" customHeight="1" spans="1:9">
      <c r="A27" s="102">
        <f t="shared" si="0"/>
        <v>17</v>
      </c>
      <c r="B27" s="107"/>
      <c r="C27" s="148"/>
      <c r="D27" s="148" t="s">
        <v>488</v>
      </c>
      <c r="E27" s="149" t="s">
        <v>489</v>
      </c>
      <c r="F27" s="109" t="s">
        <v>490</v>
      </c>
      <c r="G27" s="39"/>
      <c r="H27" s="39" t="s">
        <v>53</v>
      </c>
      <c r="I27" s="39"/>
    </row>
    <row r="28" customHeight="1" spans="1:12">
      <c r="A28" s="102">
        <f t="shared" si="0"/>
        <v>18</v>
      </c>
      <c r="B28" s="107" t="s">
        <v>21</v>
      </c>
      <c r="C28" s="148"/>
      <c r="D28" s="148" t="s">
        <v>491</v>
      </c>
      <c r="E28" s="149" t="s">
        <v>492</v>
      </c>
      <c r="F28" s="109" t="s">
        <v>493</v>
      </c>
      <c r="G28" s="154"/>
      <c r="H28" s="39" t="s">
        <v>27</v>
      </c>
      <c r="I28" s="39" t="s">
        <v>494</v>
      </c>
      <c r="J28" s="37" t="s">
        <v>4</v>
      </c>
      <c r="K28" s="37" t="s">
        <v>26</v>
      </c>
      <c r="L28" s="37" t="s">
        <v>493</v>
      </c>
    </row>
    <row r="29" customHeight="1" spans="1:12">
      <c r="A29" s="102">
        <f t="shared" si="0"/>
        <v>19</v>
      </c>
      <c r="B29" s="107" t="s">
        <v>21</v>
      </c>
      <c r="C29" s="148"/>
      <c r="D29" s="148" t="s">
        <v>495</v>
      </c>
      <c r="E29" s="149" t="s">
        <v>496</v>
      </c>
      <c r="F29" s="109" t="s">
        <v>497</v>
      </c>
      <c r="G29" s="154"/>
      <c r="H29" s="39" t="s">
        <v>27</v>
      </c>
      <c r="I29" s="39" t="s">
        <v>498</v>
      </c>
      <c r="J29" s="37" t="s">
        <v>4</v>
      </c>
      <c r="K29" s="37" t="s">
        <v>26</v>
      </c>
      <c r="L29" s="37" t="s">
        <v>497</v>
      </c>
    </row>
    <row r="30" customHeight="1" spans="1:9">
      <c r="A30" s="102">
        <f t="shared" si="0"/>
        <v>20</v>
      </c>
      <c r="B30" s="107"/>
      <c r="C30" s="148"/>
      <c r="D30" s="148" t="s">
        <v>499</v>
      </c>
      <c r="E30" s="149" t="s">
        <v>500</v>
      </c>
      <c r="F30" s="109" t="s">
        <v>501</v>
      </c>
      <c r="G30" s="39"/>
      <c r="H30" s="39" t="s">
        <v>411</v>
      </c>
      <c r="I30" s="39"/>
    </row>
    <row r="31" customHeight="1" spans="1:9">
      <c r="A31" s="102">
        <f t="shared" si="0"/>
        <v>21</v>
      </c>
      <c r="B31" s="107" t="s">
        <v>21</v>
      </c>
      <c r="C31" s="148"/>
      <c r="D31" s="148" t="s">
        <v>502</v>
      </c>
      <c r="E31" s="149" t="s">
        <v>503</v>
      </c>
      <c r="F31" s="109" t="s">
        <v>504</v>
      </c>
      <c r="G31" s="154" t="s">
        <v>505</v>
      </c>
      <c r="H31" s="39" t="s">
        <v>47</v>
      </c>
      <c r="I31" s="39"/>
    </row>
    <row r="32" customHeight="1" spans="1:9">
      <c r="A32" s="102">
        <f t="shared" si="0"/>
        <v>22</v>
      </c>
      <c r="B32" s="107" t="s">
        <v>21</v>
      </c>
      <c r="C32" s="148"/>
      <c r="D32" s="148" t="s">
        <v>506</v>
      </c>
      <c r="E32" s="149" t="s">
        <v>507</v>
      </c>
      <c r="F32" s="109" t="s">
        <v>508</v>
      </c>
      <c r="G32" s="154" t="s">
        <v>509</v>
      </c>
      <c r="H32" s="39" t="s">
        <v>411</v>
      </c>
      <c r="I32" s="39"/>
    </row>
    <row r="33" customHeight="1" spans="1:9">
      <c r="A33" s="102">
        <f t="shared" si="0"/>
        <v>23</v>
      </c>
      <c r="B33" s="107" t="s">
        <v>21</v>
      </c>
      <c r="C33" s="148"/>
      <c r="D33" s="148" t="s">
        <v>510</v>
      </c>
      <c r="E33" s="149" t="s">
        <v>511</v>
      </c>
      <c r="F33" s="109" t="s">
        <v>512</v>
      </c>
      <c r="G33" s="154" t="s">
        <v>513</v>
      </c>
      <c r="H33" s="39" t="s">
        <v>411</v>
      </c>
      <c r="I33" s="39"/>
    </row>
    <row r="34" customHeight="1" spans="1:9">
      <c r="A34" s="102">
        <f t="shared" si="0"/>
        <v>24</v>
      </c>
      <c r="B34" s="107" t="s">
        <v>21</v>
      </c>
      <c r="C34" s="148"/>
      <c r="D34" s="148" t="s">
        <v>514</v>
      </c>
      <c r="E34" s="108" t="s">
        <v>515</v>
      </c>
      <c r="F34" s="109" t="s">
        <v>516</v>
      </c>
      <c r="G34" s="154" t="s">
        <v>517</v>
      </c>
      <c r="H34" s="39" t="s">
        <v>411</v>
      </c>
      <c r="I34" s="39"/>
    </row>
    <row r="35" customHeight="1" spans="1:9">
      <c r="A35" s="102">
        <f t="shared" si="0"/>
        <v>25</v>
      </c>
      <c r="B35" s="107"/>
      <c r="C35" s="148"/>
      <c r="D35" s="148" t="s">
        <v>518</v>
      </c>
      <c r="E35" s="108" t="s">
        <v>519</v>
      </c>
      <c r="F35" s="109" t="s">
        <v>520</v>
      </c>
      <c r="G35" s="39" t="s">
        <v>521</v>
      </c>
      <c r="H35" s="51" t="s">
        <v>411</v>
      </c>
      <c r="I35" s="39"/>
    </row>
    <row r="36" customHeight="1" spans="1:9">
      <c r="A36" s="102">
        <f t="shared" si="0"/>
        <v>26</v>
      </c>
      <c r="B36" s="107"/>
      <c r="C36" s="148"/>
      <c r="D36" s="148" t="s">
        <v>522</v>
      </c>
      <c r="E36" s="108" t="s">
        <v>523</v>
      </c>
      <c r="F36" s="109" t="s">
        <v>524</v>
      </c>
      <c r="G36" s="39"/>
      <c r="H36" s="39" t="s">
        <v>219</v>
      </c>
      <c r="I36" s="39"/>
    </row>
    <row r="37" customHeight="1" spans="1:9">
      <c r="A37" s="102">
        <f t="shared" si="0"/>
        <v>27</v>
      </c>
      <c r="B37" s="107"/>
      <c r="C37" s="148"/>
      <c r="D37" s="148" t="s">
        <v>525</v>
      </c>
      <c r="E37" s="108" t="s">
        <v>526</v>
      </c>
      <c r="F37" s="109" t="s">
        <v>527</v>
      </c>
      <c r="G37" s="39"/>
      <c r="H37" s="39" t="s">
        <v>219</v>
      </c>
      <c r="I37" s="39"/>
    </row>
    <row r="38" customHeight="1" spans="1:9">
      <c r="A38" s="102">
        <f t="shared" si="0"/>
        <v>28</v>
      </c>
      <c r="B38" s="107"/>
      <c r="C38" s="148"/>
      <c r="D38" s="148" t="s">
        <v>528</v>
      </c>
      <c r="E38" s="108" t="s">
        <v>529</v>
      </c>
      <c r="F38" s="109" t="s">
        <v>530</v>
      </c>
      <c r="G38" s="39"/>
      <c r="H38" s="39" t="s">
        <v>219</v>
      </c>
      <c r="I38" s="39"/>
    </row>
    <row r="39" customHeight="1" spans="1:11">
      <c r="A39" s="102">
        <f t="shared" si="0"/>
        <v>29</v>
      </c>
      <c r="B39" s="107" t="s">
        <v>21</v>
      </c>
      <c r="C39" s="148"/>
      <c r="D39" s="148" t="s">
        <v>531</v>
      </c>
      <c r="E39" s="108" t="s">
        <v>532</v>
      </c>
      <c r="F39" s="109" t="s">
        <v>533</v>
      </c>
      <c r="G39" s="39" t="s">
        <v>534</v>
      </c>
      <c r="H39" s="39" t="s">
        <v>24</v>
      </c>
      <c r="I39" s="39" t="s">
        <v>535</v>
      </c>
      <c r="J39" s="37" t="s">
        <v>794</v>
      </c>
      <c r="K39" s="37" t="s">
        <v>22</v>
      </c>
    </row>
    <row r="40" customHeight="1" spans="1:9">
      <c r="A40" s="102">
        <f t="shared" si="0"/>
        <v>30</v>
      </c>
      <c r="B40" s="107"/>
      <c r="C40" s="148"/>
      <c r="D40" s="148" t="s">
        <v>537</v>
      </c>
      <c r="E40" s="108" t="s">
        <v>538</v>
      </c>
      <c r="F40" s="109" t="s">
        <v>539</v>
      </c>
      <c r="G40" s="39"/>
      <c r="H40" s="39" t="s">
        <v>411</v>
      </c>
      <c r="I40" s="39"/>
    </row>
    <row r="41" customHeight="1" spans="1:11">
      <c r="A41" s="102">
        <f t="shared" si="0"/>
        <v>31</v>
      </c>
      <c r="B41" s="107"/>
      <c r="C41" s="148"/>
      <c r="D41" s="148" t="s">
        <v>540</v>
      </c>
      <c r="E41" s="108" t="s">
        <v>541</v>
      </c>
      <c r="F41" s="109" t="s">
        <v>542</v>
      </c>
      <c r="G41" s="39" t="s">
        <v>543</v>
      </c>
      <c r="H41" s="39" t="s">
        <v>24</v>
      </c>
      <c r="I41" s="39" t="s">
        <v>544</v>
      </c>
      <c r="J41" s="37" t="s">
        <v>794</v>
      </c>
      <c r="K41" s="37" t="s">
        <v>22</v>
      </c>
    </row>
    <row r="42" customHeight="1" spans="1:11">
      <c r="A42" s="102">
        <f t="shared" si="0"/>
        <v>32</v>
      </c>
      <c r="B42" s="107"/>
      <c r="C42" s="148"/>
      <c r="D42" s="148" t="s">
        <v>545</v>
      </c>
      <c r="E42" s="108" t="s">
        <v>546</v>
      </c>
      <c r="F42" s="109" t="s">
        <v>547</v>
      </c>
      <c r="G42" s="39" t="s">
        <v>548</v>
      </c>
      <c r="H42" s="39" t="s">
        <v>24</v>
      </c>
      <c r="I42" s="39" t="s">
        <v>549</v>
      </c>
      <c r="J42" s="37" t="s">
        <v>794</v>
      </c>
      <c r="K42" s="37" t="s">
        <v>22</v>
      </c>
    </row>
    <row r="43" customHeight="1" spans="1:11">
      <c r="A43" s="102">
        <f t="shared" si="0"/>
        <v>33</v>
      </c>
      <c r="B43" s="107"/>
      <c r="C43" s="148"/>
      <c r="D43" s="148" t="s">
        <v>550</v>
      </c>
      <c r="E43" s="108" t="s">
        <v>551</v>
      </c>
      <c r="F43" s="109" t="s">
        <v>552</v>
      </c>
      <c r="G43" s="39" t="s">
        <v>553</v>
      </c>
      <c r="H43" s="39" t="s">
        <v>24</v>
      </c>
      <c r="I43" s="39" t="s">
        <v>554</v>
      </c>
      <c r="J43" s="37" t="s">
        <v>794</v>
      </c>
      <c r="K43" s="37" t="s">
        <v>22</v>
      </c>
    </row>
    <row r="44" customHeight="1" spans="1:11">
      <c r="A44" s="102">
        <f t="shared" si="0"/>
        <v>34</v>
      </c>
      <c r="B44" s="107"/>
      <c r="C44" s="148"/>
      <c r="D44" s="148" t="s">
        <v>555</v>
      </c>
      <c r="E44" s="108" t="s">
        <v>556</v>
      </c>
      <c r="F44" s="109" t="s">
        <v>557</v>
      </c>
      <c r="G44" s="39" t="s">
        <v>558</v>
      </c>
      <c r="H44" s="39" t="s">
        <v>24</v>
      </c>
      <c r="I44" s="39"/>
      <c r="J44" s="37" t="s">
        <v>349</v>
      </c>
      <c r="K44" s="37" t="s">
        <v>22</v>
      </c>
    </row>
    <row r="45" customHeight="1" spans="1:11">
      <c r="A45" s="102">
        <f t="shared" si="0"/>
        <v>35</v>
      </c>
      <c r="B45" s="107" t="s">
        <v>21</v>
      </c>
      <c r="C45" s="148"/>
      <c r="D45" s="148" t="s">
        <v>559</v>
      </c>
      <c r="E45" s="108" t="s">
        <v>560</v>
      </c>
      <c r="F45" s="109" t="s">
        <v>561</v>
      </c>
      <c r="G45" s="39" t="s">
        <v>562</v>
      </c>
      <c r="H45" s="39" t="s">
        <v>24</v>
      </c>
      <c r="I45" s="39" t="s">
        <v>795</v>
      </c>
      <c r="J45" s="37" t="s">
        <v>584</v>
      </c>
      <c r="K45" s="37" t="s">
        <v>22</v>
      </c>
    </row>
    <row r="46" customHeight="1" spans="1:11">
      <c r="A46" s="102">
        <f t="shared" si="0"/>
        <v>36</v>
      </c>
      <c r="B46" s="107"/>
      <c r="C46" s="148"/>
      <c r="D46" s="148" t="s">
        <v>565</v>
      </c>
      <c r="E46" s="108" t="s">
        <v>566</v>
      </c>
      <c r="F46" s="109" t="s">
        <v>567</v>
      </c>
      <c r="G46" s="51" t="s">
        <v>568</v>
      </c>
      <c r="H46" s="51" t="s">
        <v>24</v>
      </c>
      <c r="I46" s="39" t="s">
        <v>796</v>
      </c>
      <c r="J46" s="37" t="s">
        <v>797</v>
      </c>
      <c r="K46" s="37" t="s">
        <v>22</v>
      </c>
    </row>
    <row r="47" customHeight="1" spans="1:9">
      <c r="A47" s="102">
        <f t="shared" si="0"/>
        <v>37</v>
      </c>
      <c r="B47" s="107"/>
      <c r="C47" s="148"/>
      <c r="D47" s="148" t="s">
        <v>571</v>
      </c>
      <c r="E47" s="108" t="s">
        <v>572</v>
      </c>
      <c r="F47" s="109" t="s">
        <v>573</v>
      </c>
      <c r="G47" s="51"/>
      <c r="H47" s="51" t="s">
        <v>219</v>
      </c>
      <c r="I47" s="39"/>
    </row>
    <row r="48" customHeight="1" spans="1:9">
      <c r="A48" s="102">
        <f t="shared" si="0"/>
        <v>38</v>
      </c>
      <c r="B48" s="107"/>
      <c r="C48" s="148"/>
      <c r="D48" s="148" t="s">
        <v>574</v>
      </c>
      <c r="E48" s="108" t="s">
        <v>575</v>
      </c>
      <c r="F48" s="109" t="s">
        <v>576</v>
      </c>
      <c r="G48" s="51"/>
      <c r="H48" s="51" t="s">
        <v>219</v>
      </c>
      <c r="I48" s="39"/>
    </row>
    <row r="49" customHeight="1" spans="1:9">
      <c r="A49" s="102">
        <f t="shared" si="0"/>
        <v>39</v>
      </c>
      <c r="B49" s="107"/>
      <c r="C49" s="148"/>
      <c r="D49" s="148" t="s">
        <v>577</v>
      </c>
      <c r="E49" s="108" t="s">
        <v>578</v>
      </c>
      <c r="F49" s="109" t="s">
        <v>579</v>
      </c>
      <c r="G49" s="51"/>
      <c r="H49" s="51" t="s">
        <v>411</v>
      </c>
      <c r="I49" s="39"/>
    </row>
    <row r="50" customHeight="1" spans="1:11">
      <c r="A50" s="102">
        <f t="shared" si="0"/>
        <v>40</v>
      </c>
      <c r="B50" s="107"/>
      <c r="C50" s="148"/>
      <c r="D50" s="148" t="s">
        <v>580</v>
      </c>
      <c r="E50" s="108" t="s">
        <v>581</v>
      </c>
      <c r="F50" s="109" t="s">
        <v>582</v>
      </c>
      <c r="G50" s="51" t="s">
        <v>583</v>
      </c>
      <c r="H50" s="51" t="s">
        <v>24</v>
      </c>
      <c r="I50" s="39" t="s">
        <v>795</v>
      </c>
      <c r="J50" s="37" t="s">
        <v>584</v>
      </c>
      <c r="K50" s="37" t="s">
        <v>22</v>
      </c>
    </row>
    <row r="51" customHeight="1" spans="1:11">
      <c r="A51" s="102">
        <f t="shared" si="0"/>
        <v>41</v>
      </c>
      <c r="B51" s="107"/>
      <c r="C51" s="148"/>
      <c r="D51" s="148" t="s">
        <v>585</v>
      </c>
      <c r="E51" s="108" t="s">
        <v>586</v>
      </c>
      <c r="F51" s="109" t="s">
        <v>587</v>
      </c>
      <c r="G51" s="51" t="s">
        <v>588</v>
      </c>
      <c r="H51" s="51" t="s">
        <v>24</v>
      </c>
      <c r="I51" s="39" t="s">
        <v>796</v>
      </c>
      <c r="J51" s="37" t="s">
        <v>797</v>
      </c>
      <c r="K51" s="37" t="s">
        <v>22</v>
      </c>
    </row>
    <row r="52" customHeight="1" spans="1:9">
      <c r="A52" s="102">
        <f t="shared" si="0"/>
        <v>42</v>
      </c>
      <c r="B52" s="107"/>
      <c r="C52" s="148"/>
      <c r="D52" s="148" t="s">
        <v>589</v>
      </c>
      <c r="E52" s="108" t="s">
        <v>590</v>
      </c>
      <c r="F52" s="109" t="s">
        <v>591</v>
      </c>
      <c r="G52" s="51"/>
      <c r="H52" s="51" t="s">
        <v>219</v>
      </c>
      <c r="I52" s="39"/>
    </row>
    <row r="53" customHeight="1" spans="1:9">
      <c r="A53" s="102">
        <f t="shared" si="0"/>
        <v>43</v>
      </c>
      <c r="B53" s="107"/>
      <c r="C53" s="148"/>
      <c r="D53" s="148" t="s">
        <v>592</v>
      </c>
      <c r="E53" s="108" t="s">
        <v>593</v>
      </c>
      <c r="F53" s="109" t="s">
        <v>594</v>
      </c>
      <c r="G53" s="51"/>
      <c r="H53" s="51" t="s">
        <v>219</v>
      </c>
      <c r="I53" s="39"/>
    </row>
    <row r="54" customHeight="1" spans="1:9">
      <c r="A54" s="102">
        <f t="shared" si="0"/>
        <v>44</v>
      </c>
      <c r="B54" s="107"/>
      <c r="C54" s="148"/>
      <c r="D54" s="148" t="s">
        <v>595</v>
      </c>
      <c r="E54" s="108" t="s">
        <v>596</v>
      </c>
      <c r="F54" s="109" t="s">
        <v>597</v>
      </c>
      <c r="G54" s="51"/>
      <c r="H54" s="51" t="s">
        <v>411</v>
      </c>
      <c r="I54" s="39"/>
    </row>
    <row r="55" customHeight="1" spans="1:11">
      <c r="A55" s="102">
        <f t="shared" si="0"/>
        <v>45</v>
      </c>
      <c r="B55" s="107" t="s">
        <v>21</v>
      </c>
      <c r="C55" s="148"/>
      <c r="D55" s="148" t="s">
        <v>598</v>
      </c>
      <c r="E55" s="108" t="s">
        <v>599</v>
      </c>
      <c r="F55" s="109" t="s">
        <v>600</v>
      </c>
      <c r="G55" s="39" t="s">
        <v>601</v>
      </c>
      <c r="H55" s="39" t="s">
        <v>27</v>
      </c>
      <c r="I55" s="39" t="s">
        <v>798</v>
      </c>
      <c r="J55" s="37" t="s">
        <v>799</v>
      </c>
      <c r="K55" s="37" t="s">
        <v>22</v>
      </c>
    </row>
    <row r="56" customHeight="1" spans="1:9">
      <c r="A56" s="102">
        <f t="shared" si="0"/>
        <v>46</v>
      </c>
      <c r="B56" s="107"/>
      <c r="C56" s="148"/>
      <c r="D56" s="148" t="s">
        <v>604</v>
      </c>
      <c r="E56" s="108" t="s">
        <v>605</v>
      </c>
      <c r="F56" s="109" t="s">
        <v>606</v>
      </c>
      <c r="G56" s="51"/>
      <c r="H56" s="51" t="s">
        <v>411</v>
      </c>
      <c r="I56" s="39"/>
    </row>
    <row r="57" customHeight="1" spans="1:9">
      <c r="A57" s="102">
        <f t="shared" si="0"/>
        <v>47</v>
      </c>
      <c r="B57" s="107"/>
      <c r="C57" s="148"/>
      <c r="D57" s="148" t="s">
        <v>607</v>
      </c>
      <c r="E57" s="108" t="s">
        <v>608</v>
      </c>
      <c r="F57" s="109" t="s">
        <v>609</v>
      </c>
      <c r="G57" s="51"/>
      <c r="H57" s="51" t="s">
        <v>411</v>
      </c>
      <c r="I57" s="39"/>
    </row>
    <row r="58" customHeight="1" spans="1:12">
      <c r="A58" s="102">
        <f t="shared" si="0"/>
        <v>48</v>
      </c>
      <c r="B58" s="107"/>
      <c r="C58" s="148"/>
      <c r="D58" s="148" t="s">
        <v>610</v>
      </c>
      <c r="E58" s="108" t="s">
        <v>611</v>
      </c>
      <c r="F58" s="109" t="s">
        <v>612</v>
      </c>
      <c r="G58" s="39" t="s">
        <v>613</v>
      </c>
      <c r="H58" s="39" t="s">
        <v>27</v>
      </c>
      <c r="I58" s="39" t="s">
        <v>614</v>
      </c>
      <c r="J58" s="37" t="s">
        <v>4</v>
      </c>
      <c r="K58" s="37" t="s">
        <v>26</v>
      </c>
      <c r="L58" s="37" t="s">
        <v>612</v>
      </c>
    </row>
    <row r="59" customHeight="1" spans="1:9">
      <c r="A59" s="102">
        <f t="shared" si="0"/>
        <v>49</v>
      </c>
      <c r="B59" s="107"/>
      <c r="C59" s="148"/>
      <c r="D59" s="148" t="s">
        <v>615</v>
      </c>
      <c r="E59" s="108" t="s">
        <v>616</v>
      </c>
      <c r="F59" s="109" t="s">
        <v>617</v>
      </c>
      <c r="G59" s="51"/>
      <c r="H59" s="51" t="s">
        <v>411</v>
      </c>
      <c r="I59" s="39"/>
    </row>
    <row r="60" customHeight="1" spans="1:12">
      <c r="A60" s="102">
        <f t="shared" si="0"/>
        <v>50</v>
      </c>
      <c r="B60" s="107"/>
      <c r="C60" s="109"/>
      <c r="D60" s="109" t="s">
        <v>618</v>
      </c>
      <c r="E60" s="108" t="s">
        <v>619</v>
      </c>
      <c r="F60" s="109" t="s">
        <v>620</v>
      </c>
      <c r="G60" s="155" t="s">
        <v>621</v>
      </c>
      <c r="H60" s="51" t="s">
        <v>27</v>
      </c>
      <c r="I60" s="39" t="s">
        <v>622</v>
      </c>
      <c r="J60" s="37" t="s">
        <v>4</v>
      </c>
      <c r="K60" s="37" t="s">
        <v>26</v>
      </c>
      <c r="L60" s="37" t="s">
        <v>620</v>
      </c>
    </row>
    <row r="61" customHeight="1" spans="1:9">
      <c r="A61" s="102">
        <f t="shared" si="0"/>
        <v>51</v>
      </c>
      <c r="B61" s="107" t="s">
        <v>21</v>
      </c>
      <c r="C61" s="109"/>
      <c r="D61" s="109" t="s">
        <v>623</v>
      </c>
      <c r="E61" s="108" t="s">
        <v>624</v>
      </c>
      <c r="F61" s="109" t="s">
        <v>625</v>
      </c>
      <c r="G61" s="154" t="s">
        <v>626</v>
      </c>
      <c r="H61" s="39" t="s">
        <v>42</v>
      </c>
      <c r="I61" s="39"/>
    </row>
    <row r="62" customHeight="1" spans="1:9">
      <c r="A62" s="102">
        <f t="shared" si="0"/>
        <v>52</v>
      </c>
      <c r="B62" s="107" t="s">
        <v>21</v>
      </c>
      <c r="C62" s="148"/>
      <c r="D62" s="148" t="s">
        <v>627</v>
      </c>
      <c r="E62" s="108" t="s">
        <v>628</v>
      </c>
      <c r="F62" s="109" t="s">
        <v>629</v>
      </c>
      <c r="G62" s="154" t="s">
        <v>630</v>
      </c>
      <c r="H62" s="39" t="s">
        <v>42</v>
      </c>
      <c r="I62" s="39"/>
    </row>
    <row r="63" customHeight="1" spans="1:12">
      <c r="A63" s="102">
        <f t="shared" si="0"/>
        <v>53</v>
      </c>
      <c r="B63" s="107"/>
      <c r="C63" s="109"/>
      <c r="D63" s="109" t="s">
        <v>631</v>
      </c>
      <c r="E63" s="108" t="s">
        <v>632</v>
      </c>
      <c r="F63" s="109" t="s">
        <v>633</v>
      </c>
      <c r="G63" s="39" t="s">
        <v>634</v>
      </c>
      <c r="H63" s="39" t="s">
        <v>27</v>
      </c>
      <c r="I63" s="39" t="s">
        <v>635</v>
      </c>
      <c r="J63" s="37" t="s">
        <v>4</v>
      </c>
      <c r="K63" s="37" t="s">
        <v>26</v>
      </c>
      <c r="L63" s="37" t="s">
        <v>633</v>
      </c>
    </row>
    <row r="64" customHeight="1" spans="1:12">
      <c r="A64" s="102">
        <f t="shared" si="0"/>
        <v>54</v>
      </c>
      <c r="B64" s="107"/>
      <c r="C64" s="109"/>
      <c r="D64" s="109" t="s">
        <v>636</v>
      </c>
      <c r="E64" s="108" t="s">
        <v>637</v>
      </c>
      <c r="F64" s="109" t="s">
        <v>638</v>
      </c>
      <c r="G64" s="39" t="s">
        <v>634</v>
      </c>
      <c r="H64" s="39" t="s">
        <v>27</v>
      </c>
      <c r="I64" s="39" t="s">
        <v>639</v>
      </c>
      <c r="J64" s="37" t="s">
        <v>4</v>
      </c>
      <c r="K64" s="37" t="s">
        <v>26</v>
      </c>
      <c r="L64" s="37" t="s">
        <v>638</v>
      </c>
    </row>
    <row r="65" customHeight="1" spans="1:12">
      <c r="A65" s="102">
        <f t="shared" si="0"/>
        <v>55</v>
      </c>
      <c r="B65" s="106"/>
      <c r="C65" s="30"/>
      <c r="D65" s="30" t="s">
        <v>640</v>
      </c>
      <c r="E65" s="35" t="s">
        <v>641</v>
      </c>
      <c r="F65" s="30" t="s">
        <v>642</v>
      </c>
      <c r="G65" s="39" t="s">
        <v>634</v>
      </c>
      <c r="H65" s="39" t="s">
        <v>27</v>
      </c>
      <c r="I65" s="39" t="s">
        <v>643</v>
      </c>
      <c r="J65" s="37" t="s">
        <v>4</v>
      </c>
      <c r="K65" s="37" t="s">
        <v>26</v>
      </c>
      <c r="L65" s="37" t="s">
        <v>642</v>
      </c>
    </row>
    <row r="66" customHeight="1" spans="1:9">
      <c r="A66" s="102">
        <f t="shared" si="0"/>
        <v>56</v>
      </c>
      <c r="B66" s="106" t="s">
        <v>21</v>
      </c>
      <c r="C66" s="30"/>
      <c r="D66" s="30" t="s">
        <v>244</v>
      </c>
      <c r="E66" s="35" t="s">
        <v>644</v>
      </c>
      <c r="F66" s="30" t="s">
        <v>245</v>
      </c>
      <c r="G66" s="39"/>
      <c r="H66" s="39" t="s">
        <v>219</v>
      </c>
      <c r="I66" s="39"/>
    </row>
    <row r="67" customHeight="1" spans="1:9">
      <c r="A67" s="102">
        <f t="shared" ref="A67:A68" si="2">ROW(A67)-10</f>
        <v>57</v>
      </c>
      <c r="B67" s="106" t="s">
        <v>21</v>
      </c>
      <c r="C67" s="30"/>
      <c r="D67" s="30" t="s">
        <v>645</v>
      </c>
      <c r="E67" s="35" t="s">
        <v>646</v>
      </c>
      <c r="F67" s="30" t="s">
        <v>647</v>
      </c>
      <c r="G67" s="39" t="s">
        <v>648</v>
      </c>
      <c r="H67" s="39" t="s">
        <v>42</v>
      </c>
      <c r="I67" s="39"/>
    </row>
    <row r="68" customHeight="1" spans="1:9">
      <c r="A68" s="102">
        <f t="shared" si="2"/>
        <v>58</v>
      </c>
      <c r="B68" s="106" t="s">
        <v>21</v>
      </c>
      <c r="C68" s="30"/>
      <c r="D68" s="30" t="s">
        <v>800</v>
      </c>
      <c r="E68" s="35" t="s">
        <v>801</v>
      </c>
      <c r="F68" s="30" t="s">
        <v>802</v>
      </c>
      <c r="G68" s="39"/>
      <c r="H68" s="39" t="s">
        <v>243</v>
      </c>
      <c r="I68" s="39"/>
    </row>
    <row r="69" s="132" customFormat="1" customHeight="1" spans="1:9">
      <c r="A69" s="133">
        <f t="shared" ref="A69:A106" si="3">ROW(A69)-10</f>
        <v>59</v>
      </c>
      <c r="B69" s="134"/>
      <c r="C69" s="86" t="s">
        <v>224</v>
      </c>
      <c r="D69" s="86" t="s">
        <v>240</v>
      </c>
      <c r="E69" s="35" t="s">
        <v>240</v>
      </c>
      <c r="F69" s="36" t="s">
        <v>38</v>
      </c>
      <c r="G69" s="40" t="s">
        <v>649</v>
      </c>
      <c r="H69" s="40" t="s">
        <v>243</v>
      </c>
      <c r="I69" s="40"/>
    </row>
    <row r="70" customHeight="1" spans="1:9">
      <c r="A70" s="133">
        <f t="shared" si="3"/>
        <v>60</v>
      </c>
      <c r="B70" s="133"/>
      <c r="C70" s="133"/>
      <c r="D70" s="133" t="s">
        <v>650</v>
      </c>
      <c r="E70" s="133" t="s">
        <v>650</v>
      </c>
      <c r="F70" s="133" t="s">
        <v>137</v>
      </c>
      <c r="G70" s="133"/>
      <c r="H70" s="133" t="s">
        <v>24</v>
      </c>
      <c r="I70" s="40"/>
    </row>
    <row r="71" customHeight="1" spans="1:9">
      <c r="A71" s="133">
        <f t="shared" si="3"/>
        <v>61</v>
      </c>
      <c r="B71" s="133"/>
      <c r="C71" s="133"/>
      <c r="D71" s="133" t="s">
        <v>651</v>
      </c>
      <c r="E71" s="133" t="s">
        <v>651</v>
      </c>
      <c r="F71" s="133" t="s">
        <v>652</v>
      </c>
      <c r="G71" s="133"/>
      <c r="H71" s="133" t="s">
        <v>42</v>
      </c>
      <c r="I71" s="40"/>
    </row>
    <row r="72" customHeight="1" spans="1:9">
      <c r="A72" s="133">
        <f t="shared" si="3"/>
        <v>62</v>
      </c>
      <c r="B72" s="133"/>
      <c r="C72" s="133"/>
      <c r="D72" s="133" t="s">
        <v>653</v>
      </c>
      <c r="E72" s="133" t="s">
        <v>653</v>
      </c>
      <c r="F72" s="133" t="s">
        <v>654</v>
      </c>
      <c r="G72" s="133"/>
      <c r="H72" s="133" t="s">
        <v>655</v>
      </c>
      <c r="I72" s="40"/>
    </row>
    <row r="73" customHeight="1" spans="1:9">
      <c r="A73" s="133">
        <f t="shared" si="3"/>
        <v>63</v>
      </c>
      <c r="B73" s="133"/>
      <c r="C73" s="133"/>
      <c r="D73" s="133" t="s">
        <v>656</v>
      </c>
      <c r="E73" s="133" t="s">
        <v>656</v>
      </c>
      <c r="F73" s="133" t="s">
        <v>657</v>
      </c>
      <c r="G73" s="133"/>
      <c r="H73" s="133" t="s">
        <v>24</v>
      </c>
      <c r="I73" s="40"/>
    </row>
    <row r="74" customHeight="1" spans="1:9">
      <c r="A74" s="133">
        <f t="shared" si="3"/>
        <v>64</v>
      </c>
      <c r="B74" s="133"/>
      <c r="C74" s="133"/>
      <c r="D74" s="133" t="s">
        <v>658</v>
      </c>
      <c r="E74" s="133" t="s">
        <v>658</v>
      </c>
      <c r="F74" s="133" t="s">
        <v>659</v>
      </c>
      <c r="G74" s="133"/>
      <c r="H74" s="133" t="s">
        <v>347</v>
      </c>
      <c r="I74" s="40"/>
    </row>
    <row r="75" customHeight="1" spans="1:9">
      <c r="A75" s="133">
        <f t="shared" si="3"/>
        <v>65</v>
      </c>
      <c r="B75" s="133"/>
      <c r="C75" s="133"/>
      <c r="D75" s="133" t="s">
        <v>660</v>
      </c>
      <c r="E75" s="133" t="s">
        <v>660</v>
      </c>
      <c r="F75" s="133" t="s">
        <v>661</v>
      </c>
      <c r="G75" s="133"/>
      <c r="H75" s="133" t="s">
        <v>42</v>
      </c>
      <c r="I75" s="40"/>
    </row>
    <row r="76" customHeight="1" spans="1:9">
      <c r="A76" s="133">
        <f t="shared" si="3"/>
        <v>66</v>
      </c>
      <c r="B76" s="133"/>
      <c r="C76" s="133"/>
      <c r="D76" s="133" t="s">
        <v>662</v>
      </c>
      <c r="E76" s="133" t="s">
        <v>662</v>
      </c>
      <c r="F76" s="133" t="s">
        <v>663</v>
      </c>
      <c r="G76" s="133"/>
      <c r="H76" s="133" t="s">
        <v>219</v>
      </c>
      <c r="I76" s="40"/>
    </row>
    <row r="77" customHeight="1" spans="1:9">
      <c r="A77" s="133">
        <f t="shared" si="3"/>
        <v>67</v>
      </c>
      <c r="B77" s="133"/>
      <c r="C77" s="133"/>
      <c r="D77" s="133" t="s">
        <v>664</v>
      </c>
      <c r="E77" s="133" t="s">
        <v>664</v>
      </c>
      <c r="F77" s="133" t="s">
        <v>665</v>
      </c>
      <c r="G77" s="133"/>
      <c r="H77" s="133" t="s">
        <v>42</v>
      </c>
      <c r="I77" s="40"/>
    </row>
    <row r="78" customHeight="1" spans="1:9">
      <c r="A78" s="133">
        <f t="shared" si="3"/>
        <v>68</v>
      </c>
      <c r="B78" s="133"/>
      <c r="C78" s="133"/>
      <c r="D78" s="133" t="s">
        <v>666</v>
      </c>
      <c r="E78" s="133" t="s">
        <v>666</v>
      </c>
      <c r="F78" s="133" t="s">
        <v>667</v>
      </c>
      <c r="G78" s="133"/>
      <c r="H78" s="133" t="s">
        <v>42</v>
      </c>
      <c r="I78" s="40"/>
    </row>
    <row r="79" customHeight="1" spans="1:9">
      <c r="A79" s="133">
        <f t="shared" si="3"/>
        <v>69</v>
      </c>
      <c r="B79" s="133"/>
      <c r="C79" s="133"/>
      <c r="D79" s="133" t="s">
        <v>668</v>
      </c>
      <c r="E79" s="133" t="s">
        <v>668</v>
      </c>
      <c r="F79" s="133" t="s">
        <v>669</v>
      </c>
      <c r="G79" s="133"/>
      <c r="H79" s="133" t="s">
        <v>42</v>
      </c>
      <c r="I79" s="40"/>
    </row>
    <row r="80" customHeight="1" spans="1:9">
      <c r="A80" s="133">
        <f t="shared" si="3"/>
        <v>70</v>
      </c>
      <c r="B80" s="133"/>
      <c r="C80" s="133"/>
      <c r="D80" s="133" t="s">
        <v>670</v>
      </c>
      <c r="E80" s="133" t="s">
        <v>670</v>
      </c>
      <c r="F80" s="133" t="s">
        <v>671</v>
      </c>
      <c r="G80" s="133"/>
      <c r="H80" s="133" t="s">
        <v>42</v>
      </c>
      <c r="I80" s="40"/>
    </row>
    <row r="81" customHeight="1" spans="1:9">
      <c r="A81" s="133">
        <f t="shared" si="3"/>
        <v>71</v>
      </c>
      <c r="B81" s="133"/>
      <c r="C81" s="133"/>
      <c r="D81" s="133" t="s">
        <v>672</v>
      </c>
      <c r="E81" s="133" t="s">
        <v>672</v>
      </c>
      <c r="F81" s="133" t="s">
        <v>673</v>
      </c>
      <c r="G81" s="133"/>
      <c r="H81" s="133" t="s">
        <v>27</v>
      </c>
      <c r="I81" s="40"/>
    </row>
    <row r="82" customHeight="1" spans="1:9">
      <c r="A82" s="133">
        <f t="shared" si="3"/>
        <v>72</v>
      </c>
      <c r="B82" s="133"/>
      <c r="C82" s="133"/>
      <c r="D82" s="133" t="s">
        <v>674</v>
      </c>
      <c r="E82" s="133" t="s">
        <v>674</v>
      </c>
      <c r="F82" s="133" t="s">
        <v>675</v>
      </c>
      <c r="G82" s="133"/>
      <c r="H82" s="133" t="s">
        <v>27</v>
      </c>
      <c r="I82" s="40"/>
    </row>
    <row r="83" customHeight="1" spans="1:9">
      <c r="A83" s="133">
        <f t="shared" si="3"/>
        <v>73</v>
      </c>
      <c r="B83" s="133"/>
      <c r="C83" s="133"/>
      <c r="D83" s="133" t="s">
        <v>676</v>
      </c>
      <c r="E83" s="133" t="s">
        <v>676</v>
      </c>
      <c r="F83" s="133" t="s">
        <v>677</v>
      </c>
      <c r="G83" s="133"/>
      <c r="H83" s="133" t="s">
        <v>27</v>
      </c>
      <c r="I83" s="40"/>
    </row>
    <row r="84" customHeight="1" spans="1:9">
      <c r="A84" s="133">
        <f t="shared" si="3"/>
        <v>74</v>
      </c>
      <c r="B84" s="133"/>
      <c r="C84" s="133"/>
      <c r="D84" s="133" t="s">
        <v>678</v>
      </c>
      <c r="E84" s="133" t="s">
        <v>678</v>
      </c>
      <c r="F84" s="133" t="s">
        <v>679</v>
      </c>
      <c r="G84" s="133"/>
      <c r="H84" s="133" t="s">
        <v>42</v>
      </c>
      <c r="I84" s="40"/>
    </row>
    <row r="85" customHeight="1" spans="1:9">
      <c r="A85" s="133">
        <f t="shared" si="3"/>
        <v>75</v>
      </c>
      <c r="B85" s="133"/>
      <c r="C85" s="133"/>
      <c r="D85" s="133" t="s">
        <v>680</v>
      </c>
      <c r="E85" s="133" t="s">
        <v>680</v>
      </c>
      <c r="F85" s="133" t="s">
        <v>681</v>
      </c>
      <c r="G85" s="133"/>
      <c r="H85" s="133" t="s">
        <v>219</v>
      </c>
      <c r="I85" s="40"/>
    </row>
    <row r="86" customHeight="1" spans="1:9">
      <c r="A86" s="133">
        <f t="shared" si="3"/>
        <v>76</v>
      </c>
      <c r="B86" s="133"/>
      <c r="C86" s="133"/>
      <c r="D86" s="133" t="s">
        <v>682</v>
      </c>
      <c r="E86" s="133" t="s">
        <v>682</v>
      </c>
      <c r="F86" s="133" t="s">
        <v>683</v>
      </c>
      <c r="G86" s="133"/>
      <c r="H86" s="133" t="s">
        <v>219</v>
      </c>
      <c r="I86" s="40"/>
    </row>
    <row r="87" customHeight="1" spans="1:9">
      <c r="A87" s="133">
        <f t="shared" si="3"/>
        <v>77</v>
      </c>
      <c r="B87" s="133"/>
      <c r="C87" s="133"/>
      <c r="D87" s="133" t="s">
        <v>684</v>
      </c>
      <c r="E87" s="133" t="s">
        <v>684</v>
      </c>
      <c r="F87" s="133" t="s">
        <v>685</v>
      </c>
      <c r="G87" s="133"/>
      <c r="H87" s="133" t="s">
        <v>411</v>
      </c>
      <c r="I87" s="40"/>
    </row>
    <row r="88" customHeight="1" spans="1:9">
      <c r="A88" s="133">
        <f t="shared" si="3"/>
        <v>78</v>
      </c>
      <c r="B88" s="133"/>
      <c r="C88" s="133"/>
      <c r="D88" s="133" t="s">
        <v>686</v>
      </c>
      <c r="E88" s="133" t="s">
        <v>686</v>
      </c>
      <c r="F88" s="133" t="s">
        <v>687</v>
      </c>
      <c r="G88" s="133"/>
      <c r="H88" s="133" t="s">
        <v>27</v>
      </c>
      <c r="I88" s="40"/>
    </row>
    <row r="89" customHeight="1" spans="1:9">
      <c r="A89" s="133">
        <f t="shared" si="3"/>
        <v>79</v>
      </c>
      <c r="B89" s="133"/>
      <c r="C89" s="133"/>
      <c r="D89" s="133" t="s">
        <v>688</v>
      </c>
      <c r="E89" s="133" t="s">
        <v>688</v>
      </c>
      <c r="F89" s="133" t="s">
        <v>689</v>
      </c>
      <c r="G89" s="133"/>
      <c r="H89" s="133" t="s">
        <v>27</v>
      </c>
      <c r="I89" s="40"/>
    </row>
    <row r="90" customHeight="1" spans="1:9">
      <c r="A90" s="133">
        <f t="shared" si="3"/>
        <v>80</v>
      </c>
      <c r="B90" s="133"/>
      <c r="C90" s="133"/>
      <c r="D90" s="133" t="s">
        <v>690</v>
      </c>
      <c r="E90" s="133" t="s">
        <v>690</v>
      </c>
      <c r="F90" s="133" t="s">
        <v>691</v>
      </c>
      <c r="G90" s="133"/>
      <c r="H90" s="133" t="s">
        <v>27</v>
      </c>
      <c r="I90" s="40"/>
    </row>
    <row r="91" customHeight="1" spans="1:9">
      <c r="A91" s="133">
        <f t="shared" si="3"/>
        <v>81</v>
      </c>
      <c r="B91" s="133"/>
      <c r="C91" s="133"/>
      <c r="D91" s="133" t="s">
        <v>692</v>
      </c>
      <c r="E91" s="133" t="s">
        <v>692</v>
      </c>
      <c r="F91" s="133" t="s">
        <v>693</v>
      </c>
      <c r="G91" s="133"/>
      <c r="H91" s="133" t="s">
        <v>53</v>
      </c>
      <c r="I91" s="40"/>
    </row>
    <row r="92" customHeight="1" spans="1:9">
      <c r="A92" s="133">
        <f t="shared" si="3"/>
        <v>82</v>
      </c>
      <c r="B92" s="133"/>
      <c r="C92" s="133"/>
      <c r="D92" s="133" t="s">
        <v>694</v>
      </c>
      <c r="E92" s="133" t="s">
        <v>694</v>
      </c>
      <c r="F92" s="133" t="s">
        <v>695</v>
      </c>
      <c r="G92" s="133"/>
      <c r="H92" s="133" t="s">
        <v>27</v>
      </c>
      <c r="I92" s="40"/>
    </row>
    <row r="93" customHeight="1" spans="1:9">
      <c r="A93" s="133">
        <f t="shared" si="3"/>
        <v>83</v>
      </c>
      <c r="B93" s="133"/>
      <c r="C93" s="133"/>
      <c r="D93" s="133" t="s">
        <v>696</v>
      </c>
      <c r="E93" s="133" t="s">
        <v>696</v>
      </c>
      <c r="F93" s="133" t="s">
        <v>697</v>
      </c>
      <c r="G93" s="133"/>
      <c r="H93" s="133" t="s">
        <v>24</v>
      </c>
      <c r="I93" s="40"/>
    </row>
    <row r="94" customHeight="1" spans="1:9">
      <c r="A94" s="133">
        <f t="shared" si="3"/>
        <v>84</v>
      </c>
      <c r="B94" s="133"/>
      <c r="C94" s="133"/>
      <c r="D94" s="133" t="s">
        <v>698</v>
      </c>
      <c r="E94" s="133" t="s">
        <v>698</v>
      </c>
      <c r="F94" s="133" t="s">
        <v>699</v>
      </c>
      <c r="G94" s="133"/>
      <c r="H94" s="133" t="s">
        <v>53</v>
      </c>
      <c r="I94" s="40"/>
    </row>
    <row r="95" customHeight="1" spans="1:9">
      <c r="A95" s="133">
        <f t="shared" si="3"/>
        <v>85</v>
      </c>
      <c r="B95" s="133"/>
      <c r="C95" s="133"/>
      <c r="D95" s="133" t="s">
        <v>700</v>
      </c>
      <c r="E95" s="133" t="s">
        <v>700</v>
      </c>
      <c r="F95" s="133" t="s">
        <v>701</v>
      </c>
      <c r="G95" s="133"/>
      <c r="H95" s="133" t="s">
        <v>27</v>
      </c>
      <c r="I95" s="40"/>
    </row>
    <row r="96" customHeight="1" spans="1:9">
      <c r="A96" s="133">
        <f t="shared" si="3"/>
        <v>86</v>
      </c>
      <c r="B96" s="133"/>
      <c r="C96" s="133"/>
      <c r="D96" s="133" t="s">
        <v>702</v>
      </c>
      <c r="E96" s="133" t="s">
        <v>702</v>
      </c>
      <c r="F96" s="133" t="s">
        <v>703</v>
      </c>
      <c r="G96" s="133"/>
      <c r="H96" s="133" t="s">
        <v>27</v>
      </c>
      <c r="I96" s="40"/>
    </row>
    <row r="97" customHeight="1" spans="1:9">
      <c r="A97" s="133">
        <f t="shared" si="3"/>
        <v>87</v>
      </c>
      <c r="B97" s="133"/>
      <c r="C97" s="133"/>
      <c r="D97" s="133" t="s">
        <v>704</v>
      </c>
      <c r="E97" s="133" t="s">
        <v>704</v>
      </c>
      <c r="F97" s="133" t="s">
        <v>705</v>
      </c>
      <c r="G97" s="133"/>
      <c r="H97" s="133" t="s">
        <v>42</v>
      </c>
      <c r="I97" s="40"/>
    </row>
    <row r="98" customHeight="1" spans="1:9">
      <c r="A98" s="133">
        <f t="shared" si="3"/>
        <v>88</v>
      </c>
      <c r="B98" s="133"/>
      <c r="C98" s="133"/>
      <c r="D98" s="133" t="s">
        <v>706</v>
      </c>
      <c r="E98" s="133" t="s">
        <v>706</v>
      </c>
      <c r="F98" s="133" t="s">
        <v>707</v>
      </c>
      <c r="G98" s="133"/>
      <c r="H98" s="133" t="s">
        <v>27</v>
      </c>
      <c r="I98" s="40"/>
    </row>
    <row r="99" customHeight="1" spans="1:9">
      <c r="A99" s="133">
        <f t="shared" si="3"/>
        <v>89</v>
      </c>
      <c r="B99" s="133"/>
      <c r="C99" s="133"/>
      <c r="D99" s="133" t="s">
        <v>708</v>
      </c>
      <c r="E99" s="133" t="s">
        <v>708</v>
      </c>
      <c r="F99" s="133" t="s">
        <v>709</v>
      </c>
      <c r="G99" s="133"/>
      <c r="H99" s="133" t="s">
        <v>27</v>
      </c>
      <c r="I99" s="40"/>
    </row>
    <row r="100" customHeight="1" spans="1:9">
      <c r="A100" s="133">
        <f t="shared" si="3"/>
        <v>90</v>
      </c>
      <c r="B100" s="133"/>
      <c r="C100" s="133"/>
      <c r="D100" s="133" t="s">
        <v>710</v>
      </c>
      <c r="E100" s="133" t="s">
        <v>710</v>
      </c>
      <c r="F100" s="133" t="s">
        <v>711</v>
      </c>
      <c r="G100" s="133"/>
      <c r="H100" s="133" t="s">
        <v>24</v>
      </c>
      <c r="I100" s="40"/>
    </row>
    <row r="101" customHeight="1" spans="1:9">
      <c r="A101" s="133">
        <f t="shared" si="3"/>
        <v>91</v>
      </c>
      <c r="B101" s="133"/>
      <c r="C101" s="133"/>
      <c r="D101" s="133" t="s">
        <v>712</v>
      </c>
      <c r="E101" s="133" t="s">
        <v>712</v>
      </c>
      <c r="F101" s="133" t="s">
        <v>713</v>
      </c>
      <c r="G101" s="133"/>
      <c r="H101" s="133" t="s">
        <v>411</v>
      </c>
      <c r="I101" s="40"/>
    </row>
    <row r="102" customHeight="1" spans="1:9">
      <c r="A102" s="133">
        <f t="shared" si="3"/>
        <v>92</v>
      </c>
      <c r="B102" s="133"/>
      <c r="C102" s="133"/>
      <c r="D102" s="133" t="s">
        <v>714</v>
      </c>
      <c r="E102" s="133" t="s">
        <v>714</v>
      </c>
      <c r="F102" s="133" t="s">
        <v>715</v>
      </c>
      <c r="G102" s="133"/>
      <c r="H102" s="133" t="s">
        <v>347</v>
      </c>
      <c r="I102" s="40"/>
    </row>
    <row r="103" customHeight="1" spans="1:9">
      <c r="A103" s="133">
        <f t="shared" si="3"/>
        <v>93</v>
      </c>
      <c r="B103" s="133"/>
      <c r="C103" s="133"/>
      <c r="D103" s="133" t="s">
        <v>716</v>
      </c>
      <c r="E103" s="133" t="s">
        <v>716</v>
      </c>
      <c r="F103" s="133" t="s">
        <v>717</v>
      </c>
      <c r="G103" s="133"/>
      <c r="H103" s="133" t="s">
        <v>411</v>
      </c>
      <c r="I103" s="40"/>
    </row>
    <row r="104" customHeight="1" spans="1:9">
      <c r="A104" s="133">
        <f t="shared" si="3"/>
        <v>94</v>
      </c>
      <c r="B104" s="133"/>
      <c r="C104" s="133"/>
      <c r="D104" s="133" t="s">
        <v>718</v>
      </c>
      <c r="E104" s="133" t="s">
        <v>718</v>
      </c>
      <c r="F104" s="133" t="s">
        <v>719</v>
      </c>
      <c r="G104" s="133"/>
      <c r="H104" s="133" t="s">
        <v>411</v>
      </c>
      <c r="I104" s="40"/>
    </row>
    <row r="105" customHeight="1" spans="1:9">
      <c r="A105" s="133">
        <f t="shared" si="3"/>
        <v>95</v>
      </c>
      <c r="B105" s="133"/>
      <c r="C105" s="133"/>
      <c r="D105" s="133" t="s">
        <v>720</v>
      </c>
      <c r="E105" s="133" t="s">
        <v>720</v>
      </c>
      <c r="F105" s="133" t="s">
        <v>721</v>
      </c>
      <c r="G105" s="133"/>
      <c r="H105" s="133" t="s">
        <v>411</v>
      </c>
      <c r="I105" s="40"/>
    </row>
    <row r="106" customHeight="1" spans="1:9">
      <c r="A106" s="133">
        <f t="shared" si="3"/>
        <v>96</v>
      </c>
      <c r="B106" s="133"/>
      <c r="C106" s="133"/>
      <c r="D106" s="133" t="s">
        <v>722</v>
      </c>
      <c r="E106" s="133" t="s">
        <v>722</v>
      </c>
      <c r="F106" s="133" t="s">
        <v>723</v>
      </c>
      <c r="G106" s="133"/>
      <c r="H106" s="133" t="s">
        <v>411</v>
      </c>
      <c r="I106" s="4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"/>
  <sheetViews>
    <sheetView tabSelected="1" zoomScale="70" zoomScaleNormal="70" topLeftCell="A90" workbookViewId="0">
      <selection activeCell="D104" sqref="D104:D107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0.1666666666667" style="37" customWidth="1"/>
    <col min="9" max="9" width="42.3333333333333" style="37" customWidth="1"/>
    <col min="10" max="10" width="19.125" style="37" customWidth="1"/>
    <col min="11" max="16384" width="10.8333333333333" style="37"/>
  </cols>
  <sheetData>
    <row r="1" customHeight="1" spans="1:9">
      <c r="A1" s="98" t="s">
        <v>0</v>
      </c>
      <c r="B1" s="28" t="s">
        <v>803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804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805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806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426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 t="s">
        <v>11</v>
      </c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>ROW(A11)-10</f>
        <v>1</v>
      </c>
      <c r="B11" s="106" t="s">
        <v>21</v>
      </c>
      <c r="C11" s="102"/>
      <c r="D11" s="102" t="s">
        <v>22</v>
      </c>
      <c r="E11" s="105" t="s">
        <v>22</v>
      </c>
      <c r="F11" s="30" t="s">
        <v>22</v>
      </c>
      <c r="G11" s="51" t="s">
        <v>23</v>
      </c>
      <c r="H11" s="51" t="s">
        <v>24</v>
      </c>
      <c r="I11" s="39"/>
    </row>
    <row r="12" customHeight="1" spans="1:11">
      <c r="A12" s="102">
        <f t="shared" ref="A12:A66" si="0">ROW(A12)-10</f>
        <v>2</v>
      </c>
      <c r="B12" s="107" t="s">
        <v>21</v>
      </c>
      <c r="C12" s="151"/>
      <c r="D12" s="151" t="s">
        <v>427</v>
      </c>
      <c r="E12" s="149" t="s">
        <v>428</v>
      </c>
      <c r="F12" s="109" t="s">
        <v>429</v>
      </c>
      <c r="G12" s="39" t="s">
        <v>430</v>
      </c>
      <c r="H12" s="39" t="s">
        <v>24</v>
      </c>
      <c r="I12" s="39" t="s">
        <v>431</v>
      </c>
      <c r="J12" s="37" t="s">
        <v>212</v>
      </c>
      <c r="K12" s="37" t="s">
        <v>22</v>
      </c>
    </row>
    <row r="13" customHeight="1" spans="1:11">
      <c r="A13" s="102">
        <f t="shared" si="0"/>
        <v>3</v>
      </c>
      <c r="B13" s="107" t="s">
        <v>21</v>
      </c>
      <c r="C13" s="148"/>
      <c r="D13" s="148" t="s">
        <v>432</v>
      </c>
      <c r="E13" s="149" t="s">
        <v>433</v>
      </c>
      <c r="F13" s="109" t="s">
        <v>267</v>
      </c>
      <c r="G13" s="39" t="s">
        <v>788</v>
      </c>
      <c r="H13" s="51" t="s">
        <v>24</v>
      </c>
      <c r="I13" s="39" t="s">
        <v>435</v>
      </c>
      <c r="J13" s="37" t="s">
        <v>212</v>
      </c>
      <c r="K13" s="37" t="s">
        <v>22</v>
      </c>
    </row>
    <row r="14" customHeight="1" spans="1:9">
      <c r="A14" s="102">
        <f t="shared" si="0"/>
        <v>4</v>
      </c>
      <c r="B14" s="107" t="s">
        <v>21</v>
      </c>
      <c r="C14" s="148"/>
      <c r="D14" s="148" t="s">
        <v>436</v>
      </c>
      <c r="E14" s="149" t="s">
        <v>437</v>
      </c>
      <c r="F14" s="109" t="s">
        <v>162</v>
      </c>
      <c r="G14" s="51" t="s">
        <v>299</v>
      </c>
      <c r="H14" s="51" t="s">
        <v>24</v>
      </c>
      <c r="I14" s="39"/>
    </row>
    <row r="15" customHeight="1" spans="1:9">
      <c r="A15" s="102">
        <f t="shared" si="0"/>
        <v>5</v>
      </c>
      <c r="B15" s="107" t="s">
        <v>21</v>
      </c>
      <c r="C15" s="148"/>
      <c r="D15" s="148" t="s">
        <v>438</v>
      </c>
      <c r="E15" s="149" t="s">
        <v>439</v>
      </c>
      <c r="F15" s="109" t="s">
        <v>29</v>
      </c>
      <c r="G15" s="51"/>
      <c r="H15" s="51" t="s">
        <v>24</v>
      </c>
      <c r="I15" s="39"/>
    </row>
    <row r="16" customHeight="1" spans="1:12">
      <c r="A16" s="102">
        <f t="shared" si="0"/>
        <v>6</v>
      </c>
      <c r="B16" s="107" t="s">
        <v>21</v>
      </c>
      <c r="C16" s="148"/>
      <c r="D16" s="148" t="s">
        <v>440</v>
      </c>
      <c r="E16" s="108" t="s">
        <v>441</v>
      </c>
      <c r="F16" s="109" t="s">
        <v>442</v>
      </c>
      <c r="G16" s="39" t="s">
        <v>443</v>
      </c>
      <c r="H16" s="39" t="s">
        <v>27</v>
      </c>
      <c r="I16" s="39" t="s">
        <v>444</v>
      </c>
      <c r="J16" s="37" t="s">
        <v>4</v>
      </c>
      <c r="K16" s="37" t="s">
        <v>26</v>
      </c>
      <c r="L16" s="37" t="s">
        <v>442</v>
      </c>
    </row>
    <row r="17" ht="52.5" spans="1:12">
      <c r="A17" s="102">
        <f t="shared" ref="A17:A19" si="1">ROW(A17)-10</f>
        <v>7</v>
      </c>
      <c r="B17" s="107" t="s">
        <v>21</v>
      </c>
      <c r="C17" s="148"/>
      <c r="D17" s="148" t="s">
        <v>445</v>
      </c>
      <c r="E17" s="108" t="s">
        <v>446</v>
      </c>
      <c r="F17" s="109" t="s">
        <v>447</v>
      </c>
      <c r="G17" s="39" t="s">
        <v>448</v>
      </c>
      <c r="H17" s="51" t="s">
        <v>27</v>
      </c>
      <c r="I17" s="39" t="s">
        <v>449</v>
      </c>
      <c r="J17" s="37" t="s">
        <v>4</v>
      </c>
      <c r="K17" s="37" t="s">
        <v>26</v>
      </c>
      <c r="L17" s="37" t="s">
        <v>447</v>
      </c>
    </row>
    <row r="18" ht="48" spans="1:12">
      <c r="A18" s="102">
        <f t="shared" si="1"/>
        <v>8</v>
      </c>
      <c r="B18" s="107" t="s">
        <v>21</v>
      </c>
      <c r="C18" s="148"/>
      <c r="D18" s="148" t="s">
        <v>450</v>
      </c>
      <c r="E18" s="108" t="s">
        <v>451</v>
      </c>
      <c r="F18" s="109" t="s">
        <v>452</v>
      </c>
      <c r="G18" s="152" t="s">
        <v>453</v>
      </c>
      <c r="H18" s="153" t="s">
        <v>27</v>
      </c>
      <c r="I18" s="153" t="s">
        <v>454</v>
      </c>
      <c r="J18" s="37" t="s">
        <v>4</v>
      </c>
      <c r="K18" s="37" t="s">
        <v>26</v>
      </c>
      <c r="L18" s="37" t="s">
        <v>452</v>
      </c>
    </row>
    <row r="19" ht="36" spans="1:12">
      <c r="A19" s="102">
        <f t="shared" si="1"/>
        <v>9</v>
      </c>
      <c r="B19" s="107" t="s">
        <v>21</v>
      </c>
      <c r="C19" s="148"/>
      <c r="D19" s="148" t="s">
        <v>455</v>
      </c>
      <c r="E19" s="108" t="s">
        <v>456</v>
      </c>
      <c r="F19" s="109" t="s">
        <v>457</v>
      </c>
      <c r="G19" s="39" t="s">
        <v>458</v>
      </c>
      <c r="H19" s="51" t="s">
        <v>27</v>
      </c>
      <c r="I19" s="39" t="s">
        <v>459</v>
      </c>
      <c r="J19" s="37" t="s">
        <v>4</v>
      </c>
      <c r="K19" s="37" t="s">
        <v>26</v>
      </c>
      <c r="L19" s="37" t="s">
        <v>457</v>
      </c>
    </row>
    <row r="20" customHeight="1" spans="1:9">
      <c r="A20" s="102">
        <f t="shared" si="0"/>
        <v>10</v>
      </c>
      <c r="B20" s="107"/>
      <c r="C20" s="148"/>
      <c r="D20" s="148" t="s">
        <v>460</v>
      </c>
      <c r="E20" s="149" t="s">
        <v>461</v>
      </c>
      <c r="F20" s="109" t="s">
        <v>462</v>
      </c>
      <c r="G20" s="51"/>
      <c r="H20" s="51" t="s">
        <v>24</v>
      </c>
      <c r="I20" s="39"/>
    </row>
    <row r="21" customHeight="1" spans="1:12">
      <c r="A21" s="102">
        <f t="shared" si="0"/>
        <v>11</v>
      </c>
      <c r="B21" s="107" t="s">
        <v>21</v>
      </c>
      <c r="C21" s="148"/>
      <c r="D21" s="148" t="s">
        <v>463</v>
      </c>
      <c r="E21" s="149" t="s">
        <v>464</v>
      </c>
      <c r="F21" s="109" t="s">
        <v>465</v>
      </c>
      <c r="G21" s="154"/>
      <c r="H21" s="39" t="s">
        <v>27</v>
      </c>
      <c r="I21" s="39" t="s">
        <v>466</v>
      </c>
      <c r="J21" s="37" t="s">
        <v>4</v>
      </c>
      <c r="K21" s="37" t="s">
        <v>26</v>
      </c>
      <c r="L21" s="37" t="s">
        <v>465</v>
      </c>
    </row>
    <row r="22" customHeight="1" spans="1:12">
      <c r="A22" s="102">
        <f t="shared" si="0"/>
        <v>12</v>
      </c>
      <c r="B22" s="107"/>
      <c r="C22" s="148"/>
      <c r="D22" s="148" t="s">
        <v>467</v>
      </c>
      <c r="E22" s="108" t="s">
        <v>468</v>
      </c>
      <c r="F22" s="109" t="s">
        <v>469</v>
      </c>
      <c r="G22" s="39" t="s">
        <v>470</v>
      </c>
      <c r="H22" s="39" t="s">
        <v>27</v>
      </c>
      <c r="I22" s="39" t="s">
        <v>476</v>
      </c>
      <c r="J22" s="37" t="s">
        <v>4</v>
      </c>
      <c r="K22" s="37" t="s">
        <v>26</v>
      </c>
      <c r="L22" s="37" t="s">
        <v>469</v>
      </c>
    </row>
    <row r="23" customHeight="1" spans="1:12">
      <c r="A23" s="102">
        <f t="shared" si="0"/>
        <v>13</v>
      </c>
      <c r="B23" s="107"/>
      <c r="C23" s="148"/>
      <c r="D23" s="148" t="s">
        <v>472</v>
      </c>
      <c r="E23" s="108" t="s">
        <v>807</v>
      </c>
      <c r="F23" s="109" t="s">
        <v>474</v>
      </c>
      <c r="G23" s="39" t="s">
        <v>475</v>
      </c>
      <c r="H23" s="39" t="s">
        <v>27</v>
      </c>
      <c r="I23" s="39" t="s">
        <v>476</v>
      </c>
      <c r="J23" s="37" t="s">
        <v>4</v>
      </c>
      <c r="K23" s="37" t="s">
        <v>26</v>
      </c>
      <c r="L23" s="37" t="s">
        <v>474</v>
      </c>
    </row>
    <row r="24" customHeight="1" spans="1:9">
      <c r="A24" s="102">
        <f t="shared" si="0"/>
        <v>14</v>
      </c>
      <c r="B24" s="107"/>
      <c r="C24" s="148"/>
      <c r="D24" s="148" t="s">
        <v>477</v>
      </c>
      <c r="E24" s="149" t="s">
        <v>478</v>
      </c>
      <c r="F24" s="109" t="s">
        <v>479</v>
      </c>
      <c r="G24" s="39"/>
      <c r="H24" s="39" t="s">
        <v>53</v>
      </c>
      <c r="I24" s="39"/>
    </row>
    <row r="25" customHeight="1" spans="1:12">
      <c r="A25" s="102">
        <f t="shared" si="0"/>
        <v>15</v>
      </c>
      <c r="B25" s="107"/>
      <c r="C25" s="148"/>
      <c r="D25" s="148" t="s">
        <v>480</v>
      </c>
      <c r="E25" s="108" t="s">
        <v>481</v>
      </c>
      <c r="F25" s="109" t="s">
        <v>482</v>
      </c>
      <c r="G25" s="39" t="s">
        <v>483</v>
      </c>
      <c r="H25" s="39" t="s">
        <v>53</v>
      </c>
      <c r="I25" s="39"/>
      <c r="J25" s="37" t="s">
        <v>4</v>
      </c>
      <c r="K25" s="37" t="s">
        <v>26</v>
      </c>
      <c r="L25" s="109" t="s">
        <v>482</v>
      </c>
    </row>
    <row r="26" customHeight="1" spans="1:12">
      <c r="A26" s="102">
        <f t="shared" si="0"/>
        <v>16</v>
      </c>
      <c r="B26" s="107"/>
      <c r="C26" s="148"/>
      <c r="D26" s="148" t="s">
        <v>484</v>
      </c>
      <c r="E26" s="108" t="s">
        <v>485</v>
      </c>
      <c r="F26" s="109" t="s">
        <v>486</v>
      </c>
      <c r="G26" s="39" t="s">
        <v>487</v>
      </c>
      <c r="H26" s="39" t="s">
        <v>53</v>
      </c>
      <c r="I26" s="39"/>
      <c r="J26" s="37" t="s">
        <v>4</v>
      </c>
      <c r="K26" s="37" t="s">
        <v>26</v>
      </c>
      <c r="L26" s="109" t="s">
        <v>486</v>
      </c>
    </row>
    <row r="27" customHeight="1" spans="1:9">
      <c r="A27" s="102">
        <f t="shared" si="0"/>
        <v>17</v>
      </c>
      <c r="B27" s="107"/>
      <c r="C27" s="148"/>
      <c r="D27" s="148" t="s">
        <v>488</v>
      </c>
      <c r="E27" s="149" t="s">
        <v>489</v>
      </c>
      <c r="F27" s="109" t="s">
        <v>490</v>
      </c>
      <c r="G27" s="39"/>
      <c r="H27" s="39" t="s">
        <v>53</v>
      </c>
      <c r="I27" s="39"/>
    </row>
    <row r="28" customHeight="1" spans="1:12">
      <c r="A28" s="102">
        <f t="shared" si="0"/>
        <v>18</v>
      </c>
      <c r="B28" s="107" t="s">
        <v>21</v>
      </c>
      <c r="C28" s="148"/>
      <c r="D28" s="148" t="s">
        <v>491</v>
      </c>
      <c r="E28" s="149" t="s">
        <v>492</v>
      </c>
      <c r="F28" s="109" t="s">
        <v>493</v>
      </c>
      <c r="G28" s="154"/>
      <c r="H28" s="39" t="s">
        <v>27</v>
      </c>
      <c r="I28" s="39" t="s">
        <v>494</v>
      </c>
      <c r="J28" s="37" t="s">
        <v>4</v>
      </c>
      <c r="K28" s="37" t="s">
        <v>26</v>
      </c>
      <c r="L28" s="37" t="s">
        <v>493</v>
      </c>
    </row>
    <row r="29" customHeight="1" spans="1:12">
      <c r="A29" s="102">
        <f t="shared" si="0"/>
        <v>19</v>
      </c>
      <c r="B29" s="107" t="s">
        <v>21</v>
      </c>
      <c r="C29" s="148"/>
      <c r="D29" s="148" t="s">
        <v>495</v>
      </c>
      <c r="E29" s="149" t="s">
        <v>496</v>
      </c>
      <c r="F29" s="109" t="s">
        <v>497</v>
      </c>
      <c r="G29" s="154"/>
      <c r="H29" s="39" t="s">
        <v>27</v>
      </c>
      <c r="I29" s="39" t="s">
        <v>498</v>
      </c>
      <c r="J29" s="37" t="s">
        <v>4</v>
      </c>
      <c r="K29" s="37" t="s">
        <v>26</v>
      </c>
      <c r="L29" s="37" t="s">
        <v>497</v>
      </c>
    </row>
    <row r="30" customHeight="1" spans="1:9">
      <c r="A30" s="102">
        <f t="shared" si="0"/>
        <v>20</v>
      </c>
      <c r="B30" s="107"/>
      <c r="C30" s="148"/>
      <c r="D30" s="148" t="s">
        <v>499</v>
      </c>
      <c r="E30" s="149" t="s">
        <v>500</v>
      </c>
      <c r="F30" s="109" t="s">
        <v>501</v>
      </c>
      <c r="G30" s="39"/>
      <c r="H30" s="39" t="s">
        <v>411</v>
      </c>
      <c r="I30" s="39"/>
    </row>
    <row r="31" customHeight="1" spans="1:9">
      <c r="A31" s="102">
        <f t="shared" si="0"/>
        <v>21</v>
      </c>
      <c r="B31" s="107" t="s">
        <v>21</v>
      </c>
      <c r="C31" s="148"/>
      <c r="D31" s="148" t="s">
        <v>502</v>
      </c>
      <c r="E31" s="149" t="s">
        <v>503</v>
      </c>
      <c r="F31" s="109" t="s">
        <v>504</v>
      </c>
      <c r="G31" s="154" t="s">
        <v>505</v>
      </c>
      <c r="H31" s="39" t="s">
        <v>47</v>
      </c>
      <c r="I31" s="39"/>
    </row>
    <row r="32" customHeight="1" spans="1:9">
      <c r="A32" s="102">
        <f t="shared" si="0"/>
        <v>22</v>
      </c>
      <c r="B32" s="107" t="s">
        <v>21</v>
      </c>
      <c r="C32" s="148"/>
      <c r="D32" s="148" t="s">
        <v>506</v>
      </c>
      <c r="E32" s="149" t="s">
        <v>507</v>
      </c>
      <c r="F32" s="109" t="s">
        <v>508</v>
      </c>
      <c r="G32" s="154" t="s">
        <v>509</v>
      </c>
      <c r="H32" s="39" t="s">
        <v>411</v>
      </c>
      <c r="I32" s="39"/>
    </row>
    <row r="33" customHeight="1" spans="1:9">
      <c r="A33" s="102">
        <f t="shared" si="0"/>
        <v>23</v>
      </c>
      <c r="B33" s="107" t="s">
        <v>21</v>
      </c>
      <c r="C33" s="148"/>
      <c r="D33" s="148" t="s">
        <v>510</v>
      </c>
      <c r="E33" s="149" t="s">
        <v>511</v>
      </c>
      <c r="F33" s="109" t="s">
        <v>512</v>
      </c>
      <c r="G33" s="154" t="s">
        <v>513</v>
      </c>
      <c r="H33" s="39" t="s">
        <v>411</v>
      </c>
      <c r="I33" s="39"/>
    </row>
    <row r="34" customHeight="1" spans="1:9">
      <c r="A34" s="102">
        <f t="shared" si="0"/>
        <v>24</v>
      </c>
      <c r="B34" s="107" t="s">
        <v>21</v>
      </c>
      <c r="C34" s="148"/>
      <c r="D34" s="148" t="s">
        <v>514</v>
      </c>
      <c r="E34" s="108" t="s">
        <v>515</v>
      </c>
      <c r="F34" s="109" t="s">
        <v>516</v>
      </c>
      <c r="G34" s="154" t="s">
        <v>517</v>
      </c>
      <c r="H34" s="39" t="s">
        <v>411</v>
      </c>
      <c r="I34" s="39"/>
    </row>
    <row r="35" customHeight="1" spans="1:9">
      <c r="A35" s="102">
        <f t="shared" si="0"/>
        <v>25</v>
      </c>
      <c r="B35" s="107"/>
      <c r="C35" s="148"/>
      <c r="D35" s="148" t="s">
        <v>518</v>
      </c>
      <c r="E35" s="108" t="s">
        <v>519</v>
      </c>
      <c r="F35" s="109" t="s">
        <v>520</v>
      </c>
      <c r="G35" s="39" t="s">
        <v>521</v>
      </c>
      <c r="H35" s="51" t="s">
        <v>411</v>
      </c>
      <c r="I35" s="39"/>
    </row>
    <row r="36" customHeight="1" spans="1:9">
      <c r="A36" s="102">
        <f t="shared" si="0"/>
        <v>26</v>
      </c>
      <c r="B36" s="107"/>
      <c r="C36" s="148"/>
      <c r="D36" s="148" t="s">
        <v>522</v>
      </c>
      <c r="E36" s="108" t="s">
        <v>523</v>
      </c>
      <c r="F36" s="109" t="s">
        <v>524</v>
      </c>
      <c r="G36" s="39"/>
      <c r="H36" s="39" t="s">
        <v>219</v>
      </c>
      <c r="I36" s="39"/>
    </row>
    <row r="37" customHeight="1" spans="1:9">
      <c r="A37" s="102">
        <f t="shared" si="0"/>
        <v>27</v>
      </c>
      <c r="B37" s="107"/>
      <c r="C37" s="148"/>
      <c r="D37" s="148" t="s">
        <v>525</v>
      </c>
      <c r="E37" s="108" t="s">
        <v>526</v>
      </c>
      <c r="F37" s="109" t="s">
        <v>527</v>
      </c>
      <c r="G37" s="39"/>
      <c r="H37" s="39" t="s">
        <v>219</v>
      </c>
      <c r="I37" s="39"/>
    </row>
    <row r="38" customHeight="1" spans="1:9">
      <c r="A38" s="102">
        <f t="shared" si="0"/>
        <v>28</v>
      </c>
      <c r="B38" s="107"/>
      <c r="C38" s="148"/>
      <c r="D38" s="148" t="s">
        <v>528</v>
      </c>
      <c r="E38" s="108" t="s">
        <v>529</v>
      </c>
      <c r="F38" s="109" t="s">
        <v>530</v>
      </c>
      <c r="G38" s="39"/>
      <c r="H38" s="39" t="s">
        <v>219</v>
      </c>
      <c r="I38" s="39"/>
    </row>
    <row r="39" customHeight="1" spans="1:11">
      <c r="A39" s="102">
        <f t="shared" si="0"/>
        <v>29</v>
      </c>
      <c r="B39" s="107" t="s">
        <v>21</v>
      </c>
      <c r="C39" s="148"/>
      <c r="D39" s="148" t="s">
        <v>531</v>
      </c>
      <c r="E39" s="108" t="s">
        <v>532</v>
      </c>
      <c r="F39" s="109" t="s">
        <v>533</v>
      </c>
      <c r="G39" s="39" t="s">
        <v>534</v>
      </c>
      <c r="H39" s="39" t="s">
        <v>24</v>
      </c>
      <c r="I39" s="39" t="s">
        <v>535</v>
      </c>
      <c r="J39" s="37" t="s">
        <v>794</v>
      </c>
      <c r="K39" s="37" t="s">
        <v>22</v>
      </c>
    </row>
    <row r="40" customHeight="1" spans="1:9">
      <c r="A40" s="102">
        <f t="shared" si="0"/>
        <v>30</v>
      </c>
      <c r="B40" s="107"/>
      <c r="C40" s="148"/>
      <c r="D40" s="148" t="s">
        <v>537</v>
      </c>
      <c r="E40" s="108" t="s">
        <v>538</v>
      </c>
      <c r="F40" s="109" t="s">
        <v>539</v>
      </c>
      <c r="G40" s="39"/>
      <c r="H40" s="39" t="s">
        <v>411</v>
      </c>
      <c r="I40" s="39"/>
    </row>
    <row r="41" customHeight="1" spans="1:11">
      <c r="A41" s="102">
        <f t="shared" si="0"/>
        <v>31</v>
      </c>
      <c r="B41" s="107"/>
      <c r="C41" s="148"/>
      <c r="D41" s="148" t="s">
        <v>540</v>
      </c>
      <c r="E41" s="108" t="s">
        <v>541</v>
      </c>
      <c r="F41" s="109" t="s">
        <v>542</v>
      </c>
      <c r="G41" s="39" t="s">
        <v>543</v>
      </c>
      <c r="H41" s="39" t="s">
        <v>24</v>
      </c>
      <c r="I41" s="39" t="s">
        <v>544</v>
      </c>
      <c r="J41" s="37" t="s">
        <v>794</v>
      </c>
      <c r="K41" s="37" t="s">
        <v>22</v>
      </c>
    </row>
    <row r="42" customHeight="1" spans="1:11">
      <c r="A42" s="102">
        <f t="shared" si="0"/>
        <v>32</v>
      </c>
      <c r="B42" s="107"/>
      <c r="C42" s="148"/>
      <c r="D42" s="148" t="s">
        <v>545</v>
      </c>
      <c r="E42" s="108" t="s">
        <v>546</v>
      </c>
      <c r="F42" s="109" t="s">
        <v>547</v>
      </c>
      <c r="G42" s="39" t="s">
        <v>548</v>
      </c>
      <c r="H42" s="39" t="s">
        <v>24</v>
      </c>
      <c r="I42" s="39" t="s">
        <v>549</v>
      </c>
      <c r="J42" s="37" t="s">
        <v>794</v>
      </c>
      <c r="K42" s="37" t="s">
        <v>22</v>
      </c>
    </row>
    <row r="43" customHeight="1" spans="1:11">
      <c r="A43" s="102">
        <f t="shared" si="0"/>
        <v>33</v>
      </c>
      <c r="B43" s="107"/>
      <c r="C43" s="148"/>
      <c r="D43" s="148" t="s">
        <v>550</v>
      </c>
      <c r="E43" s="108" t="s">
        <v>551</v>
      </c>
      <c r="F43" s="109" t="s">
        <v>552</v>
      </c>
      <c r="G43" s="39" t="s">
        <v>553</v>
      </c>
      <c r="H43" s="39" t="s">
        <v>24</v>
      </c>
      <c r="I43" s="39" t="s">
        <v>554</v>
      </c>
      <c r="J43" s="37" t="s">
        <v>794</v>
      </c>
      <c r="K43" s="37" t="s">
        <v>22</v>
      </c>
    </row>
    <row r="44" customHeight="1" spans="1:11">
      <c r="A44" s="102">
        <f t="shared" si="0"/>
        <v>34</v>
      </c>
      <c r="B44" s="107"/>
      <c r="C44" s="148"/>
      <c r="D44" s="148" t="s">
        <v>555</v>
      </c>
      <c r="E44" s="108" t="s">
        <v>556</v>
      </c>
      <c r="F44" s="109" t="s">
        <v>557</v>
      </c>
      <c r="G44" s="39" t="s">
        <v>558</v>
      </c>
      <c r="H44" s="39" t="s">
        <v>24</v>
      </c>
      <c r="I44" s="39"/>
      <c r="J44" s="37" t="s">
        <v>349</v>
      </c>
      <c r="K44" s="37" t="s">
        <v>22</v>
      </c>
    </row>
    <row r="45" customHeight="1" spans="1:11">
      <c r="A45" s="102">
        <f t="shared" si="0"/>
        <v>35</v>
      </c>
      <c r="B45" s="107" t="s">
        <v>21</v>
      </c>
      <c r="C45" s="148"/>
      <c r="D45" s="148" t="s">
        <v>559</v>
      </c>
      <c r="E45" s="108" t="s">
        <v>560</v>
      </c>
      <c r="F45" s="109" t="s">
        <v>561</v>
      </c>
      <c r="G45" s="39" t="s">
        <v>562</v>
      </c>
      <c r="H45" s="39" t="s">
        <v>24</v>
      </c>
      <c r="I45" s="39" t="s">
        <v>795</v>
      </c>
      <c r="J45" s="37" t="s">
        <v>584</v>
      </c>
      <c r="K45" s="37" t="s">
        <v>22</v>
      </c>
    </row>
    <row r="46" customHeight="1" spans="1:11">
      <c r="A46" s="102">
        <f t="shared" si="0"/>
        <v>36</v>
      </c>
      <c r="B46" s="107"/>
      <c r="C46" s="148"/>
      <c r="D46" s="148" t="s">
        <v>565</v>
      </c>
      <c r="E46" s="108" t="s">
        <v>566</v>
      </c>
      <c r="F46" s="109" t="s">
        <v>567</v>
      </c>
      <c r="G46" s="51" t="s">
        <v>568</v>
      </c>
      <c r="H46" s="51" t="s">
        <v>24</v>
      </c>
      <c r="I46" s="39" t="s">
        <v>796</v>
      </c>
      <c r="J46" s="37" t="s">
        <v>797</v>
      </c>
      <c r="K46" s="37" t="s">
        <v>22</v>
      </c>
    </row>
    <row r="47" customHeight="1" spans="1:9">
      <c r="A47" s="102">
        <f t="shared" si="0"/>
        <v>37</v>
      </c>
      <c r="B47" s="107"/>
      <c r="C47" s="148"/>
      <c r="D47" s="148" t="s">
        <v>571</v>
      </c>
      <c r="E47" s="108" t="s">
        <v>572</v>
      </c>
      <c r="F47" s="109" t="s">
        <v>573</v>
      </c>
      <c r="G47" s="51"/>
      <c r="H47" s="51" t="s">
        <v>219</v>
      </c>
      <c r="I47" s="39"/>
    </row>
    <row r="48" customHeight="1" spans="1:9">
      <c r="A48" s="102">
        <f t="shared" si="0"/>
        <v>38</v>
      </c>
      <c r="B48" s="107"/>
      <c r="C48" s="148"/>
      <c r="D48" s="148" t="s">
        <v>574</v>
      </c>
      <c r="E48" s="108" t="s">
        <v>575</v>
      </c>
      <c r="F48" s="109" t="s">
        <v>576</v>
      </c>
      <c r="G48" s="51"/>
      <c r="H48" s="51" t="s">
        <v>219</v>
      </c>
      <c r="I48" s="39"/>
    </row>
    <row r="49" customHeight="1" spans="1:9">
      <c r="A49" s="102">
        <f t="shared" si="0"/>
        <v>39</v>
      </c>
      <c r="B49" s="107"/>
      <c r="C49" s="148"/>
      <c r="D49" s="148" t="s">
        <v>577</v>
      </c>
      <c r="E49" s="108" t="s">
        <v>578</v>
      </c>
      <c r="F49" s="109" t="s">
        <v>579</v>
      </c>
      <c r="G49" s="51"/>
      <c r="H49" s="51" t="s">
        <v>411</v>
      </c>
      <c r="I49" s="39"/>
    </row>
    <row r="50" customHeight="1" spans="1:11">
      <c r="A50" s="102">
        <f t="shared" si="0"/>
        <v>40</v>
      </c>
      <c r="B50" s="107"/>
      <c r="C50" s="148"/>
      <c r="D50" s="148" t="s">
        <v>580</v>
      </c>
      <c r="E50" s="108" t="s">
        <v>581</v>
      </c>
      <c r="F50" s="109" t="s">
        <v>582</v>
      </c>
      <c r="G50" s="51" t="s">
        <v>583</v>
      </c>
      <c r="H50" s="51" t="s">
        <v>24</v>
      </c>
      <c r="I50" s="39" t="s">
        <v>795</v>
      </c>
      <c r="J50" s="37" t="s">
        <v>584</v>
      </c>
      <c r="K50" s="37" t="s">
        <v>22</v>
      </c>
    </row>
    <row r="51" customHeight="1" spans="1:11">
      <c r="A51" s="102">
        <f t="shared" si="0"/>
        <v>41</v>
      </c>
      <c r="B51" s="107"/>
      <c r="C51" s="148"/>
      <c r="D51" s="148" t="s">
        <v>585</v>
      </c>
      <c r="E51" s="108" t="s">
        <v>586</v>
      </c>
      <c r="F51" s="109" t="s">
        <v>587</v>
      </c>
      <c r="G51" s="51" t="s">
        <v>588</v>
      </c>
      <c r="H51" s="51" t="s">
        <v>24</v>
      </c>
      <c r="I51" s="39" t="s">
        <v>796</v>
      </c>
      <c r="J51" s="37" t="s">
        <v>797</v>
      </c>
      <c r="K51" s="37" t="s">
        <v>22</v>
      </c>
    </row>
    <row r="52" customHeight="1" spans="1:9">
      <c r="A52" s="102">
        <f t="shared" si="0"/>
        <v>42</v>
      </c>
      <c r="B52" s="107"/>
      <c r="C52" s="148"/>
      <c r="D52" s="148" t="s">
        <v>589</v>
      </c>
      <c r="E52" s="108" t="s">
        <v>590</v>
      </c>
      <c r="F52" s="109" t="s">
        <v>591</v>
      </c>
      <c r="G52" s="51"/>
      <c r="H52" s="51" t="s">
        <v>219</v>
      </c>
      <c r="I52" s="39"/>
    </row>
    <row r="53" customHeight="1" spans="1:9">
      <c r="A53" s="102">
        <f t="shared" si="0"/>
        <v>43</v>
      </c>
      <c r="B53" s="107"/>
      <c r="C53" s="148"/>
      <c r="D53" s="148" t="s">
        <v>592</v>
      </c>
      <c r="E53" s="108" t="s">
        <v>593</v>
      </c>
      <c r="F53" s="109" t="s">
        <v>594</v>
      </c>
      <c r="G53" s="51"/>
      <c r="H53" s="51" t="s">
        <v>219</v>
      </c>
      <c r="I53" s="39"/>
    </row>
    <row r="54" customHeight="1" spans="1:9">
      <c r="A54" s="102">
        <f t="shared" si="0"/>
        <v>44</v>
      </c>
      <c r="B54" s="107"/>
      <c r="C54" s="148"/>
      <c r="D54" s="148" t="s">
        <v>595</v>
      </c>
      <c r="E54" s="108" t="s">
        <v>596</v>
      </c>
      <c r="F54" s="109" t="s">
        <v>597</v>
      </c>
      <c r="G54" s="51"/>
      <c r="H54" s="51" t="s">
        <v>411</v>
      </c>
      <c r="I54" s="39"/>
    </row>
    <row r="55" customHeight="1" spans="1:11">
      <c r="A55" s="102">
        <f t="shared" si="0"/>
        <v>45</v>
      </c>
      <c r="B55" s="107" t="s">
        <v>21</v>
      </c>
      <c r="C55" s="148"/>
      <c r="D55" s="148" t="s">
        <v>598</v>
      </c>
      <c r="E55" s="108" t="s">
        <v>599</v>
      </c>
      <c r="F55" s="109" t="s">
        <v>600</v>
      </c>
      <c r="G55" s="39" t="s">
        <v>601</v>
      </c>
      <c r="H55" s="39" t="s">
        <v>27</v>
      </c>
      <c r="I55" s="39" t="s">
        <v>798</v>
      </c>
      <c r="J55" s="37" t="s">
        <v>799</v>
      </c>
      <c r="K55" s="37" t="s">
        <v>22</v>
      </c>
    </row>
    <row r="56" customHeight="1" spans="1:9">
      <c r="A56" s="102">
        <f t="shared" si="0"/>
        <v>46</v>
      </c>
      <c r="B56" s="107"/>
      <c r="C56" s="148"/>
      <c r="D56" s="148" t="s">
        <v>604</v>
      </c>
      <c r="E56" s="108" t="s">
        <v>605</v>
      </c>
      <c r="F56" s="109" t="s">
        <v>606</v>
      </c>
      <c r="G56" s="51"/>
      <c r="H56" s="51" t="s">
        <v>411</v>
      </c>
      <c r="I56" s="39"/>
    </row>
    <row r="57" customHeight="1" spans="1:9">
      <c r="A57" s="102">
        <f t="shared" si="0"/>
        <v>47</v>
      </c>
      <c r="B57" s="107"/>
      <c r="C57" s="148"/>
      <c r="D57" s="148" t="s">
        <v>607</v>
      </c>
      <c r="E57" s="108" t="s">
        <v>608</v>
      </c>
      <c r="F57" s="109" t="s">
        <v>609</v>
      </c>
      <c r="G57" s="51"/>
      <c r="H57" s="51" t="s">
        <v>411</v>
      </c>
      <c r="I57" s="39"/>
    </row>
    <row r="58" customHeight="1" spans="1:12">
      <c r="A58" s="102">
        <f t="shared" si="0"/>
        <v>48</v>
      </c>
      <c r="B58" s="107"/>
      <c r="C58" s="148"/>
      <c r="D58" s="148" t="s">
        <v>610</v>
      </c>
      <c r="E58" s="108" t="s">
        <v>611</v>
      </c>
      <c r="F58" s="109" t="s">
        <v>612</v>
      </c>
      <c r="G58" s="39" t="s">
        <v>613</v>
      </c>
      <c r="H58" s="39" t="s">
        <v>27</v>
      </c>
      <c r="I58" s="39" t="s">
        <v>614</v>
      </c>
      <c r="J58" s="37" t="s">
        <v>4</v>
      </c>
      <c r="K58" s="37" t="s">
        <v>26</v>
      </c>
      <c r="L58" s="37" t="s">
        <v>612</v>
      </c>
    </row>
    <row r="59" customHeight="1" spans="1:9">
      <c r="A59" s="102">
        <f t="shared" si="0"/>
        <v>49</v>
      </c>
      <c r="B59" s="107"/>
      <c r="C59" s="148"/>
      <c r="D59" s="148" t="s">
        <v>615</v>
      </c>
      <c r="E59" s="108" t="s">
        <v>616</v>
      </c>
      <c r="F59" s="109" t="s">
        <v>617</v>
      </c>
      <c r="G59" s="51"/>
      <c r="H59" s="51" t="s">
        <v>411</v>
      </c>
      <c r="I59" s="39"/>
    </row>
    <row r="60" customHeight="1" spans="1:12">
      <c r="A60" s="102">
        <f t="shared" si="0"/>
        <v>50</v>
      </c>
      <c r="B60" s="107"/>
      <c r="C60" s="109"/>
      <c r="D60" s="109" t="s">
        <v>618</v>
      </c>
      <c r="E60" s="108" t="s">
        <v>619</v>
      </c>
      <c r="F60" s="109" t="s">
        <v>620</v>
      </c>
      <c r="G60" s="155" t="s">
        <v>621</v>
      </c>
      <c r="H60" s="51" t="s">
        <v>27</v>
      </c>
      <c r="I60" s="39" t="s">
        <v>622</v>
      </c>
      <c r="J60" s="37" t="s">
        <v>4</v>
      </c>
      <c r="K60" s="37" t="s">
        <v>26</v>
      </c>
      <c r="L60" s="37" t="s">
        <v>620</v>
      </c>
    </row>
    <row r="61" customHeight="1" spans="1:9">
      <c r="A61" s="102">
        <f t="shared" si="0"/>
        <v>51</v>
      </c>
      <c r="B61" s="107" t="s">
        <v>21</v>
      </c>
      <c r="C61" s="109"/>
      <c r="D61" s="109" t="s">
        <v>623</v>
      </c>
      <c r="E61" s="108" t="s">
        <v>624</v>
      </c>
      <c r="F61" s="109" t="s">
        <v>625</v>
      </c>
      <c r="G61" s="154" t="s">
        <v>626</v>
      </c>
      <c r="H61" s="39" t="s">
        <v>42</v>
      </c>
      <c r="I61" s="39"/>
    </row>
    <row r="62" customHeight="1" spans="1:9">
      <c r="A62" s="102">
        <f t="shared" si="0"/>
        <v>52</v>
      </c>
      <c r="B62" s="107" t="s">
        <v>21</v>
      </c>
      <c r="C62" s="148"/>
      <c r="D62" s="148" t="s">
        <v>627</v>
      </c>
      <c r="E62" s="108" t="s">
        <v>628</v>
      </c>
      <c r="F62" s="109" t="s">
        <v>629</v>
      </c>
      <c r="G62" s="154" t="s">
        <v>630</v>
      </c>
      <c r="H62" s="39" t="s">
        <v>42</v>
      </c>
      <c r="I62" s="39"/>
    </row>
    <row r="63" customHeight="1" spans="1:12">
      <c r="A63" s="102">
        <f t="shared" si="0"/>
        <v>53</v>
      </c>
      <c r="B63" s="107"/>
      <c r="C63" s="109"/>
      <c r="D63" s="109" t="s">
        <v>631</v>
      </c>
      <c r="E63" s="108" t="s">
        <v>632</v>
      </c>
      <c r="F63" s="109" t="s">
        <v>633</v>
      </c>
      <c r="G63" s="39" t="s">
        <v>634</v>
      </c>
      <c r="H63" s="39" t="s">
        <v>27</v>
      </c>
      <c r="I63" s="39" t="s">
        <v>635</v>
      </c>
      <c r="J63" s="37" t="s">
        <v>4</v>
      </c>
      <c r="K63" s="37" t="s">
        <v>26</v>
      </c>
      <c r="L63" s="37" t="s">
        <v>633</v>
      </c>
    </row>
    <row r="64" customHeight="1" spans="1:12">
      <c r="A64" s="102">
        <f t="shared" si="0"/>
        <v>54</v>
      </c>
      <c r="B64" s="107"/>
      <c r="C64" s="109"/>
      <c r="D64" s="109" t="s">
        <v>636</v>
      </c>
      <c r="E64" s="108" t="s">
        <v>637</v>
      </c>
      <c r="F64" s="109" t="s">
        <v>638</v>
      </c>
      <c r="G64" s="39" t="s">
        <v>634</v>
      </c>
      <c r="H64" s="39" t="s">
        <v>27</v>
      </c>
      <c r="I64" s="39" t="s">
        <v>639</v>
      </c>
      <c r="J64" s="37" t="s">
        <v>4</v>
      </c>
      <c r="K64" s="37" t="s">
        <v>26</v>
      </c>
      <c r="L64" s="37" t="s">
        <v>638</v>
      </c>
    </row>
    <row r="65" customHeight="1" spans="1:12">
      <c r="A65" s="102">
        <f t="shared" si="0"/>
        <v>55</v>
      </c>
      <c r="B65" s="106"/>
      <c r="C65" s="30"/>
      <c r="D65" s="30" t="s">
        <v>640</v>
      </c>
      <c r="E65" s="35" t="s">
        <v>641</v>
      </c>
      <c r="F65" s="30" t="s">
        <v>642</v>
      </c>
      <c r="G65" s="39" t="s">
        <v>634</v>
      </c>
      <c r="H65" s="39" t="s">
        <v>27</v>
      </c>
      <c r="I65" s="39" t="s">
        <v>643</v>
      </c>
      <c r="J65" s="37" t="s">
        <v>4</v>
      </c>
      <c r="K65" s="37" t="s">
        <v>26</v>
      </c>
      <c r="L65" s="37" t="s">
        <v>642</v>
      </c>
    </row>
    <row r="66" customHeight="1" spans="1:9">
      <c r="A66" s="102">
        <f t="shared" si="0"/>
        <v>56</v>
      </c>
      <c r="B66" s="106" t="s">
        <v>21</v>
      </c>
      <c r="C66" s="30"/>
      <c r="D66" s="30" t="s">
        <v>244</v>
      </c>
      <c r="E66" s="35" t="s">
        <v>644</v>
      </c>
      <c r="F66" s="30" t="s">
        <v>245</v>
      </c>
      <c r="G66" s="39"/>
      <c r="H66" s="39" t="s">
        <v>219</v>
      </c>
      <c r="I66" s="39"/>
    </row>
    <row r="67" customHeight="1" spans="1:9">
      <c r="A67" s="102">
        <f t="shared" ref="A67:A69" si="2">ROW(A67)-10</f>
        <v>57</v>
      </c>
      <c r="B67" s="106" t="s">
        <v>21</v>
      </c>
      <c r="C67" s="30"/>
      <c r="D67" s="30" t="s">
        <v>645</v>
      </c>
      <c r="E67" s="35" t="s">
        <v>646</v>
      </c>
      <c r="F67" s="30" t="s">
        <v>647</v>
      </c>
      <c r="G67" s="39" t="s">
        <v>648</v>
      </c>
      <c r="H67" s="39" t="s">
        <v>42</v>
      </c>
      <c r="I67" s="39"/>
    </row>
    <row r="68" customHeight="1" spans="1:9">
      <c r="A68" s="102">
        <f t="shared" si="2"/>
        <v>58</v>
      </c>
      <c r="B68" s="106" t="s">
        <v>21</v>
      </c>
      <c r="C68" s="30"/>
      <c r="D68" s="30" t="s">
        <v>378</v>
      </c>
      <c r="E68" s="35" t="s">
        <v>378</v>
      </c>
      <c r="F68" s="30" t="s">
        <v>379</v>
      </c>
      <c r="G68" s="39"/>
      <c r="H68" s="39" t="s">
        <v>27</v>
      </c>
      <c r="I68" s="39"/>
    </row>
    <row r="69" customHeight="1" spans="1:13">
      <c r="A69" s="102">
        <f t="shared" si="2"/>
        <v>59</v>
      </c>
      <c r="B69" s="106" t="s">
        <v>21</v>
      </c>
      <c r="C69" s="30"/>
      <c r="D69" s="30" t="s">
        <v>382</v>
      </c>
      <c r="E69" s="35" t="s">
        <v>382</v>
      </c>
      <c r="F69" s="30" t="s">
        <v>383</v>
      </c>
      <c r="G69" s="39"/>
      <c r="H69" s="39" t="s">
        <v>27</v>
      </c>
      <c r="I69" s="39"/>
      <c r="J69" s="132"/>
      <c r="K69" s="132"/>
      <c r="L69" s="132"/>
      <c r="M69" s="132"/>
    </row>
    <row r="70" s="132" customFormat="1" customHeight="1" spans="1:9">
      <c r="A70" s="133">
        <f t="shared" ref="A70:A107" si="3">ROW(A70)-10</f>
        <v>60</v>
      </c>
      <c r="B70" s="134"/>
      <c r="C70" s="86" t="s">
        <v>224</v>
      </c>
      <c r="D70" s="86" t="s">
        <v>240</v>
      </c>
      <c r="E70" s="35" t="s">
        <v>240</v>
      </c>
      <c r="F70" s="36" t="s">
        <v>38</v>
      </c>
      <c r="G70" s="40" t="s">
        <v>649</v>
      </c>
      <c r="H70" s="40" t="s">
        <v>243</v>
      </c>
      <c r="I70" s="40"/>
    </row>
    <row r="71" customHeight="1" spans="1:9">
      <c r="A71" s="133">
        <f t="shared" si="3"/>
        <v>61</v>
      </c>
      <c r="B71" s="133"/>
      <c r="C71" s="133"/>
      <c r="D71" s="133" t="s">
        <v>650</v>
      </c>
      <c r="E71" s="133" t="s">
        <v>650</v>
      </c>
      <c r="F71" s="133" t="s">
        <v>137</v>
      </c>
      <c r="G71" s="133"/>
      <c r="H71" s="133" t="s">
        <v>24</v>
      </c>
      <c r="I71" s="40"/>
    </row>
    <row r="72" customHeight="1" spans="1:9">
      <c r="A72" s="133">
        <f t="shared" si="3"/>
        <v>62</v>
      </c>
      <c r="B72" s="133"/>
      <c r="C72" s="133"/>
      <c r="D72" s="133" t="s">
        <v>651</v>
      </c>
      <c r="E72" s="133" t="s">
        <v>651</v>
      </c>
      <c r="F72" s="133" t="s">
        <v>652</v>
      </c>
      <c r="G72" s="133"/>
      <c r="H72" s="133" t="s">
        <v>42</v>
      </c>
      <c r="I72" s="40"/>
    </row>
    <row r="73" customHeight="1" spans="1:9">
      <c r="A73" s="133">
        <f t="shared" si="3"/>
        <v>63</v>
      </c>
      <c r="B73" s="133"/>
      <c r="C73" s="133"/>
      <c r="D73" s="133" t="s">
        <v>653</v>
      </c>
      <c r="E73" s="133" t="s">
        <v>653</v>
      </c>
      <c r="F73" s="133" t="s">
        <v>654</v>
      </c>
      <c r="G73" s="133"/>
      <c r="H73" s="133" t="s">
        <v>655</v>
      </c>
      <c r="I73" s="40"/>
    </row>
    <row r="74" customHeight="1" spans="1:9">
      <c r="A74" s="133">
        <f t="shared" si="3"/>
        <v>64</v>
      </c>
      <c r="B74" s="133"/>
      <c r="C74" s="133"/>
      <c r="D74" s="133" t="s">
        <v>656</v>
      </c>
      <c r="E74" s="133" t="s">
        <v>656</v>
      </c>
      <c r="F74" s="133" t="s">
        <v>657</v>
      </c>
      <c r="G74" s="133"/>
      <c r="H74" s="133" t="s">
        <v>24</v>
      </c>
      <c r="I74" s="40"/>
    </row>
    <row r="75" customHeight="1" spans="1:9">
      <c r="A75" s="133">
        <f t="shared" si="3"/>
        <v>65</v>
      </c>
      <c r="B75" s="133"/>
      <c r="C75" s="133"/>
      <c r="D75" s="133" t="s">
        <v>658</v>
      </c>
      <c r="E75" s="133" t="s">
        <v>658</v>
      </c>
      <c r="F75" s="133" t="s">
        <v>659</v>
      </c>
      <c r="G75" s="133"/>
      <c r="H75" s="133" t="s">
        <v>347</v>
      </c>
      <c r="I75" s="40"/>
    </row>
    <row r="76" customHeight="1" spans="1:9">
      <c r="A76" s="133">
        <f t="shared" si="3"/>
        <v>66</v>
      </c>
      <c r="B76" s="133"/>
      <c r="C76" s="133"/>
      <c r="D76" s="133" t="s">
        <v>660</v>
      </c>
      <c r="E76" s="133" t="s">
        <v>660</v>
      </c>
      <c r="F76" s="133" t="s">
        <v>661</v>
      </c>
      <c r="G76" s="133"/>
      <c r="H76" s="133" t="s">
        <v>42</v>
      </c>
      <c r="I76" s="40"/>
    </row>
    <row r="77" customHeight="1" spans="1:9">
      <c r="A77" s="133">
        <f t="shared" si="3"/>
        <v>67</v>
      </c>
      <c r="B77" s="133"/>
      <c r="C77" s="133"/>
      <c r="D77" s="133" t="s">
        <v>662</v>
      </c>
      <c r="E77" s="133" t="s">
        <v>662</v>
      </c>
      <c r="F77" s="133" t="s">
        <v>663</v>
      </c>
      <c r="G77" s="133"/>
      <c r="H77" s="133" t="s">
        <v>219</v>
      </c>
      <c r="I77" s="40"/>
    </row>
    <row r="78" customHeight="1" spans="1:9">
      <c r="A78" s="133">
        <f t="shared" si="3"/>
        <v>68</v>
      </c>
      <c r="B78" s="133"/>
      <c r="C78" s="133"/>
      <c r="D78" s="133" t="s">
        <v>664</v>
      </c>
      <c r="E78" s="133" t="s">
        <v>664</v>
      </c>
      <c r="F78" s="133" t="s">
        <v>665</v>
      </c>
      <c r="G78" s="133"/>
      <c r="H78" s="133" t="s">
        <v>42</v>
      </c>
      <c r="I78" s="40"/>
    </row>
    <row r="79" customHeight="1" spans="1:9">
      <c r="A79" s="133">
        <f t="shared" si="3"/>
        <v>69</v>
      </c>
      <c r="B79" s="133"/>
      <c r="C79" s="133"/>
      <c r="D79" s="133" t="s">
        <v>666</v>
      </c>
      <c r="E79" s="133" t="s">
        <v>666</v>
      </c>
      <c r="F79" s="133" t="s">
        <v>667</v>
      </c>
      <c r="G79" s="133"/>
      <c r="H79" s="133" t="s">
        <v>42</v>
      </c>
      <c r="I79" s="40"/>
    </row>
    <row r="80" customHeight="1" spans="1:9">
      <c r="A80" s="133">
        <f t="shared" si="3"/>
        <v>70</v>
      </c>
      <c r="B80" s="133"/>
      <c r="C80" s="133"/>
      <c r="D80" s="133" t="s">
        <v>668</v>
      </c>
      <c r="E80" s="133" t="s">
        <v>668</v>
      </c>
      <c r="F80" s="133" t="s">
        <v>669</v>
      </c>
      <c r="G80" s="133"/>
      <c r="H80" s="133" t="s">
        <v>42</v>
      </c>
      <c r="I80" s="40"/>
    </row>
    <row r="81" customHeight="1" spans="1:9">
      <c r="A81" s="133">
        <f t="shared" si="3"/>
        <v>71</v>
      </c>
      <c r="B81" s="133"/>
      <c r="C81" s="133"/>
      <c r="D81" s="133" t="s">
        <v>670</v>
      </c>
      <c r="E81" s="133" t="s">
        <v>670</v>
      </c>
      <c r="F81" s="133" t="s">
        <v>671</v>
      </c>
      <c r="G81" s="133"/>
      <c r="H81" s="133" t="s">
        <v>42</v>
      </c>
      <c r="I81" s="40"/>
    </row>
    <row r="82" customHeight="1" spans="1:9">
      <c r="A82" s="133">
        <f t="shared" si="3"/>
        <v>72</v>
      </c>
      <c r="B82" s="133"/>
      <c r="C82" s="133"/>
      <c r="D82" s="133" t="s">
        <v>672</v>
      </c>
      <c r="E82" s="133" t="s">
        <v>672</v>
      </c>
      <c r="F82" s="133" t="s">
        <v>673</v>
      </c>
      <c r="G82" s="133"/>
      <c r="H82" s="133" t="s">
        <v>27</v>
      </c>
      <c r="I82" s="40"/>
    </row>
    <row r="83" customHeight="1" spans="1:9">
      <c r="A83" s="133">
        <f t="shared" si="3"/>
        <v>73</v>
      </c>
      <c r="B83" s="133"/>
      <c r="C83" s="133"/>
      <c r="D83" s="133" t="s">
        <v>674</v>
      </c>
      <c r="E83" s="133" t="s">
        <v>674</v>
      </c>
      <c r="F83" s="133" t="s">
        <v>675</v>
      </c>
      <c r="G83" s="133"/>
      <c r="H83" s="133" t="s">
        <v>27</v>
      </c>
      <c r="I83" s="40"/>
    </row>
    <row r="84" customHeight="1" spans="1:9">
      <c r="A84" s="133">
        <f t="shared" si="3"/>
        <v>74</v>
      </c>
      <c r="B84" s="133"/>
      <c r="C84" s="133"/>
      <c r="D84" s="133" t="s">
        <v>676</v>
      </c>
      <c r="E84" s="133" t="s">
        <v>676</v>
      </c>
      <c r="F84" s="133" t="s">
        <v>677</v>
      </c>
      <c r="G84" s="133"/>
      <c r="H84" s="133" t="s">
        <v>27</v>
      </c>
      <c r="I84" s="40"/>
    </row>
    <row r="85" customHeight="1" spans="1:9">
      <c r="A85" s="133">
        <f t="shared" si="3"/>
        <v>75</v>
      </c>
      <c r="B85" s="133"/>
      <c r="C85" s="133"/>
      <c r="D85" s="133" t="s">
        <v>678</v>
      </c>
      <c r="E85" s="133" t="s">
        <v>678</v>
      </c>
      <c r="F85" s="133" t="s">
        <v>679</v>
      </c>
      <c r="G85" s="133"/>
      <c r="H85" s="133" t="s">
        <v>42</v>
      </c>
      <c r="I85" s="40"/>
    </row>
    <row r="86" customHeight="1" spans="1:9">
      <c r="A86" s="133">
        <f t="shared" si="3"/>
        <v>76</v>
      </c>
      <c r="B86" s="133"/>
      <c r="C86" s="133"/>
      <c r="D86" s="133" t="s">
        <v>680</v>
      </c>
      <c r="E86" s="133" t="s">
        <v>680</v>
      </c>
      <c r="F86" s="133" t="s">
        <v>681</v>
      </c>
      <c r="G86" s="133"/>
      <c r="H86" s="133" t="s">
        <v>219</v>
      </c>
      <c r="I86" s="40"/>
    </row>
    <row r="87" customHeight="1" spans="1:9">
      <c r="A87" s="133">
        <f t="shared" si="3"/>
        <v>77</v>
      </c>
      <c r="B87" s="133"/>
      <c r="C87" s="133"/>
      <c r="D87" s="133" t="s">
        <v>682</v>
      </c>
      <c r="E87" s="133" t="s">
        <v>682</v>
      </c>
      <c r="F87" s="133" t="s">
        <v>683</v>
      </c>
      <c r="G87" s="133"/>
      <c r="H87" s="133" t="s">
        <v>219</v>
      </c>
      <c r="I87" s="40"/>
    </row>
    <row r="88" customHeight="1" spans="1:9">
      <c r="A88" s="133">
        <f t="shared" si="3"/>
        <v>78</v>
      </c>
      <c r="B88" s="133"/>
      <c r="C88" s="133"/>
      <c r="D88" s="133" t="s">
        <v>684</v>
      </c>
      <c r="E88" s="133" t="s">
        <v>684</v>
      </c>
      <c r="F88" s="133" t="s">
        <v>685</v>
      </c>
      <c r="G88" s="133"/>
      <c r="H88" s="133" t="s">
        <v>411</v>
      </c>
      <c r="I88" s="40"/>
    </row>
    <row r="89" customHeight="1" spans="1:9">
      <c r="A89" s="133">
        <f t="shared" si="3"/>
        <v>79</v>
      </c>
      <c r="B89" s="133"/>
      <c r="C89" s="133"/>
      <c r="D89" s="133" t="s">
        <v>686</v>
      </c>
      <c r="E89" s="133" t="s">
        <v>686</v>
      </c>
      <c r="F89" s="133" t="s">
        <v>687</v>
      </c>
      <c r="G89" s="133"/>
      <c r="H89" s="133" t="s">
        <v>27</v>
      </c>
      <c r="I89" s="40"/>
    </row>
    <row r="90" customHeight="1" spans="1:9">
      <c r="A90" s="133">
        <f t="shared" si="3"/>
        <v>80</v>
      </c>
      <c r="B90" s="133"/>
      <c r="C90" s="133"/>
      <c r="D90" s="133" t="s">
        <v>688</v>
      </c>
      <c r="E90" s="133" t="s">
        <v>688</v>
      </c>
      <c r="F90" s="133" t="s">
        <v>689</v>
      </c>
      <c r="G90" s="133"/>
      <c r="H90" s="133" t="s">
        <v>27</v>
      </c>
      <c r="I90" s="40"/>
    </row>
    <row r="91" customHeight="1" spans="1:9">
      <c r="A91" s="133">
        <f t="shared" si="3"/>
        <v>81</v>
      </c>
      <c r="B91" s="133"/>
      <c r="C91" s="133"/>
      <c r="D91" s="133" t="s">
        <v>690</v>
      </c>
      <c r="E91" s="133" t="s">
        <v>690</v>
      </c>
      <c r="F91" s="133" t="s">
        <v>691</v>
      </c>
      <c r="G91" s="133"/>
      <c r="H91" s="133" t="s">
        <v>27</v>
      </c>
      <c r="I91" s="40"/>
    </row>
    <row r="92" customHeight="1" spans="1:9">
      <c r="A92" s="133">
        <f t="shared" si="3"/>
        <v>82</v>
      </c>
      <c r="B92" s="133"/>
      <c r="C92" s="133"/>
      <c r="D92" s="133" t="s">
        <v>692</v>
      </c>
      <c r="E92" s="133" t="s">
        <v>692</v>
      </c>
      <c r="F92" s="133" t="s">
        <v>693</v>
      </c>
      <c r="G92" s="133"/>
      <c r="H92" s="133" t="s">
        <v>53</v>
      </c>
      <c r="I92" s="40"/>
    </row>
    <row r="93" customHeight="1" spans="1:9">
      <c r="A93" s="133">
        <f t="shared" si="3"/>
        <v>83</v>
      </c>
      <c r="B93" s="133"/>
      <c r="C93" s="133"/>
      <c r="D93" s="133" t="s">
        <v>694</v>
      </c>
      <c r="E93" s="133" t="s">
        <v>694</v>
      </c>
      <c r="F93" s="133" t="s">
        <v>695</v>
      </c>
      <c r="G93" s="133"/>
      <c r="H93" s="133" t="s">
        <v>27</v>
      </c>
      <c r="I93" s="40"/>
    </row>
    <row r="94" customHeight="1" spans="1:9">
      <c r="A94" s="133">
        <f t="shared" si="3"/>
        <v>84</v>
      </c>
      <c r="B94" s="133"/>
      <c r="C94" s="133"/>
      <c r="D94" s="133" t="s">
        <v>696</v>
      </c>
      <c r="E94" s="133" t="s">
        <v>696</v>
      </c>
      <c r="F94" s="133" t="s">
        <v>697</v>
      </c>
      <c r="G94" s="133"/>
      <c r="H94" s="133" t="s">
        <v>24</v>
      </c>
      <c r="I94" s="40"/>
    </row>
    <row r="95" customHeight="1" spans="1:9">
      <c r="A95" s="133">
        <f t="shared" si="3"/>
        <v>85</v>
      </c>
      <c r="B95" s="133"/>
      <c r="C95" s="133"/>
      <c r="D95" s="133" t="s">
        <v>698</v>
      </c>
      <c r="E95" s="133" t="s">
        <v>698</v>
      </c>
      <c r="F95" s="133" t="s">
        <v>699</v>
      </c>
      <c r="G95" s="133"/>
      <c r="H95" s="133" t="s">
        <v>53</v>
      </c>
      <c r="I95" s="40"/>
    </row>
    <row r="96" customHeight="1" spans="1:9">
      <c r="A96" s="133">
        <f t="shared" si="3"/>
        <v>86</v>
      </c>
      <c r="B96" s="133"/>
      <c r="C96" s="133"/>
      <c r="D96" s="133" t="s">
        <v>700</v>
      </c>
      <c r="E96" s="133" t="s">
        <v>700</v>
      </c>
      <c r="F96" s="133" t="s">
        <v>701</v>
      </c>
      <c r="G96" s="133"/>
      <c r="H96" s="133" t="s">
        <v>27</v>
      </c>
      <c r="I96" s="40"/>
    </row>
    <row r="97" customHeight="1" spans="1:9">
      <c r="A97" s="133">
        <f t="shared" si="3"/>
        <v>87</v>
      </c>
      <c r="B97" s="133"/>
      <c r="C97" s="133"/>
      <c r="D97" s="133" t="s">
        <v>702</v>
      </c>
      <c r="E97" s="133" t="s">
        <v>702</v>
      </c>
      <c r="F97" s="133" t="s">
        <v>703</v>
      </c>
      <c r="G97" s="133"/>
      <c r="H97" s="133" t="s">
        <v>27</v>
      </c>
      <c r="I97" s="40"/>
    </row>
    <row r="98" customHeight="1" spans="1:9">
      <c r="A98" s="133">
        <f t="shared" si="3"/>
        <v>88</v>
      </c>
      <c r="B98" s="133"/>
      <c r="C98" s="133"/>
      <c r="D98" s="133" t="s">
        <v>704</v>
      </c>
      <c r="E98" s="133" t="s">
        <v>704</v>
      </c>
      <c r="F98" s="133" t="s">
        <v>705</v>
      </c>
      <c r="G98" s="133"/>
      <c r="H98" s="133" t="s">
        <v>42</v>
      </c>
      <c r="I98" s="40"/>
    </row>
    <row r="99" customHeight="1" spans="1:9">
      <c r="A99" s="133">
        <f t="shared" si="3"/>
        <v>89</v>
      </c>
      <c r="B99" s="133"/>
      <c r="C99" s="133"/>
      <c r="D99" s="133" t="s">
        <v>706</v>
      </c>
      <c r="E99" s="133" t="s">
        <v>706</v>
      </c>
      <c r="F99" s="133" t="s">
        <v>707</v>
      </c>
      <c r="G99" s="133"/>
      <c r="H99" s="133" t="s">
        <v>27</v>
      </c>
      <c r="I99" s="40"/>
    </row>
    <row r="100" customHeight="1" spans="1:9">
      <c r="A100" s="133">
        <f t="shared" si="3"/>
        <v>90</v>
      </c>
      <c r="B100" s="133"/>
      <c r="C100" s="133"/>
      <c r="D100" s="133" t="s">
        <v>708</v>
      </c>
      <c r="E100" s="133" t="s">
        <v>708</v>
      </c>
      <c r="F100" s="133" t="s">
        <v>709</v>
      </c>
      <c r="G100" s="133"/>
      <c r="H100" s="133" t="s">
        <v>27</v>
      </c>
      <c r="I100" s="40"/>
    </row>
    <row r="101" customHeight="1" spans="1:9">
      <c r="A101" s="133">
        <f t="shared" si="3"/>
        <v>91</v>
      </c>
      <c r="B101" s="133"/>
      <c r="C101" s="133"/>
      <c r="D101" s="133" t="s">
        <v>710</v>
      </c>
      <c r="E101" s="133" t="s">
        <v>710</v>
      </c>
      <c r="F101" s="133" t="s">
        <v>711</v>
      </c>
      <c r="G101" s="133"/>
      <c r="H101" s="133" t="s">
        <v>24</v>
      </c>
      <c r="I101" s="40"/>
    </row>
    <row r="102" customHeight="1" spans="1:9">
      <c r="A102" s="133">
        <f t="shared" si="3"/>
        <v>92</v>
      </c>
      <c r="B102" s="133"/>
      <c r="C102" s="133"/>
      <c r="D102" s="133" t="s">
        <v>712</v>
      </c>
      <c r="E102" s="133" t="s">
        <v>712</v>
      </c>
      <c r="F102" s="133" t="s">
        <v>713</v>
      </c>
      <c r="G102" s="133"/>
      <c r="H102" s="133" t="s">
        <v>411</v>
      </c>
      <c r="I102" s="40"/>
    </row>
    <row r="103" customHeight="1" spans="1:9">
      <c r="A103" s="133">
        <f t="shared" si="3"/>
        <v>93</v>
      </c>
      <c r="B103" s="133"/>
      <c r="C103" s="133"/>
      <c r="D103" s="133" t="s">
        <v>714</v>
      </c>
      <c r="E103" s="133" t="s">
        <v>714</v>
      </c>
      <c r="F103" s="133" t="s">
        <v>715</v>
      </c>
      <c r="G103" s="133"/>
      <c r="H103" s="133" t="s">
        <v>347</v>
      </c>
      <c r="I103" s="40"/>
    </row>
    <row r="104" customHeight="1" spans="1:9">
      <c r="A104" s="133">
        <f t="shared" si="3"/>
        <v>94</v>
      </c>
      <c r="B104" s="133"/>
      <c r="C104" s="133"/>
      <c r="D104" s="156" t="s">
        <v>716</v>
      </c>
      <c r="E104" s="133" t="s">
        <v>716</v>
      </c>
      <c r="F104" s="133" t="s">
        <v>717</v>
      </c>
      <c r="G104" s="133"/>
      <c r="H104" s="133" t="s">
        <v>411</v>
      </c>
      <c r="I104" s="40"/>
    </row>
    <row r="105" customHeight="1" spans="1:9">
      <c r="A105" s="133">
        <f t="shared" si="3"/>
        <v>95</v>
      </c>
      <c r="B105" s="133"/>
      <c r="C105" s="133"/>
      <c r="D105" s="156" t="s">
        <v>718</v>
      </c>
      <c r="E105" s="133" t="s">
        <v>718</v>
      </c>
      <c r="F105" s="133" t="s">
        <v>719</v>
      </c>
      <c r="G105" s="133"/>
      <c r="H105" s="133" t="s">
        <v>411</v>
      </c>
      <c r="I105" s="40"/>
    </row>
    <row r="106" customHeight="1" spans="1:9">
      <c r="A106" s="133">
        <f t="shared" si="3"/>
        <v>96</v>
      </c>
      <c r="B106" s="133"/>
      <c r="C106" s="133"/>
      <c r="D106" s="156" t="s">
        <v>720</v>
      </c>
      <c r="E106" s="133" t="s">
        <v>720</v>
      </c>
      <c r="F106" s="133" t="s">
        <v>721</v>
      </c>
      <c r="G106" s="133"/>
      <c r="H106" s="133" t="s">
        <v>411</v>
      </c>
      <c r="I106" s="40"/>
    </row>
    <row r="107" customHeight="1" spans="1:9">
      <c r="A107" s="133">
        <f t="shared" si="3"/>
        <v>97</v>
      </c>
      <c r="B107" s="133"/>
      <c r="C107" s="133"/>
      <c r="D107" s="156" t="s">
        <v>722</v>
      </c>
      <c r="E107" s="133" t="s">
        <v>722</v>
      </c>
      <c r="F107" s="133" t="s">
        <v>723</v>
      </c>
      <c r="G107" s="133"/>
      <c r="H107" s="133" t="s">
        <v>411</v>
      </c>
      <c r="I107" s="4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85" zoomScaleNormal="85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0.1666666666667" style="37" customWidth="1"/>
    <col min="9" max="9" width="19.9916666666667" style="37" customWidth="1"/>
    <col min="10" max="10" width="29.7" style="37" customWidth="1"/>
    <col min="11" max="11" width="13.075" style="37" customWidth="1"/>
    <col min="12" max="16384" width="10.8333333333333" style="37"/>
  </cols>
  <sheetData>
    <row r="1" customHeight="1" spans="1:9">
      <c r="A1" s="98" t="s">
        <v>0</v>
      </c>
      <c r="B1" s="28" t="s">
        <v>808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809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45"/>
      <c r="F5" s="146" t="s">
        <v>810</v>
      </c>
      <c r="G5" s="147"/>
      <c r="H5" s="147"/>
      <c r="I5" s="150"/>
    </row>
    <row r="6" customHeight="1" spans="1:9">
      <c r="A6" s="102">
        <v>3</v>
      </c>
      <c r="B6" s="102" t="s">
        <v>6</v>
      </c>
      <c r="C6" s="102"/>
      <c r="D6" s="102"/>
      <c r="E6" s="145"/>
      <c r="F6" s="146" t="s">
        <v>811</v>
      </c>
      <c r="G6" s="147"/>
      <c r="H6" s="147"/>
      <c r="I6" s="150"/>
    </row>
    <row r="7" customHeight="1" spans="1:9">
      <c r="A7" s="102">
        <v>4</v>
      </c>
      <c r="B7" s="102" t="s">
        <v>8</v>
      </c>
      <c r="C7" s="102"/>
      <c r="D7" s="102"/>
      <c r="E7" s="145"/>
      <c r="F7" s="146" t="s">
        <v>812</v>
      </c>
      <c r="G7" s="147"/>
      <c r="H7" s="147"/>
      <c r="I7" s="150"/>
    </row>
    <row r="8" customHeight="1" spans="1:9">
      <c r="A8" s="102">
        <v>5</v>
      </c>
      <c r="B8" s="102" t="s">
        <v>10</v>
      </c>
      <c r="C8" s="102"/>
      <c r="D8" s="102"/>
      <c r="E8" s="145"/>
      <c r="F8" s="146" t="s">
        <v>11</v>
      </c>
      <c r="G8" s="147"/>
      <c r="H8" s="147"/>
      <c r="I8" s="150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>ROW(A11)-10</f>
        <v>1</v>
      </c>
      <c r="B11" s="106" t="s">
        <v>21</v>
      </c>
      <c r="C11" s="102"/>
      <c r="D11" s="102" t="s">
        <v>22</v>
      </c>
      <c r="E11" s="105" t="s">
        <v>22</v>
      </c>
      <c r="F11" s="30" t="s">
        <v>22</v>
      </c>
      <c r="G11" s="51" t="s">
        <v>23</v>
      </c>
      <c r="H11" s="51" t="s">
        <v>24</v>
      </c>
      <c r="I11" s="39"/>
    </row>
    <row r="12" customHeight="1" spans="1:11">
      <c r="A12" s="102">
        <f t="shared" ref="A12:A16" si="0">ROW(A12)-10</f>
        <v>2</v>
      </c>
      <c r="B12" s="107" t="s">
        <v>21</v>
      </c>
      <c r="C12" s="148"/>
      <c r="D12" s="148" t="s">
        <v>813</v>
      </c>
      <c r="E12" s="149" t="s">
        <v>814</v>
      </c>
      <c r="F12" s="109" t="s">
        <v>304</v>
      </c>
      <c r="G12" s="39" t="s">
        <v>815</v>
      </c>
      <c r="H12" s="39" t="s">
        <v>24</v>
      </c>
      <c r="I12" s="39"/>
      <c r="J12" s="37" t="s">
        <v>307</v>
      </c>
      <c r="K12" s="37" t="s">
        <v>26</v>
      </c>
    </row>
    <row r="13" customHeight="1" spans="1:11">
      <c r="A13" s="102">
        <f t="shared" si="0"/>
        <v>3</v>
      </c>
      <c r="B13" s="107" t="s">
        <v>21</v>
      </c>
      <c r="C13" s="148"/>
      <c r="D13" s="148" t="s">
        <v>436</v>
      </c>
      <c r="E13" s="149" t="s">
        <v>731</v>
      </c>
      <c r="F13" s="109" t="s">
        <v>162</v>
      </c>
      <c r="G13" s="51"/>
      <c r="H13" s="51" t="s">
        <v>24</v>
      </c>
      <c r="I13" s="39"/>
      <c r="J13" s="37" t="s">
        <v>161</v>
      </c>
      <c r="K13" s="37" t="s">
        <v>162</v>
      </c>
    </row>
    <row r="14" customHeight="1" spans="1:9">
      <c r="A14" s="102">
        <f t="shared" si="0"/>
        <v>4</v>
      </c>
      <c r="B14" s="106" t="s">
        <v>21</v>
      </c>
      <c r="C14" s="36"/>
      <c r="D14" s="36" t="s">
        <v>816</v>
      </c>
      <c r="E14" s="35" t="s">
        <v>817</v>
      </c>
      <c r="F14" s="30" t="s">
        <v>818</v>
      </c>
      <c r="G14" s="39" t="s">
        <v>819</v>
      </c>
      <c r="H14" s="39" t="s">
        <v>42</v>
      </c>
      <c r="I14" s="39"/>
    </row>
    <row r="15" customHeight="1" spans="1:9">
      <c r="A15" s="102">
        <f t="shared" si="0"/>
        <v>5</v>
      </c>
      <c r="B15" s="106" t="s">
        <v>21</v>
      </c>
      <c r="C15" s="36"/>
      <c r="D15" s="36" t="s">
        <v>820</v>
      </c>
      <c r="E15" s="35" t="s">
        <v>821</v>
      </c>
      <c r="F15" s="30" t="s">
        <v>822</v>
      </c>
      <c r="G15" s="39" t="s">
        <v>819</v>
      </c>
      <c r="H15" s="39" t="s">
        <v>42</v>
      </c>
      <c r="I15" s="39"/>
    </row>
    <row r="16" customHeight="1" spans="1:9">
      <c r="A16" s="102">
        <f t="shared" si="0"/>
        <v>6</v>
      </c>
      <c r="B16" s="106" t="s">
        <v>21</v>
      </c>
      <c r="C16" s="30"/>
      <c r="D16" s="30" t="s">
        <v>823</v>
      </c>
      <c r="E16" s="35" t="s">
        <v>801</v>
      </c>
      <c r="F16" s="30" t="s">
        <v>802</v>
      </c>
      <c r="G16" s="39" t="s">
        <v>824</v>
      </c>
      <c r="H16" s="39" t="s">
        <v>27</v>
      </c>
      <c r="I16" s="39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85" zoomScaleNormal="85" topLeftCell="A2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0.1666666666667" style="37" customWidth="1"/>
    <col min="9" max="9" width="42.3333333333333" style="37" customWidth="1"/>
    <col min="10" max="10" width="22.7916666666667" style="37" customWidth="1"/>
    <col min="11" max="16384" width="10.8333333333333" style="37"/>
  </cols>
  <sheetData>
    <row r="1" customHeight="1" spans="1:9">
      <c r="A1" s="98" t="s">
        <v>0</v>
      </c>
      <c r="B1" s="28" t="s">
        <v>825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826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45"/>
      <c r="F5" s="146" t="s">
        <v>827</v>
      </c>
      <c r="G5" s="147"/>
      <c r="H5" s="147"/>
      <c r="I5" s="150"/>
    </row>
    <row r="6" customHeight="1" spans="1:9">
      <c r="A6" s="102">
        <v>3</v>
      </c>
      <c r="B6" s="102" t="s">
        <v>6</v>
      </c>
      <c r="C6" s="102"/>
      <c r="D6" s="102"/>
      <c r="E6" s="145"/>
      <c r="F6" s="146" t="s">
        <v>811</v>
      </c>
      <c r="G6" s="147"/>
      <c r="H6" s="147"/>
      <c r="I6" s="150"/>
    </row>
    <row r="7" customHeight="1" spans="1:9">
      <c r="A7" s="102">
        <v>4</v>
      </c>
      <c r="B7" s="102" t="s">
        <v>8</v>
      </c>
      <c r="C7" s="102"/>
      <c r="D7" s="102"/>
      <c r="E7" s="145"/>
      <c r="F7" s="146" t="s">
        <v>812</v>
      </c>
      <c r="G7" s="147"/>
      <c r="H7" s="147"/>
      <c r="I7" s="150"/>
    </row>
    <row r="8" customHeight="1" spans="1:9">
      <c r="A8" s="102">
        <v>5</v>
      </c>
      <c r="B8" s="102" t="s">
        <v>10</v>
      </c>
      <c r="C8" s="102"/>
      <c r="D8" s="102"/>
      <c r="E8" s="145"/>
      <c r="F8" s="146" t="s">
        <v>11</v>
      </c>
      <c r="G8" s="147"/>
      <c r="H8" s="147"/>
      <c r="I8" s="150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>ROW(A11)-10</f>
        <v>1</v>
      </c>
      <c r="B11" s="106" t="s">
        <v>21</v>
      </c>
      <c r="C11" s="102"/>
      <c r="D11" s="102" t="s">
        <v>22</v>
      </c>
      <c r="E11" s="105" t="s">
        <v>22</v>
      </c>
      <c r="F11" s="30" t="s">
        <v>22</v>
      </c>
      <c r="G11" s="51" t="s">
        <v>23</v>
      </c>
      <c r="H11" s="51" t="s">
        <v>24</v>
      </c>
      <c r="I11" s="39"/>
    </row>
    <row r="12" customHeight="1" spans="1:11">
      <c r="A12" s="102">
        <f t="shared" ref="A12:A16" si="0">ROW(A12)-10</f>
        <v>2</v>
      </c>
      <c r="B12" s="107" t="s">
        <v>21</v>
      </c>
      <c r="C12" s="148"/>
      <c r="D12" s="148" t="s">
        <v>813</v>
      </c>
      <c r="E12" s="149" t="s">
        <v>814</v>
      </c>
      <c r="F12" s="109" t="s">
        <v>304</v>
      </c>
      <c r="G12" s="39" t="s">
        <v>815</v>
      </c>
      <c r="H12" s="39" t="s">
        <v>24</v>
      </c>
      <c r="I12" s="39"/>
      <c r="J12" s="37" t="s">
        <v>307</v>
      </c>
      <c r="K12" s="37" t="s">
        <v>26</v>
      </c>
    </row>
    <row r="13" customHeight="1" spans="1:11">
      <c r="A13" s="102">
        <f t="shared" si="0"/>
        <v>3</v>
      </c>
      <c r="B13" s="107" t="s">
        <v>21</v>
      </c>
      <c r="C13" s="148"/>
      <c r="D13" s="148" t="s">
        <v>436</v>
      </c>
      <c r="E13" s="149" t="s">
        <v>731</v>
      </c>
      <c r="F13" s="109" t="s">
        <v>162</v>
      </c>
      <c r="G13" s="51"/>
      <c r="H13" s="51" t="s">
        <v>24</v>
      </c>
      <c r="I13" s="39"/>
      <c r="J13" s="37" t="s">
        <v>161</v>
      </c>
      <c r="K13" s="37" t="s">
        <v>162</v>
      </c>
    </row>
    <row r="14" customHeight="1" spans="1:9">
      <c r="A14" s="102">
        <f t="shared" si="0"/>
        <v>4</v>
      </c>
      <c r="B14" s="106" t="s">
        <v>21</v>
      </c>
      <c r="C14" s="114"/>
      <c r="D14" s="114" t="s">
        <v>816</v>
      </c>
      <c r="E14" s="35" t="s">
        <v>817</v>
      </c>
      <c r="F14" s="30" t="s">
        <v>818</v>
      </c>
      <c r="G14" s="39" t="s">
        <v>819</v>
      </c>
      <c r="H14" s="39" t="s">
        <v>42</v>
      </c>
      <c r="I14" s="39"/>
    </row>
    <row r="15" customHeight="1" spans="1:9">
      <c r="A15" s="102">
        <f t="shared" si="0"/>
        <v>5</v>
      </c>
      <c r="B15" s="106" t="s">
        <v>21</v>
      </c>
      <c r="C15" s="114"/>
      <c r="D15" s="114" t="s">
        <v>820</v>
      </c>
      <c r="E15" s="35" t="s">
        <v>821</v>
      </c>
      <c r="F15" s="30" t="s">
        <v>822</v>
      </c>
      <c r="G15" s="39" t="s">
        <v>819</v>
      </c>
      <c r="H15" s="39" t="s">
        <v>42</v>
      </c>
      <c r="I15" s="39"/>
    </row>
    <row r="16" customHeight="1" spans="1:9">
      <c r="A16" s="102">
        <f t="shared" si="0"/>
        <v>6</v>
      </c>
      <c r="B16" s="106" t="s">
        <v>21</v>
      </c>
      <c r="C16" s="30"/>
      <c r="D16" s="30" t="s">
        <v>378</v>
      </c>
      <c r="E16" s="35" t="s">
        <v>378</v>
      </c>
      <c r="F16" s="30" t="s">
        <v>379</v>
      </c>
      <c r="G16" s="39" t="s">
        <v>380</v>
      </c>
      <c r="H16" s="39" t="s">
        <v>27</v>
      </c>
      <c r="I16" s="39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85" zoomScaleNormal="85" topLeftCell="B1" workbookViewId="0">
      <selection activeCell="F13" sqref="F13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0" width="30.4333333333333" style="37" customWidth="1"/>
    <col min="11" max="11" width="17.2" style="37" customWidth="1"/>
    <col min="12" max="12" width="19.1166666666667" style="37" customWidth="1"/>
    <col min="13" max="16384" width="10.8333333333333" style="37"/>
  </cols>
  <sheetData>
    <row r="1" customHeight="1" spans="1:9">
      <c r="A1" s="98" t="s">
        <v>0</v>
      </c>
      <c r="B1" s="28" t="s">
        <v>828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829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39" t="s">
        <v>830</v>
      </c>
      <c r="G5" s="39"/>
      <c r="H5" s="39"/>
      <c r="I5" s="39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831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832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436</v>
      </c>
      <c r="E12" s="108" t="s">
        <v>731</v>
      </c>
      <c r="F12" s="109" t="s">
        <v>162</v>
      </c>
      <c r="G12" s="131"/>
      <c r="H12" s="51" t="s">
        <v>24</v>
      </c>
      <c r="I12" s="51"/>
      <c r="J12" s="37" t="s">
        <v>212</v>
      </c>
      <c r="K12" s="37" t="s">
        <v>26</v>
      </c>
    </row>
    <row r="13" customHeight="1" spans="1:12">
      <c r="A13" s="102">
        <v>3</v>
      </c>
      <c r="B13" s="107" t="s">
        <v>21</v>
      </c>
      <c r="C13" s="109"/>
      <c r="D13" s="109" t="s">
        <v>833</v>
      </c>
      <c r="E13" s="108" t="s">
        <v>834</v>
      </c>
      <c r="F13" s="109" t="s">
        <v>835</v>
      </c>
      <c r="G13" s="131" t="s">
        <v>836</v>
      </c>
      <c r="H13" s="51" t="s">
        <v>24</v>
      </c>
      <c r="I13" s="51"/>
      <c r="J13" s="37" t="s">
        <v>4</v>
      </c>
      <c r="K13" s="37" t="s">
        <v>26</v>
      </c>
      <c r="L13" s="37" t="s">
        <v>835</v>
      </c>
    </row>
    <row r="14" customHeight="1" spans="1:9">
      <c r="A14" s="102">
        <v>4</v>
      </c>
      <c r="B14" s="106" t="s">
        <v>21</v>
      </c>
      <c r="C14" s="30"/>
      <c r="D14" s="30" t="s">
        <v>837</v>
      </c>
      <c r="E14" s="35" t="s">
        <v>838</v>
      </c>
      <c r="F14" s="30" t="s">
        <v>839</v>
      </c>
      <c r="G14" s="131" t="s">
        <v>840</v>
      </c>
      <c r="H14" s="51" t="s">
        <v>411</v>
      </c>
      <c r="I14" s="51"/>
    </row>
    <row r="15" customHeight="1" spans="1:9">
      <c r="A15" s="102">
        <v>5</v>
      </c>
      <c r="B15" s="106"/>
      <c r="C15" s="30"/>
      <c r="D15" s="30" t="s">
        <v>421</v>
      </c>
      <c r="E15" s="35" t="s">
        <v>841</v>
      </c>
      <c r="F15" s="30" t="s">
        <v>422</v>
      </c>
      <c r="G15" s="131"/>
      <c r="H15" s="51" t="s">
        <v>53</v>
      </c>
      <c r="I15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85" zoomScaleNormal="85" workbookViewId="0">
      <selection activeCell="G13" sqref="G13:L13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12.1666666666667" style="37" customWidth="1"/>
    <col min="10" max="10" width="24.25" style="37" customWidth="1"/>
    <col min="11" max="11" width="15.875" style="37" customWidth="1"/>
    <col min="12" max="12" width="19.2583333333333" style="37" customWidth="1"/>
    <col min="13" max="16384" width="10.8333333333333" style="37"/>
  </cols>
  <sheetData>
    <row r="1" customHeight="1" spans="1:9">
      <c r="A1" s="100" t="s">
        <v>0</v>
      </c>
      <c r="B1" s="28" t="s">
        <v>842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843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844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832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436</v>
      </c>
      <c r="E12" s="108" t="s">
        <v>731</v>
      </c>
      <c r="F12" s="109" t="s">
        <v>162</v>
      </c>
      <c r="G12" s="131"/>
      <c r="H12" s="51" t="s">
        <v>24</v>
      </c>
      <c r="I12" s="51"/>
      <c r="J12" s="37" t="s">
        <v>161</v>
      </c>
      <c r="K12" s="37" t="s">
        <v>162</v>
      </c>
    </row>
    <row r="13" customHeight="1" spans="1:12">
      <c r="A13" s="102">
        <v>3</v>
      </c>
      <c r="B13" s="106" t="s">
        <v>21</v>
      </c>
      <c r="C13" s="30"/>
      <c r="D13" s="30" t="s">
        <v>845</v>
      </c>
      <c r="E13" s="35" t="s">
        <v>846</v>
      </c>
      <c r="F13" s="30" t="s">
        <v>847</v>
      </c>
      <c r="G13" s="131" t="s">
        <v>848</v>
      </c>
      <c r="H13" s="51" t="s">
        <v>24</v>
      </c>
      <c r="I13" s="51"/>
      <c r="J13" s="37" t="s">
        <v>4</v>
      </c>
      <c r="K13" s="37" t="s">
        <v>26</v>
      </c>
      <c r="L13" s="37" t="s">
        <v>847</v>
      </c>
    </row>
    <row r="14" customHeight="1" spans="1:9">
      <c r="A14" s="102">
        <v>4</v>
      </c>
      <c r="B14" s="106" t="s">
        <v>21</v>
      </c>
      <c r="C14" s="30"/>
      <c r="D14" s="30" t="s">
        <v>849</v>
      </c>
      <c r="E14" s="35" t="s">
        <v>850</v>
      </c>
      <c r="F14" s="30" t="s">
        <v>398</v>
      </c>
      <c r="G14" s="131" t="s">
        <v>840</v>
      </c>
      <c r="H14" s="51" t="s">
        <v>411</v>
      </c>
      <c r="I14" s="51"/>
    </row>
    <row r="15" customHeight="1" spans="1:9">
      <c r="A15" s="102">
        <v>5</v>
      </c>
      <c r="B15" s="106" t="s">
        <v>21</v>
      </c>
      <c r="C15" s="30"/>
      <c r="D15" s="30" t="s">
        <v>851</v>
      </c>
      <c r="E15" s="35" t="s">
        <v>852</v>
      </c>
      <c r="F15" s="30" t="s">
        <v>402</v>
      </c>
      <c r="G15" s="131" t="s">
        <v>840</v>
      </c>
      <c r="H15" s="51" t="s">
        <v>411</v>
      </c>
      <c r="I15" s="51"/>
    </row>
    <row r="16" customHeight="1" spans="1:9">
      <c r="A16" s="102">
        <v>6</v>
      </c>
      <c r="B16" s="106"/>
      <c r="C16" s="30"/>
      <c r="D16" s="30" t="s">
        <v>421</v>
      </c>
      <c r="E16" s="35" t="s">
        <v>853</v>
      </c>
      <c r="F16" s="30" t="s">
        <v>422</v>
      </c>
      <c r="G16" s="131"/>
      <c r="H16" s="51" t="s">
        <v>53</v>
      </c>
      <c r="I16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85" zoomScaleNormal="85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42.3333333333333" style="37" customWidth="1"/>
    <col min="10" max="10" width="19.85" style="37" customWidth="1"/>
    <col min="11" max="16384" width="10.8333333333333" style="37"/>
  </cols>
  <sheetData>
    <row r="1" customHeight="1" spans="1:9">
      <c r="A1" s="98" t="s">
        <v>0</v>
      </c>
      <c r="B1" s="28" t="s">
        <v>854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855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856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832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436</v>
      </c>
      <c r="E12" s="108" t="s">
        <v>731</v>
      </c>
      <c r="F12" s="109" t="s">
        <v>162</v>
      </c>
      <c r="G12" s="131"/>
      <c r="H12" s="51" t="s">
        <v>24</v>
      </c>
      <c r="I12" s="51"/>
      <c r="J12" s="37" t="s">
        <v>161</v>
      </c>
      <c r="K12" s="37" t="s">
        <v>162</v>
      </c>
    </row>
    <row r="13" customHeight="1" spans="1:9">
      <c r="A13" s="102">
        <v>3</v>
      </c>
      <c r="B13" s="106" t="s">
        <v>21</v>
      </c>
      <c r="C13" s="30"/>
      <c r="D13" s="30" t="s">
        <v>857</v>
      </c>
      <c r="E13" s="35" t="s">
        <v>858</v>
      </c>
      <c r="F13" s="30" t="s">
        <v>859</v>
      </c>
      <c r="G13" s="131" t="s">
        <v>860</v>
      </c>
      <c r="H13" s="51" t="s">
        <v>117</v>
      </c>
      <c r="I13" s="51"/>
    </row>
    <row r="14" customHeight="1" spans="1:9">
      <c r="A14" s="102">
        <v>4</v>
      </c>
      <c r="B14" s="106" t="s">
        <v>21</v>
      </c>
      <c r="C14" s="30"/>
      <c r="D14" s="30" t="s">
        <v>861</v>
      </c>
      <c r="E14" s="35" t="s">
        <v>862</v>
      </c>
      <c r="F14" s="30" t="s">
        <v>863</v>
      </c>
      <c r="G14" s="131" t="s">
        <v>864</v>
      </c>
      <c r="H14" s="51" t="s">
        <v>117</v>
      </c>
      <c r="I14" s="51"/>
    </row>
    <row r="15" customHeight="1" spans="1:11">
      <c r="A15" s="102">
        <v>5</v>
      </c>
      <c r="B15" s="106" t="s">
        <v>21</v>
      </c>
      <c r="C15" s="30"/>
      <c r="D15" s="30" t="s">
        <v>865</v>
      </c>
      <c r="E15" s="35" t="s">
        <v>866</v>
      </c>
      <c r="F15" s="30" t="s">
        <v>267</v>
      </c>
      <c r="G15" s="131" t="s">
        <v>867</v>
      </c>
      <c r="H15" s="51" t="s">
        <v>24</v>
      </c>
      <c r="I15" s="39" t="s">
        <v>435</v>
      </c>
      <c r="J15" s="37" t="s">
        <v>212</v>
      </c>
      <c r="K15" s="37" t="s">
        <v>22</v>
      </c>
    </row>
    <row r="16" customHeight="1" spans="1:11">
      <c r="A16" s="102">
        <v>6</v>
      </c>
      <c r="B16" s="106"/>
      <c r="C16" s="30"/>
      <c r="D16" s="30" t="s">
        <v>868</v>
      </c>
      <c r="E16" s="35" t="s">
        <v>869</v>
      </c>
      <c r="F16" s="30" t="s">
        <v>870</v>
      </c>
      <c r="G16" s="131" t="s">
        <v>867</v>
      </c>
      <c r="H16" s="51" t="s">
        <v>24</v>
      </c>
      <c r="I16" s="39" t="s">
        <v>871</v>
      </c>
      <c r="J16" s="37" t="s">
        <v>212</v>
      </c>
      <c r="K16" s="37" t="s">
        <v>22</v>
      </c>
    </row>
    <row r="17" customHeight="1" spans="1:9">
      <c r="A17" s="102">
        <v>7</v>
      </c>
      <c r="B17" s="106"/>
      <c r="C17" s="30"/>
      <c r="D17" s="30" t="s">
        <v>872</v>
      </c>
      <c r="E17" s="35" t="s">
        <v>873</v>
      </c>
      <c r="F17" s="30" t="s">
        <v>479</v>
      </c>
      <c r="G17" s="131"/>
      <c r="H17" s="51" t="s">
        <v>53</v>
      </c>
      <c r="I17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zoomScale="85" zoomScaleNormal="85" workbookViewId="0">
      <selection activeCell="J12" sqref="J12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66.175" style="37" customWidth="1"/>
    <col min="8" max="8" width="21.1666666666667" style="37" customWidth="1"/>
    <col min="9" max="9" width="39.5583333333333" style="37" customWidth="1"/>
    <col min="10" max="10" width="23.5333333333333" style="37" customWidth="1"/>
    <col min="11" max="16384" width="10.8333333333333" style="37"/>
  </cols>
  <sheetData>
    <row r="1" customHeight="1" spans="1:9">
      <c r="A1" s="100" t="s">
        <v>0</v>
      </c>
      <c r="B1" s="28" t="s">
        <v>874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875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876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832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436</v>
      </c>
      <c r="E12" s="108" t="s">
        <v>731</v>
      </c>
      <c r="F12" s="109" t="s">
        <v>162</v>
      </c>
      <c r="G12" s="131"/>
      <c r="H12" s="51" t="s">
        <v>24</v>
      </c>
      <c r="I12" s="51"/>
      <c r="J12" s="37" t="s">
        <v>161</v>
      </c>
      <c r="K12" s="37" t="s">
        <v>162</v>
      </c>
    </row>
    <row r="13" customHeight="1" spans="1:9">
      <c r="A13" s="102">
        <v>3</v>
      </c>
      <c r="B13" s="106" t="s">
        <v>21</v>
      </c>
      <c r="C13" s="30"/>
      <c r="D13" s="30" t="s">
        <v>877</v>
      </c>
      <c r="E13" s="35" t="s">
        <v>878</v>
      </c>
      <c r="F13" s="30" t="s">
        <v>859</v>
      </c>
      <c r="G13" s="131" t="s">
        <v>860</v>
      </c>
      <c r="H13" s="51" t="s">
        <v>117</v>
      </c>
      <c r="I13" s="51"/>
    </row>
    <row r="14" customHeight="1" spans="1:9">
      <c r="A14" s="102">
        <v>4</v>
      </c>
      <c r="B14" s="106" t="s">
        <v>21</v>
      </c>
      <c r="C14" s="30"/>
      <c r="D14" s="30" t="s">
        <v>879</v>
      </c>
      <c r="E14" s="35" t="s">
        <v>880</v>
      </c>
      <c r="F14" s="30" t="s">
        <v>863</v>
      </c>
      <c r="G14" s="131" t="s">
        <v>881</v>
      </c>
      <c r="H14" s="51" t="s">
        <v>117</v>
      </c>
      <c r="I14" s="51"/>
    </row>
    <row r="15" customHeight="1" spans="1:11">
      <c r="A15" s="102">
        <v>5</v>
      </c>
      <c r="B15" s="106" t="s">
        <v>21</v>
      </c>
      <c r="C15" s="36"/>
      <c r="D15" s="36" t="s">
        <v>882</v>
      </c>
      <c r="E15" s="35" t="s">
        <v>883</v>
      </c>
      <c r="F15" s="30" t="s">
        <v>561</v>
      </c>
      <c r="G15" s="39" t="s">
        <v>562</v>
      </c>
      <c r="H15" s="51" t="s">
        <v>24</v>
      </c>
      <c r="I15" s="39" t="s">
        <v>563</v>
      </c>
      <c r="J15" s="37" t="s">
        <v>564</v>
      </c>
      <c r="K15" s="37" t="s">
        <v>22</v>
      </c>
    </row>
    <row r="16" customHeight="1" spans="1:11">
      <c r="A16" s="102">
        <v>6</v>
      </c>
      <c r="B16" s="106"/>
      <c r="C16" s="36"/>
      <c r="D16" s="36" t="s">
        <v>884</v>
      </c>
      <c r="E16" s="35" t="s">
        <v>885</v>
      </c>
      <c r="F16" s="30" t="s">
        <v>567</v>
      </c>
      <c r="G16" s="51" t="s">
        <v>568</v>
      </c>
      <c r="H16" s="51" t="s">
        <v>24</v>
      </c>
      <c r="I16" s="39" t="s">
        <v>569</v>
      </c>
      <c r="J16" s="37" t="s">
        <v>570</v>
      </c>
      <c r="K16" s="37" t="s">
        <v>22</v>
      </c>
    </row>
    <row r="17" customHeight="1" spans="1:9">
      <c r="A17" s="102">
        <v>7</v>
      </c>
      <c r="B17" s="106"/>
      <c r="C17" s="30"/>
      <c r="D17" s="30" t="s">
        <v>886</v>
      </c>
      <c r="E17" s="35" t="s">
        <v>887</v>
      </c>
      <c r="F17" s="30" t="s">
        <v>888</v>
      </c>
      <c r="G17" s="131"/>
      <c r="H17" s="51" t="s">
        <v>53</v>
      </c>
      <c r="I17" s="51"/>
    </row>
    <row r="18" customHeight="1" spans="1:9">
      <c r="A18" s="102">
        <v>8</v>
      </c>
      <c r="B18" s="106"/>
      <c r="C18" s="30"/>
      <c r="D18" s="30" t="s">
        <v>814</v>
      </c>
      <c r="E18" s="35" t="s">
        <v>889</v>
      </c>
      <c r="F18" s="30" t="s">
        <v>890</v>
      </c>
      <c r="G18" s="131"/>
      <c r="H18" s="51" t="s">
        <v>53</v>
      </c>
      <c r="I18" s="51"/>
    </row>
    <row r="19" customHeight="1" spans="1:9">
      <c r="A19" s="102">
        <v>9</v>
      </c>
      <c r="B19" s="30"/>
      <c r="C19" s="30"/>
      <c r="D19" s="30" t="s">
        <v>438</v>
      </c>
      <c r="E19" s="30" t="s">
        <v>438</v>
      </c>
      <c r="F19" s="30" t="s">
        <v>29</v>
      </c>
      <c r="G19" s="30"/>
      <c r="H19" s="30" t="s">
        <v>24</v>
      </c>
      <c r="I19" s="30"/>
    </row>
    <row r="20" customHeight="1" spans="1:9">
      <c r="A20" s="102">
        <v>10</v>
      </c>
      <c r="B20" s="30"/>
      <c r="C20" s="30"/>
      <c r="D20" s="30" t="s">
        <v>891</v>
      </c>
      <c r="E20" s="30" t="s">
        <v>891</v>
      </c>
      <c r="F20" s="30" t="s">
        <v>892</v>
      </c>
      <c r="G20" s="30"/>
      <c r="H20" s="51" t="s">
        <v>893</v>
      </c>
      <c r="I20" s="30"/>
    </row>
    <row r="21" customHeight="1" spans="1:9">
      <c r="A21" s="102">
        <v>11</v>
      </c>
      <c r="B21" s="30"/>
      <c r="C21" s="30"/>
      <c r="D21" s="30" t="s">
        <v>308</v>
      </c>
      <c r="E21" s="30" t="s">
        <v>308</v>
      </c>
      <c r="F21" s="30" t="s">
        <v>310</v>
      </c>
      <c r="G21" s="30"/>
      <c r="H21" s="51" t="s">
        <v>894</v>
      </c>
      <c r="I21" s="30"/>
    </row>
    <row r="22" customHeight="1" spans="1:9">
      <c r="A22" s="102">
        <v>12</v>
      </c>
      <c r="B22" s="30"/>
      <c r="C22" s="30"/>
      <c r="D22" s="30" t="s">
        <v>895</v>
      </c>
      <c r="E22" s="30" t="s">
        <v>895</v>
      </c>
      <c r="F22" s="30" t="s">
        <v>896</v>
      </c>
      <c r="G22" s="30"/>
      <c r="H22" s="51" t="s">
        <v>897</v>
      </c>
      <c r="I22" s="30"/>
    </row>
    <row r="23" customHeight="1" spans="1:9">
      <c r="A23" s="102">
        <v>13</v>
      </c>
      <c r="B23" s="30"/>
      <c r="C23" s="30"/>
      <c r="D23" s="30" t="s">
        <v>898</v>
      </c>
      <c r="E23" s="30" t="s">
        <v>899</v>
      </c>
      <c r="F23" s="30" t="s">
        <v>900</v>
      </c>
      <c r="G23" s="30"/>
      <c r="H23" s="51" t="s">
        <v>897</v>
      </c>
      <c r="I23" s="30"/>
    </row>
    <row r="24" customHeight="1" spans="1:9">
      <c r="A24" s="102">
        <v>14</v>
      </c>
      <c r="B24" s="30"/>
      <c r="C24" s="30"/>
      <c r="D24" s="30" t="s">
        <v>901</v>
      </c>
      <c r="E24" s="30" t="s">
        <v>901</v>
      </c>
      <c r="F24" s="30" t="s">
        <v>687</v>
      </c>
      <c r="G24" s="30"/>
      <c r="H24" s="51" t="s">
        <v>893</v>
      </c>
      <c r="I24" s="30"/>
    </row>
    <row r="25" customHeight="1" spans="1:9">
      <c r="A25" s="102">
        <v>15</v>
      </c>
      <c r="B25" s="30"/>
      <c r="C25" s="30"/>
      <c r="D25" s="30" t="s">
        <v>902</v>
      </c>
      <c r="E25" s="30" t="s">
        <v>902</v>
      </c>
      <c r="F25" s="30" t="s">
        <v>689</v>
      </c>
      <c r="G25" s="30"/>
      <c r="H25" s="51" t="s">
        <v>893</v>
      </c>
      <c r="I25" s="3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85" zoomScaleNormal="85" workbookViewId="0">
      <selection activeCell="F5" sqref="F5:I5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31.025" style="37" customWidth="1"/>
    <col min="10" max="10" width="20.15" style="37" customWidth="1"/>
    <col min="11" max="16384" width="10.8333333333333" style="37"/>
  </cols>
  <sheetData>
    <row r="1" customHeight="1" spans="1:9">
      <c r="A1" s="100" t="s">
        <v>0</v>
      </c>
      <c r="B1" s="28" t="s">
        <v>903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904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905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832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436</v>
      </c>
      <c r="E12" s="108" t="s">
        <v>731</v>
      </c>
      <c r="F12" s="109" t="s">
        <v>162</v>
      </c>
      <c r="G12" s="131"/>
      <c r="H12" s="51" t="s">
        <v>24</v>
      </c>
      <c r="I12" s="51"/>
      <c r="J12" s="37" t="s">
        <v>161</v>
      </c>
      <c r="K12" s="37" t="s">
        <v>162</v>
      </c>
    </row>
    <row r="13" customHeight="1" spans="1:11">
      <c r="A13" s="102">
        <v>5</v>
      </c>
      <c r="B13" s="106" t="s">
        <v>21</v>
      </c>
      <c r="C13" s="30"/>
      <c r="D13" s="30" t="s">
        <v>906</v>
      </c>
      <c r="E13" s="35" t="s">
        <v>907</v>
      </c>
      <c r="F13" s="30" t="s">
        <v>600</v>
      </c>
      <c r="G13" s="39" t="s">
        <v>601</v>
      </c>
      <c r="H13" s="39" t="s">
        <v>27</v>
      </c>
      <c r="I13" s="39" t="s">
        <v>602</v>
      </c>
      <c r="J13" s="37" t="s">
        <v>603</v>
      </c>
      <c r="K13" s="37" t="s">
        <v>22</v>
      </c>
    </row>
    <row r="14" customHeight="1" spans="1:9">
      <c r="A14" s="102">
        <v>3</v>
      </c>
      <c r="B14" s="106" t="s">
        <v>21</v>
      </c>
      <c r="C14" s="30"/>
      <c r="D14" s="30" t="s">
        <v>908</v>
      </c>
      <c r="E14" s="35" t="s">
        <v>909</v>
      </c>
      <c r="F14" s="30" t="s">
        <v>183</v>
      </c>
      <c r="G14" s="131" t="s">
        <v>860</v>
      </c>
      <c r="H14" s="51" t="s">
        <v>117</v>
      </c>
      <c r="I14" s="51"/>
    </row>
    <row r="15" customHeight="1" spans="1:9">
      <c r="A15" s="102">
        <v>4</v>
      </c>
      <c r="B15" s="106" t="s">
        <v>21</v>
      </c>
      <c r="C15" s="30"/>
      <c r="D15" s="30" t="s">
        <v>910</v>
      </c>
      <c r="E15" s="35" t="s">
        <v>911</v>
      </c>
      <c r="F15" s="30" t="s">
        <v>863</v>
      </c>
      <c r="G15" s="131" t="s">
        <v>912</v>
      </c>
      <c r="H15" s="51" t="s">
        <v>117</v>
      </c>
      <c r="I15" s="51"/>
    </row>
    <row r="16" customHeight="1" spans="1:12">
      <c r="A16" s="96">
        <v>5</v>
      </c>
      <c r="B16" s="96"/>
      <c r="C16" s="96"/>
      <c r="D16" s="96" t="s">
        <v>913</v>
      </c>
      <c r="E16" s="96" t="s">
        <v>913</v>
      </c>
      <c r="F16" s="144" t="s">
        <v>673</v>
      </c>
      <c r="G16" s="96" t="s">
        <v>914</v>
      </c>
      <c r="H16" s="96" t="s">
        <v>27</v>
      </c>
      <c r="I16" s="96"/>
      <c r="J16" s="37" t="s">
        <v>4</v>
      </c>
      <c r="K16" s="37" t="s">
        <v>26</v>
      </c>
      <c r="L16" s="37" t="s">
        <v>673</v>
      </c>
    </row>
    <row r="17" customHeight="1" spans="1:9">
      <c r="A17" s="30">
        <v>6</v>
      </c>
      <c r="B17" s="30"/>
      <c r="C17" s="30"/>
      <c r="D17" s="30" t="s">
        <v>438</v>
      </c>
      <c r="E17" s="30" t="s">
        <v>438</v>
      </c>
      <c r="F17" s="30" t="s">
        <v>29</v>
      </c>
      <c r="G17" s="30"/>
      <c r="H17" s="30" t="s">
        <v>24</v>
      </c>
      <c r="I17" s="3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85" zoomScaleNormal="85" workbookViewId="0">
      <selection activeCell="J12" sqref="J12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42.3333333333333" style="37" customWidth="1"/>
    <col min="10" max="10" width="16.6166666666667" style="37" customWidth="1"/>
    <col min="11" max="11" width="14.2583333333333" style="37" customWidth="1"/>
    <col min="12" max="16384" width="10.8333333333333" style="37"/>
  </cols>
  <sheetData>
    <row r="1" customHeight="1" spans="1:9">
      <c r="A1" s="100" t="s">
        <v>0</v>
      </c>
      <c r="B1" s="28" t="s">
        <v>915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916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917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918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436</v>
      </c>
      <c r="E12" s="108" t="s">
        <v>919</v>
      </c>
      <c r="F12" s="109" t="s">
        <v>162</v>
      </c>
      <c r="G12" s="131"/>
      <c r="H12" s="51" t="s">
        <v>24</v>
      </c>
      <c r="I12" s="51"/>
      <c r="J12" s="37" t="s">
        <v>161</v>
      </c>
      <c r="K12" s="37" t="s">
        <v>162</v>
      </c>
    </row>
    <row r="13" customHeight="1" spans="1:12">
      <c r="A13" s="102">
        <v>5</v>
      </c>
      <c r="B13" s="106" t="s">
        <v>21</v>
      </c>
      <c r="C13" s="114"/>
      <c r="D13" s="114" t="s">
        <v>920</v>
      </c>
      <c r="E13" s="35" t="s">
        <v>921</v>
      </c>
      <c r="F13" s="30" t="s">
        <v>922</v>
      </c>
      <c r="G13" s="39" t="s">
        <v>923</v>
      </c>
      <c r="H13" s="39" t="s">
        <v>27</v>
      </c>
      <c r="I13" s="39" t="s">
        <v>924</v>
      </c>
      <c r="J13" s="37" t="s">
        <v>4</v>
      </c>
      <c r="K13" s="37" t="s">
        <v>26</v>
      </c>
      <c r="L13" s="37" t="s">
        <v>922</v>
      </c>
    </row>
    <row r="14" customHeight="1" spans="1:9">
      <c r="A14" s="102">
        <v>3</v>
      </c>
      <c r="B14" s="106" t="s">
        <v>21</v>
      </c>
      <c r="C14" s="30"/>
      <c r="D14" s="30" t="s">
        <v>378</v>
      </c>
      <c r="E14" s="35" t="s">
        <v>925</v>
      </c>
      <c r="F14" s="30" t="s">
        <v>379</v>
      </c>
      <c r="G14" s="131" t="s">
        <v>926</v>
      </c>
      <c r="H14" s="51" t="s">
        <v>411</v>
      </c>
      <c r="I14" s="51"/>
    </row>
    <row r="15" customHeight="1" spans="1:9">
      <c r="A15" s="102">
        <v>4</v>
      </c>
      <c r="B15" s="106" t="s">
        <v>21</v>
      </c>
      <c r="C15" s="30"/>
      <c r="D15" s="30" t="s">
        <v>382</v>
      </c>
      <c r="E15" s="35" t="s">
        <v>927</v>
      </c>
      <c r="F15" s="30" t="s">
        <v>383</v>
      </c>
      <c r="G15" s="131" t="s">
        <v>384</v>
      </c>
      <c r="H15" s="51" t="s">
        <v>411</v>
      </c>
      <c r="I15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zoomScale="85" zoomScaleNormal="85" workbookViewId="0">
      <selection activeCell="J13" sqref="J13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42.3333333333333" style="37" customWidth="1"/>
    <col min="10" max="10" width="21.625" style="37" customWidth="1"/>
    <col min="11" max="16384" width="10.8333333333333" style="37"/>
  </cols>
  <sheetData>
    <row r="1" customHeight="1" spans="1:9">
      <c r="A1" s="100" t="s">
        <v>0</v>
      </c>
      <c r="B1" s="28" t="s">
        <v>928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929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930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 t="s">
        <v>931</v>
      </c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918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51" t="s">
        <v>24</v>
      </c>
      <c r="I11" s="51"/>
    </row>
    <row r="12" customHeight="1" spans="1:11">
      <c r="A12" s="102">
        <v>2</v>
      </c>
      <c r="B12" s="107" t="s">
        <v>21</v>
      </c>
      <c r="C12" s="143"/>
      <c r="D12" s="143" t="s">
        <v>932</v>
      </c>
      <c r="E12" s="108" t="s">
        <v>933</v>
      </c>
      <c r="F12" s="109" t="s">
        <v>934</v>
      </c>
      <c r="G12" s="131"/>
      <c r="H12" s="51" t="s">
        <v>24</v>
      </c>
      <c r="I12" s="51"/>
      <c r="J12" s="96" t="s">
        <v>916</v>
      </c>
      <c r="K12" s="96" t="s">
        <v>22</v>
      </c>
    </row>
    <row r="13" customHeight="1" spans="1:11">
      <c r="A13" s="102">
        <v>5</v>
      </c>
      <c r="B13" s="106" t="s">
        <v>21</v>
      </c>
      <c r="C13" s="30"/>
      <c r="D13" s="30" t="s">
        <v>935</v>
      </c>
      <c r="E13" s="35" t="s">
        <v>936</v>
      </c>
      <c r="F13" s="30" t="s">
        <v>937</v>
      </c>
      <c r="G13" s="39"/>
      <c r="H13" s="39" t="s">
        <v>27</v>
      </c>
      <c r="I13" s="39" t="s">
        <v>938</v>
      </c>
      <c r="J13" s="37" t="s">
        <v>293</v>
      </c>
      <c r="K13" s="37" t="s">
        <v>22</v>
      </c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zoomScale="70" zoomScaleNormal="70" topLeftCell="A4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42.3333333333333" style="37" customWidth="1"/>
    <col min="10" max="10" width="28.2166666666667" style="37" customWidth="1"/>
    <col min="11" max="16384" width="10.8333333333333" style="37"/>
  </cols>
  <sheetData>
    <row r="1" customHeight="1" spans="1:9">
      <c r="A1" s="100" t="s">
        <v>0</v>
      </c>
      <c r="B1" s="28" t="s">
        <v>939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940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941</v>
      </c>
      <c r="G5" s="51"/>
      <c r="H5" s="51"/>
      <c r="I5" s="51"/>
    </row>
    <row r="6" customHeight="1" spans="1:9">
      <c r="A6" s="102"/>
      <c r="B6" s="137"/>
      <c r="C6" s="138"/>
      <c r="D6" s="139"/>
      <c r="E6" s="102"/>
      <c r="F6" s="140" t="s">
        <v>942</v>
      </c>
      <c r="G6" s="141"/>
      <c r="H6" s="141"/>
      <c r="I6" s="142"/>
    </row>
    <row r="7" customHeight="1" spans="1:9">
      <c r="A7" s="102">
        <v>3</v>
      </c>
      <c r="B7" s="102" t="s">
        <v>6</v>
      </c>
      <c r="C7" s="102"/>
      <c r="D7" s="102"/>
      <c r="E7" s="102"/>
      <c r="F7" s="51"/>
      <c r="G7" s="51"/>
      <c r="H7" s="51"/>
      <c r="I7" s="51"/>
    </row>
    <row r="8" customHeight="1" spans="1:9">
      <c r="A8" s="102">
        <v>4</v>
      </c>
      <c r="B8" s="102" t="s">
        <v>8</v>
      </c>
      <c r="C8" s="102"/>
      <c r="D8" s="102"/>
      <c r="E8" s="102"/>
      <c r="F8" s="51" t="s">
        <v>943</v>
      </c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102" t="s">
        <v>24</v>
      </c>
      <c r="I11" s="39"/>
    </row>
    <row r="12" customHeight="1" spans="1:11">
      <c r="A12" s="102">
        <v>2</v>
      </c>
      <c r="B12" s="107" t="s">
        <v>21</v>
      </c>
      <c r="C12" s="109"/>
      <c r="D12" s="109" t="s">
        <v>944</v>
      </c>
      <c r="E12" s="108" t="s">
        <v>945</v>
      </c>
      <c r="F12" s="109" t="s">
        <v>267</v>
      </c>
      <c r="G12" s="131" t="s">
        <v>946</v>
      </c>
      <c r="H12" s="102" t="s">
        <v>24</v>
      </c>
      <c r="I12" s="39" t="s">
        <v>435</v>
      </c>
      <c r="J12" s="37" t="s">
        <v>212</v>
      </c>
      <c r="K12" s="37" t="s">
        <v>22</v>
      </c>
    </row>
    <row r="13" customHeight="1" spans="1:11">
      <c r="A13" s="102">
        <v>3</v>
      </c>
      <c r="B13" s="106" t="s">
        <v>21</v>
      </c>
      <c r="C13" s="30"/>
      <c r="D13" s="30" t="s">
        <v>947</v>
      </c>
      <c r="E13" s="35" t="s">
        <v>948</v>
      </c>
      <c r="F13" s="30" t="s">
        <v>280</v>
      </c>
      <c r="G13" s="131"/>
      <c r="H13" s="102" t="s">
        <v>24</v>
      </c>
      <c r="I13" s="39" t="s">
        <v>949</v>
      </c>
      <c r="J13" s="37" t="s">
        <v>262</v>
      </c>
      <c r="K13" s="37" t="s">
        <v>22</v>
      </c>
    </row>
    <row r="14" customHeight="1" spans="1:9">
      <c r="A14" s="102">
        <v>4</v>
      </c>
      <c r="B14" s="106" t="s">
        <v>21</v>
      </c>
      <c r="C14" s="86" t="s">
        <v>224</v>
      </c>
      <c r="D14" s="86" t="s">
        <v>950</v>
      </c>
      <c r="E14" s="35" t="s">
        <v>951</v>
      </c>
      <c r="F14" s="30" t="s">
        <v>952</v>
      </c>
      <c r="G14" s="131"/>
      <c r="H14" s="102" t="s">
        <v>953</v>
      </c>
      <c r="I14" s="39"/>
    </row>
    <row r="15" customHeight="1" spans="1:9">
      <c r="A15" s="102">
        <v>5</v>
      </c>
      <c r="B15" s="106" t="s">
        <v>21</v>
      </c>
      <c r="C15" s="30"/>
      <c r="D15" s="30" t="s">
        <v>954</v>
      </c>
      <c r="E15" s="35" t="s">
        <v>955</v>
      </c>
      <c r="F15" s="30" t="s">
        <v>956</v>
      </c>
      <c r="G15" s="131"/>
      <c r="H15" s="102" t="s">
        <v>53</v>
      </c>
      <c r="I15" s="39"/>
    </row>
    <row r="16" customHeight="1" spans="1:9">
      <c r="A16" s="102">
        <v>6</v>
      </c>
      <c r="B16" s="106" t="s">
        <v>21</v>
      </c>
      <c r="C16" s="30"/>
      <c r="D16" s="30" t="s">
        <v>957</v>
      </c>
      <c r="E16" s="35" t="s">
        <v>958</v>
      </c>
      <c r="F16" s="30" t="s">
        <v>839</v>
      </c>
      <c r="G16" s="131" t="s">
        <v>959</v>
      </c>
      <c r="H16" s="102" t="s">
        <v>411</v>
      </c>
      <c r="I16" s="39"/>
    </row>
    <row r="17" ht="34.5" spans="1:9">
      <c r="A17" s="102">
        <v>7</v>
      </c>
      <c r="B17" s="106" t="s">
        <v>21</v>
      </c>
      <c r="C17" s="36"/>
      <c r="D17" s="36" t="s">
        <v>960</v>
      </c>
      <c r="E17" s="35" t="s">
        <v>961</v>
      </c>
      <c r="F17" s="30" t="s">
        <v>962</v>
      </c>
      <c r="G17" s="131" t="s">
        <v>963</v>
      </c>
      <c r="H17" s="102" t="s">
        <v>24</v>
      </c>
      <c r="I17" s="39"/>
    </row>
    <row r="18" customHeight="1" spans="1:9">
      <c r="A18" s="102">
        <v>8</v>
      </c>
      <c r="B18" s="106" t="s">
        <v>21</v>
      </c>
      <c r="C18" s="30"/>
      <c r="D18" s="30" t="s">
        <v>964</v>
      </c>
      <c r="E18" s="35" t="s">
        <v>965</v>
      </c>
      <c r="F18" s="30" t="s">
        <v>966</v>
      </c>
      <c r="G18" s="131"/>
      <c r="H18" s="102" t="s">
        <v>53</v>
      </c>
      <c r="I18" s="39"/>
    </row>
    <row r="19" customHeight="1" spans="1:11">
      <c r="A19" s="102">
        <v>9</v>
      </c>
      <c r="B19" s="106" t="s">
        <v>21</v>
      </c>
      <c r="C19" s="30"/>
      <c r="D19" s="30" t="s">
        <v>967</v>
      </c>
      <c r="E19" s="35" t="s">
        <v>968</v>
      </c>
      <c r="F19" s="30" t="s">
        <v>969</v>
      </c>
      <c r="G19" s="131" t="s">
        <v>970</v>
      </c>
      <c r="H19" s="102" t="s">
        <v>24</v>
      </c>
      <c r="I19" s="39" t="s">
        <v>971</v>
      </c>
      <c r="J19" s="37" t="s">
        <v>972</v>
      </c>
      <c r="K19" s="37" t="s">
        <v>22</v>
      </c>
    </row>
    <row r="20" customHeight="1" spans="1:11">
      <c r="A20" s="102">
        <v>10</v>
      </c>
      <c r="B20" s="106" t="s">
        <v>21</v>
      </c>
      <c r="C20" s="30"/>
      <c r="D20" s="30" t="s">
        <v>973</v>
      </c>
      <c r="E20" s="35" t="s">
        <v>974</v>
      </c>
      <c r="F20" s="30" t="s">
        <v>975</v>
      </c>
      <c r="G20" s="131" t="s">
        <v>976</v>
      </c>
      <c r="H20" s="102" t="s">
        <v>24</v>
      </c>
      <c r="I20" s="39" t="s">
        <v>977</v>
      </c>
      <c r="J20" s="37" t="s">
        <v>972</v>
      </c>
      <c r="K20" s="37" t="s">
        <v>22</v>
      </c>
    </row>
    <row r="21" customHeight="1" spans="1:11">
      <c r="A21" s="102">
        <v>11</v>
      </c>
      <c r="B21" s="106"/>
      <c r="C21" s="30"/>
      <c r="D21" s="30" t="s">
        <v>978</v>
      </c>
      <c r="E21" s="35" t="s">
        <v>979</v>
      </c>
      <c r="F21" s="30" t="s">
        <v>980</v>
      </c>
      <c r="G21" s="131" t="s">
        <v>981</v>
      </c>
      <c r="H21" s="102" t="s">
        <v>53</v>
      </c>
      <c r="I21" s="39"/>
      <c r="J21" s="37" t="s">
        <v>161</v>
      </c>
      <c r="K21" s="37" t="s">
        <v>162</v>
      </c>
    </row>
    <row r="22" customHeight="1" spans="1:9">
      <c r="A22" s="102">
        <v>12</v>
      </c>
      <c r="B22" s="106"/>
      <c r="C22" s="30"/>
      <c r="D22" s="30" t="s">
        <v>982</v>
      </c>
      <c r="E22" s="35" t="s">
        <v>983</v>
      </c>
      <c r="F22" s="30" t="s">
        <v>984</v>
      </c>
      <c r="G22" s="131" t="s">
        <v>981</v>
      </c>
      <c r="H22" s="102" t="s">
        <v>53</v>
      </c>
      <c r="I22" s="39"/>
    </row>
    <row r="23" customHeight="1" spans="1:9">
      <c r="A23" s="102">
        <v>13</v>
      </c>
      <c r="B23" s="106"/>
      <c r="C23" s="30"/>
      <c r="D23" s="30" t="s">
        <v>985</v>
      </c>
      <c r="E23" s="35" t="s">
        <v>986</v>
      </c>
      <c r="F23" s="30" t="s">
        <v>987</v>
      </c>
      <c r="G23" s="131" t="s">
        <v>988</v>
      </c>
      <c r="H23" s="102" t="s">
        <v>53</v>
      </c>
      <c r="I23" s="39"/>
    </row>
    <row r="24" customHeight="1" spans="1:9">
      <c r="A24" s="102">
        <v>14</v>
      </c>
      <c r="B24" s="106"/>
      <c r="C24" s="36"/>
      <c r="D24" s="36" t="s">
        <v>989</v>
      </c>
      <c r="E24" s="35" t="s">
        <v>990</v>
      </c>
      <c r="F24" s="30" t="s">
        <v>991</v>
      </c>
      <c r="G24" s="131"/>
      <c r="H24" s="102" t="s">
        <v>53</v>
      </c>
      <c r="I24" s="39"/>
    </row>
    <row r="25" customHeight="1" spans="1:9">
      <c r="A25" s="102">
        <v>15</v>
      </c>
      <c r="B25" s="106"/>
      <c r="C25" s="36"/>
      <c r="D25" s="36" t="s">
        <v>992</v>
      </c>
      <c r="E25" s="35" t="s">
        <v>993</v>
      </c>
      <c r="F25" s="30" t="s">
        <v>994</v>
      </c>
      <c r="G25" s="131"/>
      <c r="H25" s="102" t="s">
        <v>53</v>
      </c>
      <c r="I25" s="39"/>
    </row>
    <row r="26" customHeight="1" spans="1:9">
      <c r="A26" s="102">
        <v>16</v>
      </c>
      <c r="B26" s="106"/>
      <c r="C26" s="30"/>
      <c r="D26" s="30" t="s">
        <v>995</v>
      </c>
      <c r="E26" s="35" t="s">
        <v>995</v>
      </c>
      <c r="F26" s="30" t="s">
        <v>996</v>
      </c>
      <c r="G26" s="131" t="s">
        <v>997</v>
      </c>
      <c r="H26" s="102" t="s">
        <v>24</v>
      </c>
      <c r="I26" s="39"/>
    </row>
    <row r="27" customHeight="1" spans="1:8">
      <c r="A27" s="102">
        <v>17</v>
      </c>
      <c r="B27" s="102"/>
      <c r="C27" s="30"/>
      <c r="D27" s="30" t="s">
        <v>998</v>
      </c>
      <c r="E27" s="35" t="s">
        <v>999</v>
      </c>
      <c r="F27" s="30" t="s">
        <v>802</v>
      </c>
      <c r="G27" s="131" t="s">
        <v>1000</v>
      </c>
      <c r="H27" s="102" t="s">
        <v>243</v>
      </c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82" zoomScaleNormal="82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42.525" style="37" customWidth="1"/>
    <col min="8" max="8" width="21.1666666666667" style="37" customWidth="1"/>
    <col min="9" max="9" width="42.3333333333333" style="37" customWidth="1"/>
    <col min="10" max="10" width="23.5166666666667" style="37" customWidth="1"/>
    <col min="11" max="11" width="15.85" style="37" customWidth="1"/>
    <col min="12" max="12" width="24.0833333333333" style="37" customWidth="1"/>
    <col min="13" max="16384" width="10.8333333333333" style="37"/>
  </cols>
  <sheetData>
    <row r="1" customHeight="1" spans="1:9">
      <c r="A1" s="100" t="s">
        <v>0</v>
      </c>
      <c r="B1" s="28" t="s">
        <v>1001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1002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941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943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 t="shared" ref="A11:A18" si="0">ROW(A11)-10</f>
        <v>1</v>
      </c>
      <c r="B11" s="106" t="s">
        <v>21</v>
      </c>
      <c r="C11" s="46"/>
      <c r="D11" s="46" t="s">
        <v>22</v>
      </c>
      <c r="E11" s="108" t="s">
        <v>22</v>
      </c>
      <c r="F11" s="46" t="s">
        <v>22</v>
      </c>
      <c r="G11" s="51" t="s">
        <v>23</v>
      </c>
      <c r="H11" s="46" t="s">
        <v>30</v>
      </c>
      <c r="I11" s="51"/>
    </row>
    <row r="12" customHeight="1" spans="1:11">
      <c r="A12" s="102">
        <f t="shared" si="0"/>
        <v>2</v>
      </c>
      <c r="B12" s="106" t="s">
        <v>21</v>
      </c>
      <c r="C12" s="46"/>
      <c r="D12" s="46" t="s">
        <v>1003</v>
      </c>
      <c r="E12" s="108" t="s">
        <v>1004</v>
      </c>
      <c r="F12" s="46" t="s">
        <v>975</v>
      </c>
      <c r="G12" s="51"/>
      <c r="H12" s="46" t="s">
        <v>24</v>
      </c>
      <c r="I12" s="51"/>
      <c r="J12" s="37" t="s">
        <v>940</v>
      </c>
      <c r="K12" s="37" t="s">
        <v>22</v>
      </c>
    </row>
    <row r="13" customHeight="1" spans="1:12">
      <c r="A13" s="102">
        <f t="shared" si="0"/>
        <v>3</v>
      </c>
      <c r="B13" s="106" t="s">
        <v>21</v>
      </c>
      <c r="C13" s="46"/>
      <c r="D13" s="46" t="s">
        <v>1005</v>
      </c>
      <c r="E13" s="108" t="s">
        <v>1006</v>
      </c>
      <c r="F13" s="46" t="s">
        <v>1007</v>
      </c>
      <c r="G13" s="136" t="s">
        <v>1008</v>
      </c>
      <c r="H13" s="46" t="s">
        <v>27</v>
      </c>
      <c r="I13" s="39" t="s">
        <v>1009</v>
      </c>
      <c r="J13" s="37" t="s">
        <v>4</v>
      </c>
      <c r="K13" s="37" t="s">
        <v>26</v>
      </c>
      <c r="L13" s="37" t="s">
        <v>1007</v>
      </c>
    </row>
    <row r="14" customHeight="1" spans="1:11">
      <c r="A14" s="102">
        <f t="shared" si="0"/>
        <v>4</v>
      </c>
      <c r="B14" s="107" t="s">
        <v>21</v>
      </c>
      <c r="C14" s="46"/>
      <c r="D14" s="46" t="s">
        <v>1010</v>
      </c>
      <c r="E14" s="108" t="s">
        <v>1011</v>
      </c>
      <c r="F14" s="46" t="s">
        <v>267</v>
      </c>
      <c r="G14" s="51"/>
      <c r="H14" s="46" t="s">
        <v>24</v>
      </c>
      <c r="I14" s="51"/>
      <c r="J14" s="37" t="s">
        <v>212</v>
      </c>
      <c r="K14" s="37" t="s">
        <v>22</v>
      </c>
    </row>
    <row r="15" customHeight="1" spans="1:11">
      <c r="A15" s="102">
        <f t="shared" si="0"/>
        <v>5</v>
      </c>
      <c r="B15" s="106" t="s">
        <v>21</v>
      </c>
      <c r="C15" s="46"/>
      <c r="D15" s="46" t="s">
        <v>436</v>
      </c>
      <c r="E15" s="108" t="s">
        <v>1012</v>
      </c>
      <c r="F15" s="46" t="s">
        <v>162</v>
      </c>
      <c r="G15" s="136" t="s">
        <v>1013</v>
      </c>
      <c r="H15" s="46" t="s">
        <v>24</v>
      </c>
      <c r="I15" s="51"/>
      <c r="J15" s="37" t="s">
        <v>161</v>
      </c>
      <c r="K15" s="37" t="s">
        <v>162</v>
      </c>
    </row>
    <row r="16" customHeight="1" spans="1:9">
      <c r="A16" s="102">
        <f t="shared" si="0"/>
        <v>6</v>
      </c>
      <c r="B16" s="106" t="s">
        <v>21</v>
      </c>
      <c r="C16" s="46"/>
      <c r="D16" s="46" t="s">
        <v>28</v>
      </c>
      <c r="E16" s="108" t="s">
        <v>1014</v>
      </c>
      <c r="F16" s="46" t="s">
        <v>1015</v>
      </c>
      <c r="G16" s="136" t="s">
        <v>1016</v>
      </c>
      <c r="H16" s="46" t="s">
        <v>24</v>
      </c>
      <c r="I16" s="51"/>
    </row>
    <row r="17" customHeight="1" spans="1:11">
      <c r="A17" s="102">
        <f t="shared" si="0"/>
        <v>7</v>
      </c>
      <c r="B17" s="106" t="s">
        <v>21</v>
      </c>
      <c r="C17" s="46"/>
      <c r="D17" s="46" t="s">
        <v>1017</v>
      </c>
      <c r="E17" s="108" t="s">
        <v>1018</v>
      </c>
      <c r="F17" s="46" t="s">
        <v>1019</v>
      </c>
      <c r="G17" s="51" t="s">
        <v>1020</v>
      </c>
      <c r="H17" s="46" t="s">
        <v>24</v>
      </c>
      <c r="I17" s="51"/>
      <c r="J17" s="37" t="s">
        <v>1021</v>
      </c>
      <c r="K17" s="46" t="s">
        <v>1019</v>
      </c>
    </row>
    <row r="18" s="132" customFormat="1" customHeight="1" spans="1:9">
      <c r="A18" s="133">
        <f t="shared" si="0"/>
        <v>8</v>
      </c>
      <c r="B18" s="134" t="s">
        <v>21</v>
      </c>
      <c r="C18" s="86" t="s">
        <v>224</v>
      </c>
      <c r="D18" s="86" t="s">
        <v>270</v>
      </c>
      <c r="E18" s="35" t="s">
        <v>270</v>
      </c>
      <c r="F18" s="36" t="s">
        <v>38</v>
      </c>
      <c r="G18" s="133"/>
      <c r="H18" s="36" t="s">
        <v>243</v>
      </c>
      <c r="I18" s="133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85" zoomScaleNormal="85" topLeftCell="B1" workbookViewId="0">
      <selection activeCell="J12" sqref="J12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66.025" style="37" customWidth="1"/>
    <col min="8" max="8" width="21.1666666666667" style="37" customWidth="1"/>
    <col min="9" max="9" width="42.3333333333333" style="37" customWidth="1"/>
    <col min="10" max="10" width="28.0833333333333" style="37" customWidth="1"/>
    <col min="11" max="16384" width="10.8333333333333" style="37"/>
  </cols>
  <sheetData>
    <row r="1" customHeight="1" spans="1:9">
      <c r="A1" s="100" t="s">
        <v>0</v>
      </c>
      <c r="B1" s="28" t="s">
        <v>1022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1023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1024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943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109" t="s">
        <v>24</v>
      </c>
      <c r="I11" s="39"/>
    </row>
    <row r="12" customHeight="1" spans="1:11">
      <c r="A12" s="102">
        <v>2</v>
      </c>
      <c r="B12" s="107" t="s">
        <v>21</v>
      </c>
      <c r="C12" s="109"/>
      <c r="D12" s="109" t="s">
        <v>1003</v>
      </c>
      <c r="E12" s="108" t="s">
        <v>1004</v>
      </c>
      <c r="F12" s="109" t="s">
        <v>975</v>
      </c>
      <c r="G12" s="131"/>
      <c r="H12" s="109" t="s">
        <v>24</v>
      </c>
      <c r="I12" s="39"/>
      <c r="J12" s="37" t="s">
        <v>940</v>
      </c>
      <c r="K12" s="37" t="s">
        <v>22</v>
      </c>
    </row>
    <row r="13" customHeight="1" spans="1:11">
      <c r="A13" s="102">
        <v>3</v>
      </c>
      <c r="B13" s="106" t="s">
        <v>21</v>
      </c>
      <c r="C13" s="30"/>
      <c r="D13" s="30" t="s">
        <v>1025</v>
      </c>
      <c r="E13" s="35" t="s">
        <v>1026</v>
      </c>
      <c r="F13" s="30" t="s">
        <v>267</v>
      </c>
      <c r="G13" s="131" t="s">
        <v>946</v>
      </c>
      <c r="H13" s="109" t="s">
        <v>24</v>
      </c>
      <c r="I13" s="39" t="s">
        <v>435</v>
      </c>
      <c r="J13" s="37" t="s">
        <v>212</v>
      </c>
      <c r="K13" s="37" t="s">
        <v>22</v>
      </c>
    </row>
    <row r="14" customHeight="1" spans="1:11">
      <c r="A14" s="102">
        <v>4</v>
      </c>
      <c r="B14" s="106"/>
      <c r="C14" s="114"/>
      <c r="D14" s="114" t="s">
        <v>947</v>
      </c>
      <c r="E14" s="35" t="s">
        <v>1027</v>
      </c>
      <c r="F14" s="30" t="s">
        <v>280</v>
      </c>
      <c r="G14" s="131"/>
      <c r="H14" s="109" t="s">
        <v>24</v>
      </c>
      <c r="I14" s="39"/>
      <c r="J14" s="37" t="s">
        <v>262</v>
      </c>
      <c r="K14" s="37" t="s">
        <v>22</v>
      </c>
    </row>
    <row r="15" customHeight="1" spans="1:9">
      <c r="A15" s="102">
        <v>5</v>
      </c>
      <c r="B15" s="106" t="s">
        <v>21</v>
      </c>
      <c r="C15" s="30"/>
      <c r="D15" s="30" t="s">
        <v>950</v>
      </c>
      <c r="E15" s="35" t="s">
        <v>950</v>
      </c>
      <c r="F15" s="30" t="s">
        <v>952</v>
      </c>
      <c r="G15" s="131"/>
      <c r="H15" s="109" t="s">
        <v>953</v>
      </c>
      <c r="I15" s="39"/>
    </row>
    <row r="16" s="132" customFormat="1" customHeight="1" spans="1:9">
      <c r="A16" s="133">
        <v>6</v>
      </c>
      <c r="B16" s="134" t="s">
        <v>21</v>
      </c>
      <c r="C16" s="86" t="s">
        <v>224</v>
      </c>
      <c r="D16" s="86" t="s">
        <v>270</v>
      </c>
      <c r="E16" s="35" t="s">
        <v>270</v>
      </c>
      <c r="F16" s="36" t="s">
        <v>38</v>
      </c>
      <c r="G16" s="135"/>
      <c r="H16" s="36" t="s">
        <v>243</v>
      </c>
      <c r="I16" s="4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75" zoomScaleNormal="75" workbookViewId="0">
      <selection activeCell="I20" sqref="I20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73.3333333333333" style="37" customWidth="1"/>
    <col min="8" max="8" width="21.1666666666667" style="37" customWidth="1"/>
    <col min="9" max="9" width="53.1666666666667" style="37" customWidth="1"/>
    <col min="10" max="10" width="28.5" style="37" customWidth="1"/>
    <col min="11" max="11" width="10.8333333333333" style="37"/>
    <col min="12" max="12" width="18.8333333333333" style="37" customWidth="1"/>
    <col min="13" max="16384" width="10.8333333333333" style="37"/>
  </cols>
  <sheetData>
    <row r="1" customHeight="1" spans="1:9">
      <c r="A1" s="100" t="s">
        <v>0</v>
      </c>
      <c r="B1" s="28" t="s">
        <v>1028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1029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1030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1031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102" t="s">
        <v>24</v>
      </c>
      <c r="I11" s="39"/>
    </row>
    <row r="12" customHeight="1" spans="1:11">
      <c r="A12" s="102">
        <v>2</v>
      </c>
      <c r="B12" s="107" t="s">
        <v>21</v>
      </c>
      <c r="C12" s="109"/>
      <c r="D12" s="109" t="s">
        <v>944</v>
      </c>
      <c r="E12" s="108" t="s">
        <v>945</v>
      </c>
      <c r="F12" s="109" t="s">
        <v>267</v>
      </c>
      <c r="G12" s="131" t="s">
        <v>946</v>
      </c>
      <c r="H12" s="102" t="s">
        <v>24</v>
      </c>
      <c r="I12" s="39" t="s">
        <v>435</v>
      </c>
      <c r="J12" s="37" t="s">
        <v>212</v>
      </c>
      <c r="K12" s="37" t="s">
        <v>22</v>
      </c>
    </row>
    <row r="13" customHeight="1" spans="1:11">
      <c r="A13" s="102">
        <v>3</v>
      </c>
      <c r="B13" s="106" t="s">
        <v>21</v>
      </c>
      <c r="C13" s="30"/>
      <c r="D13" s="30" t="s">
        <v>947</v>
      </c>
      <c r="E13" s="35" t="s">
        <v>948</v>
      </c>
      <c r="F13" s="30" t="s">
        <v>280</v>
      </c>
      <c r="G13" s="131"/>
      <c r="H13" s="102" t="s">
        <v>24</v>
      </c>
      <c r="I13" s="39"/>
      <c r="J13" s="37" t="s">
        <v>262</v>
      </c>
      <c r="K13" s="37" t="s">
        <v>22</v>
      </c>
    </row>
    <row r="14" customHeight="1" spans="1:9">
      <c r="A14" s="102">
        <v>4</v>
      </c>
      <c r="B14" s="106" t="s">
        <v>21</v>
      </c>
      <c r="C14" s="36"/>
      <c r="D14" s="36" t="s">
        <v>950</v>
      </c>
      <c r="E14" s="35" t="s">
        <v>951</v>
      </c>
      <c r="F14" s="30" t="s">
        <v>952</v>
      </c>
      <c r="G14" s="131"/>
      <c r="H14" s="102" t="s">
        <v>953</v>
      </c>
      <c r="I14" s="39"/>
    </row>
    <row r="15" customHeight="1" spans="1:9">
      <c r="A15" s="102">
        <v>5</v>
      </c>
      <c r="B15" s="106" t="s">
        <v>21</v>
      </c>
      <c r="C15" s="30"/>
      <c r="D15" s="30" t="s">
        <v>954</v>
      </c>
      <c r="E15" s="35" t="s">
        <v>1032</v>
      </c>
      <c r="F15" s="30" t="s">
        <v>956</v>
      </c>
      <c r="G15" s="131"/>
      <c r="H15" s="102" t="s">
        <v>53</v>
      </c>
      <c r="I15" s="39"/>
    </row>
    <row r="16" customHeight="1" spans="1:9">
      <c r="A16" s="102">
        <v>6</v>
      </c>
      <c r="B16" s="106" t="s">
        <v>21</v>
      </c>
      <c r="C16" s="30"/>
      <c r="D16" s="30" t="s">
        <v>199</v>
      </c>
      <c r="E16" s="35" t="s">
        <v>1033</v>
      </c>
      <c r="F16" s="30" t="s">
        <v>1034</v>
      </c>
      <c r="G16" s="131" t="s">
        <v>239</v>
      </c>
      <c r="H16" s="102" t="s">
        <v>24</v>
      </c>
      <c r="I16" s="39"/>
    </row>
    <row r="17" customHeight="1" spans="1:9">
      <c r="A17" s="102">
        <v>7</v>
      </c>
      <c r="B17" s="106" t="s">
        <v>21</v>
      </c>
      <c r="C17" s="30"/>
      <c r="D17" s="30" t="s">
        <v>957</v>
      </c>
      <c r="E17" s="35" t="s">
        <v>957</v>
      </c>
      <c r="F17" s="30" t="s">
        <v>839</v>
      </c>
      <c r="G17" s="131" t="s">
        <v>959</v>
      </c>
      <c r="H17" s="102" t="s">
        <v>411</v>
      </c>
      <c r="I17" s="39"/>
    </row>
    <row r="18" customHeight="1" spans="1:9">
      <c r="A18" s="102">
        <v>8</v>
      </c>
      <c r="B18" s="106" t="s">
        <v>21</v>
      </c>
      <c r="C18" s="36"/>
      <c r="D18" s="36" t="s">
        <v>960</v>
      </c>
      <c r="E18" s="35" t="s">
        <v>1035</v>
      </c>
      <c r="F18" s="30" t="s">
        <v>962</v>
      </c>
      <c r="G18" s="131"/>
      <c r="H18" s="102" t="s">
        <v>24</v>
      </c>
      <c r="I18" s="39"/>
    </row>
    <row r="19" customHeight="1" spans="1:9">
      <c r="A19" s="102">
        <v>9</v>
      </c>
      <c r="B19" s="106" t="s">
        <v>21</v>
      </c>
      <c r="C19" s="30"/>
      <c r="D19" s="30" t="s">
        <v>1036</v>
      </c>
      <c r="E19" s="35" t="s">
        <v>1036</v>
      </c>
      <c r="F19" s="30" t="s">
        <v>1037</v>
      </c>
      <c r="G19" s="131"/>
      <c r="H19" s="102" t="s">
        <v>53</v>
      </c>
      <c r="I19" s="39"/>
    </row>
    <row r="20" customHeight="1" spans="1:11">
      <c r="A20" s="102">
        <v>10</v>
      </c>
      <c r="B20" s="106" t="s">
        <v>21</v>
      </c>
      <c r="C20" s="36"/>
      <c r="D20" s="36" t="s">
        <v>967</v>
      </c>
      <c r="E20" s="35" t="s">
        <v>1038</v>
      </c>
      <c r="F20" s="30" t="s">
        <v>1039</v>
      </c>
      <c r="G20" s="131" t="s">
        <v>1040</v>
      </c>
      <c r="H20" s="102" t="s">
        <v>24</v>
      </c>
      <c r="I20" s="39" t="s">
        <v>1041</v>
      </c>
      <c r="J20" s="37" t="s">
        <v>1042</v>
      </c>
      <c r="K20" s="37" t="s">
        <v>22</v>
      </c>
    </row>
    <row r="21" customHeight="1" spans="1:11">
      <c r="A21" s="102">
        <v>11</v>
      </c>
      <c r="B21" s="106"/>
      <c r="C21" s="36"/>
      <c r="D21" s="36" t="s">
        <v>1043</v>
      </c>
      <c r="E21" s="35" t="s">
        <v>1044</v>
      </c>
      <c r="F21" s="30" t="s">
        <v>1045</v>
      </c>
      <c r="G21" s="131" t="s">
        <v>1046</v>
      </c>
      <c r="H21" s="102" t="s">
        <v>24</v>
      </c>
      <c r="I21" s="39" t="s">
        <v>1047</v>
      </c>
      <c r="J21" s="37" t="s">
        <v>1042</v>
      </c>
      <c r="K21" s="37" t="s">
        <v>22</v>
      </c>
    </row>
    <row r="22" customHeight="1" spans="1:9">
      <c r="A22" s="102">
        <v>12</v>
      </c>
      <c r="B22" s="106" t="s">
        <v>21</v>
      </c>
      <c r="C22" s="36"/>
      <c r="D22" s="36" t="s">
        <v>1048</v>
      </c>
      <c r="E22" s="35" t="s">
        <v>1048</v>
      </c>
      <c r="F22" s="30" t="s">
        <v>1049</v>
      </c>
      <c r="G22" s="131"/>
      <c r="H22" s="102" t="s">
        <v>24</v>
      </c>
      <c r="I22" s="39"/>
    </row>
    <row r="23" customHeight="1" spans="1:11">
      <c r="A23" s="102">
        <v>13</v>
      </c>
      <c r="B23" s="106" t="s">
        <v>21</v>
      </c>
      <c r="C23" s="30"/>
      <c r="D23" s="30" t="s">
        <v>973</v>
      </c>
      <c r="E23" s="35" t="s">
        <v>1050</v>
      </c>
      <c r="F23" s="30" t="s">
        <v>1051</v>
      </c>
      <c r="G23" s="131" t="s">
        <v>1052</v>
      </c>
      <c r="H23" s="102" t="s">
        <v>24</v>
      </c>
      <c r="I23" s="39" t="s">
        <v>1053</v>
      </c>
      <c r="J23" s="37" t="s">
        <v>1054</v>
      </c>
      <c r="K23" s="37" t="s">
        <v>22</v>
      </c>
    </row>
    <row r="24" customHeight="1" spans="1:11">
      <c r="A24" s="102">
        <v>14</v>
      </c>
      <c r="B24" s="106" t="s">
        <v>21</v>
      </c>
      <c r="C24" s="30"/>
      <c r="D24" s="30" t="s">
        <v>1055</v>
      </c>
      <c r="E24" s="35" t="s">
        <v>1056</v>
      </c>
      <c r="F24" s="30" t="s">
        <v>255</v>
      </c>
      <c r="G24" s="131"/>
      <c r="H24" s="102" t="s">
        <v>24</v>
      </c>
      <c r="I24" s="39"/>
      <c r="J24" s="37" t="s">
        <v>161</v>
      </c>
      <c r="K24" s="37" t="s">
        <v>162</v>
      </c>
    </row>
    <row r="25" customHeight="1" spans="1:9">
      <c r="A25" s="102">
        <v>15</v>
      </c>
      <c r="B25" s="106" t="s">
        <v>21</v>
      </c>
      <c r="C25" s="30"/>
      <c r="D25" s="30" t="s">
        <v>1057</v>
      </c>
      <c r="E25" s="35" t="s">
        <v>1058</v>
      </c>
      <c r="F25" s="30" t="s">
        <v>1059</v>
      </c>
      <c r="G25" s="131"/>
      <c r="H25" s="102" t="s">
        <v>24</v>
      </c>
      <c r="I25" s="39"/>
    </row>
    <row r="26" customHeight="1" spans="1:9">
      <c r="A26" s="102">
        <v>16</v>
      </c>
      <c r="B26" s="106"/>
      <c r="C26" s="36"/>
      <c r="D26" s="36" t="s">
        <v>1060</v>
      </c>
      <c r="E26" s="35" t="s">
        <v>1061</v>
      </c>
      <c r="F26" s="30" t="s">
        <v>1062</v>
      </c>
      <c r="G26" s="131"/>
      <c r="H26" s="102" t="s">
        <v>1063</v>
      </c>
      <c r="I26" s="39"/>
    </row>
    <row r="27" customHeight="1" spans="1:9">
      <c r="A27" s="102">
        <v>17</v>
      </c>
      <c r="B27" s="106"/>
      <c r="C27" s="36"/>
      <c r="D27" s="36" t="s">
        <v>1064</v>
      </c>
      <c r="E27" s="35" t="s">
        <v>1065</v>
      </c>
      <c r="F27" s="30" t="s">
        <v>1066</v>
      </c>
      <c r="G27" s="131"/>
      <c r="H27" s="102" t="s">
        <v>1063</v>
      </c>
      <c r="I27" s="39"/>
    </row>
    <row r="28" customHeight="1" spans="1:9">
      <c r="A28" s="102">
        <v>18</v>
      </c>
      <c r="B28" s="106"/>
      <c r="C28" s="30"/>
      <c r="D28" s="30" t="s">
        <v>995</v>
      </c>
      <c r="E28" s="35" t="s">
        <v>995</v>
      </c>
      <c r="F28" s="30" t="s">
        <v>996</v>
      </c>
      <c r="G28" s="131" t="s">
        <v>997</v>
      </c>
      <c r="H28" s="102" t="s">
        <v>53</v>
      </c>
      <c r="I28" s="39"/>
    </row>
    <row r="29" customHeight="1" spans="1:11">
      <c r="A29" s="102">
        <v>19</v>
      </c>
      <c r="B29" s="106" t="s">
        <v>21</v>
      </c>
      <c r="C29" s="30"/>
      <c r="D29" s="30" t="s">
        <v>978</v>
      </c>
      <c r="E29" s="35" t="s">
        <v>979</v>
      </c>
      <c r="F29" s="30" t="s">
        <v>980</v>
      </c>
      <c r="G29" s="131"/>
      <c r="H29" s="102" t="s">
        <v>53</v>
      </c>
      <c r="I29" s="39"/>
      <c r="J29" s="37" t="s">
        <v>161</v>
      </c>
      <c r="K29" s="37" t="s">
        <v>162</v>
      </c>
    </row>
    <row r="30" customHeight="1" spans="1:9">
      <c r="A30" s="102">
        <v>20</v>
      </c>
      <c r="B30" s="106" t="s">
        <v>21</v>
      </c>
      <c r="C30" s="30"/>
      <c r="D30" s="30" t="s">
        <v>982</v>
      </c>
      <c r="E30" s="35" t="s">
        <v>983</v>
      </c>
      <c r="F30" s="30" t="s">
        <v>984</v>
      </c>
      <c r="G30" s="131"/>
      <c r="H30" s="102" t="s">
        <v>53</v>
      </c>
      <c r="I30" s="39"/>
    </row>
    <row r="31" customHeight="1" spans="1:9">
      <c r="A31" s="102">
        <v>21</v>
      </c>
      <c r="B31" s="106"/>
      <c r="C31" s="36"/>
      <c r="D31" s="36" t="s">
        <v>989</v>
      </c>
      <c r="E31" s="35" t="s">
        <v>990</v>
      </c>
      <c r="F31" s="30" t="s">
        <v>991</v>
      </c>
      <c r="G31" s="131"/>
      <c r="H31" s="102" t="s">
        <v>53</v>
      </c>
      <c r="I31" s="39"/>
    </row>
    <row r="32" customHeight="1" spans="1:9">
      <c r="A32" s="102">
        <v>22</v>
      </c>
      <c r="B32" s="106"/>
      <c r="C32" s="36"/>
      <c r="D32" s="36" t="s">
        <v>992</v>
      </c>
      <c r="E32" s="35" t="s">
        <v>993</v>
      </c>
      <c r="F32" s="30" t="s">
        <v>994</v>
      </c>
      <c r="G32" s="131"/>
      <c r="H32" s="102" t="s">
        <v>53</v>
      </c>
      <c r="I32" s="39"/>
    </row>
    <row r="33" customHeight="1" spans="1:12">
      <c r="A33" s="102">
        <v>23</v>
      </c>
      <c r="B33" s="106"/>
      <c r="C33" s="30"/>
      <c r="D33" s="30" t="s">
        <v>1067</v>
      </c>
      <c r="E33" s="35" t="s">
        <v>1050</v>
      </c>
      <c r="F33" s="30" t="s">
        <v>1068</v>
      </c>
      <c r="G33" s="131"/>
      <c r="H33" s="102" t="s">
        <v>27</v>
      </c>
      <c r="I33" s="102"/>
      <c r="J33" s="37" t="s">
        <v>4</v>
      </c>
      <c r="K33" s="37" t="s">
        <v>26</v>
      </c>
      <c r="L33" s="30" t="s">
        <v>1068</v>
      </c>
    </row>
    <row r="34" customHeight="1" spans="1:12">
      <c r="A34" s="102">
        <v>24</v>
      </c>
      <c r="B34" s="106"/>
      <c r="C34" s="30"/>
      <c r="D34" s="30" t="s">
        <v>1069</v>
      </c>
      <c r="E34" s="35" t="s">
        <v>1070</v>
      </c>
      <c r="F34" s="30" t="s">
        <v>1071</v>
      </c>
      <c r="G34" s="131"/>
      <c r="H34" s="102" t="s">
        <v>27</v>
      </c>
      <c r="I34" s="102"/>
      <c r="J34" s="37" t="s">
        <v>4</v>
      </c>
      <c r="K34" s="37" t="s">
        <v>26</v>
      </c>
      <c r="L34" s="30" t="s">
        <v>1071</v>
      </c>
    </row>
    <row r="35" customHeight="1" spans="1:12">
      <c r="A35" s="102">
        <v>25</v>
      </c>
      <c r="B35" s="106"/>
      <c r="C35" s="30"/>
      <c r="D35" s="30" t="s">
        <v>1072</v>
      </c>
      <c r="E35" s="35" t="s">
        <v>1073</v>
      </c>
      <c r="F35" s="30" t="s">
        <v>1074</v>
      </c>
      <c r="G35" s="131"/>
      <c r="H35" s="102" t="s">
        <v>27</v>
      </c>
      <c r="I35" s="102"/>
      <c r="J35" s="37" t="s">
        <v>4</v>
      </c>
      <c r="K35" s="37" t="s">
        <v>26</v>
      </c>
      <c r="L35" s="30" t="s">
        <v>1074</v>
      </c>
    </row>
    <row r="36" customHeight="1" spans="1:9">
      <c r="A36" s="102">
        <v>26</v>
      </c>
      <c r="B36" s="106"/>
      <c r="C36" s="36"/>
      <c r="D36" s="36" t="s">
        <v>202</v>
      </c>
      <c r="E36" s="35" t="s">
        <v>1075</v>
      </c>
      <c r="F36" s="30" t="s">
        <v>204</v>
      </c>
      <c r="G36" s="131"/>
      <c r="H36" s="102" t="s">
        <v>42</v>
      </c>
      <c r="I36" s="102"/>
    </row>
    <row r="37" customHeight="1" spans="1:9">
      <c r="A37" s="102">
        <v>27</v>
      </c>
      <c r="B37" s="106"/>
      <c r="C37" s="36"/>
      <c r="D37" s="36" t="s">
        <v>205</v>
      </c>
      <c r="E37" s="35" t="s">
        <v>1076</v>
      </c>
      <c r="F37" s="30" t="s">
        <v>207</v>
      </c>
      <c r="G37" s="131"/>
      <c r="H37" s="102" t="s">
        <v>42</v>
      </c>
      <c r="I37" s="102"/>
    </row>
    <row r="38" customHeight="1" spans="1:9">
      <c r="A38" s="102">
        <v>28</v>
      </c>
      <c r="B38" s="106"/>
      <c r="C38" s="36"/>
      <c r="D38" s="36" t="s">
        <v>208</v>
      </c>
      <c r="E38" s="35" t="s">
        <v>1077</v>
      </c>
      <c r="F38" s="30" t="s">
        <v>210</v>
      </c>
      <c r="G38" s="131"/>
      <c r="H38" s="102" t="s">
        <v>42</v>
      </c>
      <c r="I38" s="102"/>
    </row>
    <row r="39" customHeight="1" spans="1:9">
      <c r="A39" s="102">
        <v>29</v>
      </c>
      <c r="B39" s="106"/>
      <c r="C39" s="36"/>
      <c r="D39" s="36" t="s">
        <v>199</v>
      </c>
      <c r="E39" s="35" t="s">
        <v>1078</v>
      </c>
      <c r="F39" s="30" t="s">
        <v>201</v>
      </c>
      <c r="G39" s="131"/>
      <c r="H39" s="102" t="s">
        <v>42</v>
      </c>
      <c r="I39" s="10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zoomScale="85" zoomScaleNormal="85" workbookViewId="0">
      <selection activeCell="J17" sqref="J17"/>
    </sheetView>
  </sheetViews>
  <sheetFormatPr defaultColWidth="10.8333333333333" defaultRowHeight="35" customHeight="1"/>
  <cols>
    <col min="1" max="2" width="5.66666666666667" style="37" customWidth="1"/>
    <col min="3" max="3" width="14.4083333333333" style="37" customWidth="1"/>
    <col min="4" max="5" width="20.5" style="37" customWidth="1"/>
    <col min="6" max="6" width="20.6666666666667" style="97" customWidth="1"/>
    <col min="7" max="7" width="55.575" style="37" customWidth="1"/>
    <col min="8" max="8" width="21.1666666666667" style="37" customWidth="1"/>
    <col min="9" max="9" width="42.3333333333333" style="37" customWidth="1"/>
    <col min="10" max="10" width="24.8416666666667" style="37" customWidth="1"/>
    <col min="11" max="11" width="12.05" style="37" customWidth="1"/>
    <col min="12" max="12" width="21.3166666666667" style="37" customWidth="1"/>
    <col min="13" max="16384" width="10.8333333333333" style="37"/>
  </cols>
  <sheetData>
    <row r="1" customHeight="1" spans="1:9">
      <c r="A1" s="100" t="s">
        <v>0</v>
      </c>
      <c r="B1" s="28" t="s">
        <v>1079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1080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1081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943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f t="shared" ref="A11:A18" si="0">ROW(A11)-10</f>
        <v>1</v>
      </c>
      <c r="B11" s="106" t="s">
        <v>21</v>
      </c>
      <c r="C11" s="46"/>
      <c r="D11" s="46" t="s">
        <v>22</v>
      </c>
      <c r="E11" s="108" t="s">
        <v>22</v>
      </c>
      <c r="F11" s="46" t="s">
        <v>22</v>
      </c>
      <c r="G11" s="51" t="s">
        <v>23</v>
      </c>
      <c r="H11" s="46" t="s">
        <v>30</v>
      </c>
      <c r="I11" s="51"/>
    </row>
    <row r="12" customHeight="1" spans="1:11">
      <c r="A12" s="102">
        <f t="shared" si="0"/>
        <v>2</v>
      </c>
      <c r="B12" s="106" t="s">
        <v>21</v>
      </c>
      <c r="C12" s="46"/>
      <c r="D12" s="46" t="s">
        <v>1003</v>
      </c>
      <c r="E12" s="108" t="s">
        <v>1004</v>
      </c>
      <c r="F12" s="46" t="s">
        <v>1045</v>
      </c>
      <c r="G12" s="51"/>
      <c r="H12" s="46" t="s">
        <v>24</v>
      </c>
      <c r="I12" s="51"/>
      <c r="J12" s="37" t="s">
        <v>1029</v>
      </c>
      <c r="K12" s="37" t="s">
        <v>22</v>
      </c>
    </row>
    <row r="13" customHeight="1" spans="1:12">
      <c r="A13" s="102">
        <f t="shared" si="0"/>
        <v>3</v>
      </c>
      <c r="B13" s="106" t="s">
        <v>21</v>
      </c>
      <c r="C13" s="46"/>
      <c r="D13" s="46" t="s">
        <v>1005</v>
      </c>
      <c r="E13" s="108" t="s">
        <v>1082</v>
      </c>
      <c r="F13" s="46" t="s">
        <v>1007</v>
      </c>
      <c r="G13" s="136" t="s">
        <v>1008</v>
      </c>
      <c r="H13" s="46" t="s">
        <v>27</v>
      </c>
      <c r="I13" s="39" t="s">
        <v>1009</v>
      </c>
      <c r="J13" s="37" t="s">
        <v>4</v>
      </c>
      <c r="K13" s="37" t="s">
        <v>26</v>
      </c>
      <c r="L13" s="46" t="s">
        <v>1007</v>
      </c>
    </row>
    <row r="14" customHeight="1" spans="1:11">
      <c r="A14" s="102">
        <f t="shared" si="0"/>
        <v>4</v>
      </c>
      <c r="B14" s="107" t="s">
        <v>21</v>
      </c>
      <c r="C14" s="46"/>
      <c r="D14" s="46" t="s">
        <v>1010</v>
      </c>
      <c r="E14" s="108" t="s">
        <v>1083</v>
      </c>
      <c r="F14" s="46" t="s">
        <v>267</v>
      </c>
      <c r="G14" s="51"/>
      <c r="H14" s="46" t="s">
        <v>24</v>
      </c>
      <c r="I14" s="51"/>
      <c r="J14" s="37" t="s">
        <v>212</v>
      </c>
      <c r="K14" s="37" t="s">
        <v>22</v>
      </c>
    </row>
    <row r="15" customHeight="1" spans="1:11">
      <c r="A15" s="102">
        <f t="shared" si="0"/>
        <v>5</v>
      </c>
      <c r="B15" s="106" t="s">
        <v>21</v>
      </c>
      <c r="C15" s="46"/>
      <c r="D15" s="46" t="s">
        <v>436</v>
      </c>
      <c r="E15" s="108" t="s">
        <v>1012</v>
      </c>
      <c r="F15" s="46" t="s">
        <v>162</v>
      </c>
      <c r="G15" s="136" t="s">
        <v>1013</v>
      </c>
      <c r="H15" s="46" t="s">
        <v>24</v>
      </c>
      <c r="I15" s="51"/>
      <c r="J15" s="37" t="s">
        <v>161</v>
      </c>
      <c r="K15" s="37" t="s">
        <v>162</v>
      </c>
    </row>
    <row r="16" customHeight="1" spans="1:9">
      <c r="A16" s="102">
        <f t="shared" si="0"/>
        <v>6</v>
      </c>
      <c r="B16" s="106" t="s">
        <v>21</v>
      </c>
      <c r="C16" s="46"/>
      <c r="D16" s="46" t="s">
        <v>28</v>
      </c>
      <c r="E16" s="108" t="s">
        <v>1014</v>
      </c>
      <c r="F16" s="46" t="s">
        <v>1015</v>
      </c>
      <c r="G16" s="136" t="s">
        <v>1016</v>
      </c>
      <c r="H16" s="46" t="s">
        <v>24</v>
      </c>
      <c r="I16" s="51"/>
    </row>
    <row r="17" customHeight="1" spans="1:11">
      <c r="A17" s="102">
        <f t="shared" si="0"/>
        <v>7</v>
      </c>
      <c r="B17" s="106" t="s">
        <v>21</v>
      </c>
      <c r="C17" s="46"/>
      <c r="D17" s="46" t="s">
        <v>1017</v>
      </c>
      <c r="E17" s="108" t="s">
        <v>1018</v>
      </c>
      <c r="F17" s="46" t="s">
        <v>1019</v>
      </c>
      <c r="G17" s="51" t="s">
        <v>1020</v>
      </c>
      <c r="H17" s="46" t="s">
        <v>24</v>
      </c>
      <c r="I17" s="51"/>
      <c r="J17" s="37" t="s">
        <v>1021</v>
      </c>
      <c r="K17" s="46" t="s">
        <v>1019</v>
      </c>
    </row>
    <row r="18" s="132" customFormat="1" customHeight="1" spans="1:9">
      <c r="A18" s="133">
        <f t="shared" si="0"/>
        <v>8</v>
      </c>
      <c r="B18" s="134" t="s">
        <v>21</v>
      </c>
      <c r="C18" s="86" t="s">
        <v>224</v>
      </c>
      <c r="D18" s="86" t="s">
        <v>270</v>
      </c>
      <c r="E18" s="35" t="s">
        <v>240</v>
      </c>
      <c r="F18" s="36" t="s">
        <v>38</v>
      </c>
      <c r="G18" s="133"/>
      <c r="H18" s="36" t="s">
        <v>243</v>
      </c>
      <c r="I18" s="133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90" zoomScaleNormal="90" workbookViewId="0">
      <selection activeCell="F4" sqref="F4:I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49.025" style="37" customWidth="1"/>
    <col min="8" max="8" width="21.1666666666667" style="37" customWidth="1"/>
    <col min="9" max="9" width="42.3333333333333" style="37" customWidth="1"/>
    <col min="10" max="10" width="23.8916666666667" style="37" customWidth="1"/>
    <col min="11" max="16384" width="10.8333333333333" style="37"/>
  </cols>
  <sheetData>
    <row r="1" customHeight="1" spans="1:9">
      <c r="A1" s="100" t="s">
        <v>0</v>
      </c>
      <c r="B1" s="28" t="s">
        <v>1084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1085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1086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943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109" t="s">
        <v>24</v>
      </c>
      <c r="I11" s="51"/>
    </row>
    <row r="12" customHeight="1" spans="1:11">
      <c r="A12" s="102">
        <v>2</v>
      </c>
      <c r="B12" s="107" t="s">
        <v>21</v>
      </c>
      <c r="C12" s="109"/>
      <c r="D12" s="109" t="s">
        <v>1087</v>
      </c>
      <c r="E12" s="108" t="s">
        <v>1088</v>
      </c>
      <c r="F12" s="109" t="s">
        <v>1045</v>
      </c>
      <c r="G12" s="131"/>
      <c r="H12" s="109" t="s">
        <v>24</v>
      </c>
      <c r="I12" s="51"/>
      <c r="J12" s="37" t="s">
        <v>1029</v>
      </c>
      <c r="K12" s="37" t="s">
        <v>22</v>
      </c>
    </row>
    <row r="13" customHeight="1" spans="1:11">
      <c r="A13" s="102">
        <v>3</v>
      </c>
      <c r="B13" s="106" t="s">
        <v>21</v>
      </c>
      <c r="C13" s="30"/>
      <c r="D13" s="30" t="s">
        <v>1025</v>
      </c>
      <c r="E13" s="35" t="s">
        <v>1089</v>
      </c>
      <c r="F13" s="30" t="s">
        <v>267</v>
      </c>
      <c r="G13" s="131" t="s">
        <v>946</v>
      </c>
      <c r="H13" s="109" t="s">
        <v>24</v>
      </c>
      <c r="I13" s="51" t="s">
        <v>435</v>
      </c>
      <c r="J13" s="37" t="s">
        <v>212</v>
      </c>
      <c r="K13" s="37" t="s">
        <v>22</v>
      </c>
    </row>
    <row r="14" customHeight="1" spans="1:11">
      <c r="A14" s="102">
        <v>4</v>
      </c>
      <c r="B14" s="106"/>
      <c r="C14" s="30"/>
      <c r="D14" s="30" t="s">
        <v>947</v>
      </c>
      <c r="E14" s="35" t="s">
        <v>1090</v>
      </c>
      <c r="F14" s="30" t="s">
        <v>280</v>
      </c>
      <c r="G14" s="131"/>
      <c r="H14" s="109" t="s">
        <v>24</v>
      </c>
      <c r="I14" s="51"/>
      <c r="J14" s="37" t="s">
        <v>262</v>
      </c>
      <c r="K14" s="37" t="s">
        <v>22</v>
      </c>
    </row>
    <row r="15" customHeight="1" spans="1:9">
      <c r="A15" s="102">
        <v>5</v>
      </c>
      <c r="B15" s="106" t="s">
        <v>21</v>
      </c>
      <c r="C15" s="30"/>
      <c r="D15" s="30" t="s">
        <v>950</v>
      </c>
      <c r="E15" s="35" t="s">
        <v>950</v>
      </c>
      <c r="F15" s="30" t="s">
        <v>952</v>
      </c>
      <c r="G15" s="131"/>
      <c r="H15" s="109" t="s">
        <v>953</v>
      </c>
      <c r="I15" s="51"/>
    </row>
    <row r="16" s="132" customFormat="1" customHeight="1" spans="1:9">
      <c r="A16" s="133">
        <v>6</v>
      </c>
      <c r="B16" s="134" t="s">
        <v>21</v>
      </c>
      <c r="C16" s="86" t="s">
        <v>224</v>
      </c>
      <c r="D16" s="86" t="s">
        <v>270</v>
      </c>
      <c r="E16" s="35" t="s">
        <v>240</v>
      </c>
      <c r="F16" s="36" t="s">
        <v>38</v>
      </c>
      <c r="G16" s="135"/>
      <c r="H16" s="36" t="s">
        <v>243</v>
      </c>
      <c r="I16" s="136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zoomScale="85" zoomScaleNormal="85" workbookViewId="0">
      <selection activeCell="E14" sqref="E14"/>
    </sheetView>
  </sheetViews>
  <sheetFormatPr defaultColWidth="10.8333333333333" defaultRowHeight="35" customHeight="1"/>
  <cols>
    <col min="1" max="2" width="5.66666666666667" style="37" customWidth="1"/>
    <col min="3" max="5" width="20.5" style="37" customWidth="1"/>
    <col min="6" max="6" width="20.6666666666667" style="97" customWidth="1"/>
    <col min="7" max="7" width="32.6333333333333" style="37" customWidth="1"/>
    <col min="8" max="8" width="21.1666666666667" style="37" customWidth="1"/>
    <col min="9" max="9" width="42.3333333333333" style="37" customWidth="1"/>
    <col min="10" max="10" width="23.525" style="37" customWidth="1"/>
    <col min="11" max="11" width="21.8333333333333" style="37" customWidth="1"/>
    <col min="12" max="12" width="23.2333333333333" style="37" customWidth="1"/>
    <col min="13" max="16384" width="10.8333333333333" style="37"/>
  </cols>
  <sheetData>
    <row r="1" customHeight="1" spans="1:9">
      <c r="A1" s="100" t="s">
        <v>0</v>
      </c>
      <c r="B1" s="28" t="s">
        <v>1091</v>
      </c>
      <c r="C1" s="99"/>
      <c r="D1" s="99"/>
      <c r="E1" s="99"/>
      <c r="F1" s="99"/>
      <c r="G1" s="99"/>
      <c r="H1" s="99"/>
      <c r="I1" s="99"/>
    </row>
    <row r="2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customHeight="1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customHeight="1" spans="1:9">
      <c r="A4" s="102">
        <v>1</v>
      </c>
      <c r="B4" s="102" t="s">
        <v>3</v>
      </c>
      <c r="C4" s="102"/>
      <c r="D4" s="102"/>
      <c r="E4" s="102"/>
      <c r="F4" s="51" t="s">
        <v>1092</v>
      </c>
      <c r="G4" s="51"/>
      <c r="H4" s="51"/>
      <c r="I4" s="51"/>
    </row>
    <row r="5" customHeight="1" spans="1:9">
      <c r="A5" s="102">
        <v>2</v>
      </c>
      <c r="B5" s="102" t="s">
        <v>5</v>
      </c>
      <c r="C5" s="102"/>
      <c r="D5" s="102"/>
      <c r="E5" s="102"/>
      <c r="F5" s="51" t="s">
        <v>1093</v>
      </c>
      <c r="G5" s="51"/>
      <c r="H5" s="51"/>
      <c r="I5" s="51"/>
    </row>
    <row r="6" customHeight="1" spans="1:9">
      <c r="A6" s="102">
        <v>3</v>
      </c>
      <c r="B6" s="102" t="s">
        <v>6</v>
      </c>
      <c r="C6" s="102"/>
      <c r="D6" s="102"/>
      <c r="E6" s="102"/>
      <c r="F6" s="51"/>
      <c r="G6" s="51"/>
      <c r="H6" s="51"/>
      <c r="I6" s="51"/>
    </row>
    <row r="7" customHeight="1" spans="1:9">
      <c r="A7" s="102">
        <v>4</v>
      </c>
      <c r="B7" s="102" t="s">
        <v>8</v>
      </c>
      <c r="C7" s="102"/>
      <c r="D7" s="102"/>
      <c r="E7" s="102"/>
      <c r="F7" s="51" t="s">
        <v>943</v>
      </c>
      <c r="G7" s="51"/>
      <c r="H7" s="51"/>
      <c r="I7" s="51"/>
    </row>
    <row r="8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customHeight="1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131" t="s">
        <v>23</v>
      </c>
      <c r="H11" s="102" t="s">
        <v>24</v>
      </c>
      <c r="I11" s="39"/>
    </row>
    <row r="12" customHeight="1" spans="1:11">
      <c r="A12" s="102">
        <v>2</v>
      </c>
      <c r="B12" s="107" t="s">
        <v>21</v>
      </c>
      <c r="C12" s="109"/>
      <c r="D12" s="109" t="s">
        <v>944</v>
      </c>
      <c r="E12" s="108" t="s">
        <v>1094</v>
      </c>
      <c r="F12" s="109" t="s">
        <v>267</v>
      </c>
      <c r="G12" s="131" t="s">
        <v>946</v>
      </c>
      <c r="H12" s="102" t="s">
        <v>24</v>
      </c>
      <c r="I12" s="39" t="s">
        <v>435</v>
      </c>
      <c r="J12" s="37" t="s">
        <v>212</v>
      </c>
      <c r="K12" s="37" t="s">
        <v>22</v>
      </c>
    </row>
    <row r="13" customHeight="1" spans="1:11">
      <c r="A13" s="102">
        <v>3</v>
      </c>
      <c r="B13" s="106" t="s">
        <v>21</v>
      </c>
      <c r="C13" s="30"/>
      <c r="D13" s="30" t="s">
        <v>947</v>
      </c>
      <c r="E13" s="35" t="s">
        <v>1095</v>
      </c>
      <c r="F13" s="30" t="s">
        <v>280</v>
      </c>
      <c r="G13" s="131"/>
      <c r="H13" s="102" t="s">
        <v>24</v>
      </c>
      <c r="I13" s="39"/>
      <c r="J13" s="37" t="s">
        <v>262</v>
      </c>
      <c r="K13" s="37" t="s">
        <v>22</v>
      </c>
    </row>
    <row r="14" customHeight="1" spans="1:9">
      <c r="A14" s="102">
        <v>5</v>
      </c>
      <c r="B14" s="106" t="s">
        <v>21</v>
      </c>
      <c r="C14" s="30"/>
      <c r="D14" s="30" t="s">
        <v>954</v>
      </c>
      <c r="E14" s="35" t="s">
        <v>1096</v>
      </c>
      <c r="F14" s="30" t="s">
        <v>956</v>
      </c>
      <c r="G14" s="131"/>
      <c r="H14" s="102" t="s">
        <v>53</v>
      </c>
      <c r="I14" s="39"/>
    </row>
    <row r="15" customHeight="1" spans="1:9">
      <c r="A15" s="102">
        <v>6</v>
      </c>
      <c r="B15" s="106" t="s">
        <v>21</v>
      </c>
      <c r="C15" s="30"/>
      <c r="D15" s="30" t="s">
        <v>414</v>
      </c>
      <c r="E15" s="35" t="s">
        <v>1097</v>
      </c>
      <c r="F15" s="30" t="s">
        <v>1098</v>
      </c>
      <c r="G15" s="131" t="s">
        <v>959</v>
      </c>
      <c r="H15" s="102" t="s">
        <v>411</v>
      </c>
      <c r="I15" s="39"/>
    </row>
    <row r="16" customHeight="1" spans="1:9">
      <c r="A16" s="102">
        <v>6</v>
      </c>
      <c r="B16" s="106" t="s">
        <v>21</v>
      </c>
      <c r="C16" s="30"/>
      <c r="D16" s="30" t="s">
        <v>416</v>
      </c>
      <c r="E16" s="35" t="s">
        <v>1099</v>
      </c>
      <c r="F16" s="30" t="s">
        <v>1100</v>
      </c>
      <c r="G16" s="131" t="s">
        <v>1101</v>
      </c>
      <c r="H16" s="102" t="s">
        <v>411</v>
      </c>
      <c r="I16" s="39"/>
    </row>
    <row r="17" customHeight="1" spans="1:9">
      <c r="A17" s="102">
        <v>8</v>
      </c>
      <c r="B17" s="106" t="s">
        <v>21</v>
      </c>
      <c r="C17" s="30"/>
      <c r="D17" s="30" t="s">
        <v>1102</v>
      </c>
      <c r="E17" s="35" t="s">
        <v>1103</v>
      </c>
      <c r="F17" s="30" t="s">
        <v>1104</v>
      </c>
      <c r="G17" s="131"/>
      <c r="H17" s="102" t="s">
        <v>53</v>
      </c>
      <c r="I17" s="39"/>
    </row>
    <row r="18" customHeight="1" spans="1:11">
      <c r="A18" s="102">
        <v>9</v>
      </c>
      <c r="B18" s="106" t="s">
        <v>21</v>
      </c>
      <c r="C18" s="36"/>
      <c r="D18" s="36" t="s">
        <v>1105</v>
      </c>
      <c r="E18" s="35" t="s">
        <v>1106</v>
      </c>
      <c r="F18" s="30" t="s">
        <v>1107</v>
      </c>
      <c r="G18" s="131" t="s">
        <v>1108</v>
      </c>
      <c r="H18" s="102" t="s">
        <v>24</v>
      </c>
      <c r="I18" s="39" t="s">
        <v>1109</v>
      </c>
      <c r="J18" s="37" t="s">
        <v>1110</v>
      </c>
      <c r="K18" s="37" t="s">
        <v>22</v>
      </c>
    </row>
    <row r="19" customHeight="1" spans="1:11">
      <c r="A19" s="102">
        <v>10</v>
      </c>
      <c r="B19" s="106" t="s">
        <v>21</v>
      </c>
      <c r="C19" s="36"/>
      <c r="D19" s="36" t="s">
        <v>1111</v>
      </c>
      <c r="E19" s="35" t="s">
        <v>1112</v>
      </c>
      <c r="F19" s="30" t="s">
        <v>1113</v>
      </c>
      <c r="G19" s="131"/>
      <c r="H19" s="102" t="s">
        <v>24</v>
      </c>
      <c r="I19" s="39" t="s">
        <v>1114</v>
      </c>
      <c r="J19" s="37" t="s">
        <v>1110</v>
      </c>
      <c r="K19" s="37" t="s">
        <v>22</v>
      </c>
    </row>
    <row r="20" customHeight="1" spans="1:12">
      <c r="A20" s="102">
        <v>10</v>
      </c>
      <c r="B20" s="106" t="s">
        <v>21</v>
      </c>
      <c r="C20" s="36"/>
      <c r="D20" s="36" t="s">
        <v>1115</v>
      </c>
      <c r="E20" s="35" t="s">
        <v>1116</v>
      </c>
      <c r="F20" s="30" t="s">
        <v>1117</v>
      </c>
      <c r="G20" s="131" t="s">
        <v>1118</v>
      </c>
      <c r="H20" s="102" t="s">
        <v>24</v>
      </c>
      <c r="I20" s="39"/>
      <c r="J20" s="37" t="s">
        <v>4</v>
      </c>
      <c r="K20" s="37" t="s">
        <v>26</v>
      </c>
      <c r="L20" s="30" t="s">
        <v>1117</v>
      </c>
    </row>
    <row r="21" customHeight="1" spans="1:11">
      <c r="A21" s="102">
        <v>11</v>
      </c>
      <c r="B21" s="106" t="s">
        <v>21</v>
      </c>
      <c r="C21" s="30"/>
      <c r="D21" s="30" t="s">
        <v>978</v>
      </c>
      <c r="E21" s="35" t="s">
        <v>979</v>
      </c>
      <c r="F21" s="30" t="s">
        <v>980</v>
      </c>
      <c r="G21" s="131"/>
      <c r="H21" s="102" t="s">
        <v>53</v>
      </c>
      <c r="I21" s="39"/>
      <c r="J21" s="37" t="s">
        <v>161</v>
      </c>
      <c r="K21" s="37" t="s">
        <v>162</v>
      </c>
    </row>
    <row r="22" customHeight="1" spans="1:9">
      <c r="A22" s="102">
        <v>12</v>
      </c>
      <c r="B22" s="106" t="s">
        <v>21</v>
      </c>
      <c r="C22" s="30"/>
      <c r="D22" s="30" t="s">
        <v>982</v>
      </c>
      <c r="E22" s="35" t="s">
        <v>983</v>
      </c>
      <c r="F22" s="30" t="s">
        <v>984</v>
      </c>
      <c r="G22" s="131"/>
      <c r="H22" s="102" t="s">
        <v>53</v>
      </c>
      <c r="I22" s="39"/>
    </row>
    <row r="23" customHeight="1" spans="1:9">
      <c r="A23" s="102">
        <v>14</v>
      </c>
      <c r="B23" s="106"/>
      <c r="C23" s="36"/>
      <c r="D23" s="36" t="s">
        <v>989</v>
      </c>
      <c r="E23" s="35" t="s">
        <v>990</v>
      </c>
      <c r="F23" s="30" t="s">
        <v>991</v>
      </c>
      <c r="G23" s="131"/>
      <c r="H23" s="102" t="s">
        <v>53</v>
      </c>
      <c r="I23" s="39"/>
    </row>
    <row r="24" customHeight="1" spans="1:9">
      <c r="A24" s="102">
        <v>15</v>
      </c>
      <c r="B24" s="106"/>
      <c r="C24" s="36"/>
      <c r="D24" s="36" t="s">
        <v>992</v>
      </c>
      <c r="E24" s="35" t="s">
        <v>993</v>
      </c>
      <c r="F24" s="30" t="s">
        <v>994</v>
      </c>
      <c r="G24" s="131"/>
      <c r="H24" s="102" t="s">
        <v>53</v>
      </c>
      <c r="I24" s="39"/>
    </row>
    <row r="25" customHeight="1" spans="1:9">
      <c r="A25" s="102">
        <v>16</v>
      </c>
      <c r="B25" s="106"/>
      <c r="C25" s="30"/>
      <c r="D25" s="30" t="s">
        <v>995</v>
      </c>
      <c r="E25" s="35" t="s">
        <v>995</v>
      </c>
      <c r="F25" s="30" t="s">
        <v>996</v>
      </c>
      <c r="G25" s="131" t="s">
        <v>997</v>
      </c>
      <c r="H25" s="102" t="s">
        <v>24</v>
      </c>
      <c r="I25" s="39"/>
    </row>
    <row r="26" customHeight="1" spans="1:9">
      <c r="A26" s="102">
        <v>17</v>
      </c>
      <c r="B26" s="106"/>
      <c r="C26" s="30"/>
      <c r="D26" s="30" t="s">
        <v>998</v>
      </c>
      <c r="E26" s="35" t="s">
        <v>1119</v>
      </c>
      <c r="F26" s="30" t="s">
        <v>802</v>
      </c>
      <c r="G26" s="131" t="s">
        <v>1000</v>
      </c>
      <c r="H26" s="102" t="s">
        <v>243</v>
      </c>
      <c r="I26" s="10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="85" zoomScaleNormal="85" topLeftCell="A10" workbookViewId="0">
      <selection activeCell="I34" sqref="I34"/>
    </sheetView>
  </sheetViews>
  <sheetFormatPr defaultColWidth="9" defaultRowHeight="13.5"/>
  <cols>
    <col min="3" max="5" width="16.5" customWidth="1"/>
    <col min="6" max="6" width="15.1666666666667" customWidth="1"/>
    <col min="7" max="7" width="47.5" customWidth="1"/>
    <col min="8" max="8" width="21.5" customWidth="1"/>
    <col min="9" max="9" width="59.8333333333333" customWidth="1"/>
    <col min="10" max="10" width="19.1166666666667" customWidth="1"/>
    <col min="11" max="11" width="13.0833333333333" customWidth="1"/>
    <col min="12" max="12" width="15.1416666666667" customWidth="1"/>
  </cols>
  <sheetData>
    <row r="1" ht="14.25" spans="1:9">
      <c r="A1" s="98" t="s">
        <v>0</v>
      </c>
      <c r="B1" s="28" t="s">
        <v>1120</v>
      </c>
      <c r="C1" s="99"/>
      <c r="D1" s="99"/>
      <c r="E1" s="99"/>
      <c r="F1" s="99"/>
      <c r="G1" s="99"/>
      <c r="H1" s="99"/>
      <c r="I1" s="99"/>
    </row>
    <row r="2" ht="14.25" spans="1:9">
      <c r="A2" s="100"/>
      <c r="B2" s="99"/>
      <c r="C2" s="99"/>
      <c r="D2" s="99"/>
      <c r="E2" s="99"/>
      <c r="F2" s="99"/>
      <c r="G2" s="99"/>
      <c r="H2" s="99"/>
      <c r="I2" s="99"/>
    </row>
    <row r="3" ht="17.25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ht="17.25" spans="1:9">
      <c r="A4" s="102">
        <v>1</v>
      </c>
      <c r="B4" s="102" t="s">
        <v>3</v>
      </c>
      <c r="C4" s="102"/>
      <c r="D4" s="102"/>
      <c r="E4" s="102"/>
      <c r="F4" s="51" t="s">
        <v>307</v>
      </c>
      <c r="G4" s="51"/>
      <c r="H4" s="51"/>
      <c r="I4" s="51"/>
    </row>
    <row r="5" ht="17.25" spans="1:9">
      <c r="A5" s="102">
        <v>2</v>
      </c>
      <c r="B5" s="102" t="s">
        <v>5</v>
      </c>
      <c r="C5" s="102"/>
      <c r="D5" s="102"/>
      <c r="E5" s="102"/>
      <c r="F5" s="51" t="s">
        <v>1121</v>
      </c>
      <c r="G5" s="51"/>
      <c r="H5" s="51"/>
      <c r="I5" s="51"/>
    </row>
    <row r="6" ht="17.25" spans="1:9">
      <c r="A6" s="102">
        <v>3</v>
      </c>
      <c r="B6" s="102" t="s">
        <v>6</v>
      </c>
      <c r="C6" s="102"/>
      <c r="D6" s="102"/>
      <c r="E6" s="102"/>
      <c r="F6" s="51" t="s">
        <v>1122</v>
      </c>
      <c r="G6" s="51"/>
      <c r="H6" s="51"/>
      <c r="I6" s="51"/>
    </row>
    <row r="7" ht="17.25" spans="1:9">
      <c r="A7" s="102">
        <v>4</v>
      </c>
      <c r="B7" s="102" t="s">
        <v>8</v>
      </c>
      <c r="C7" s="102"/>
      <c r="D7" s="102"/>
      <c r="E7" s="102"/>
      <c r="F7" s="51" t="s">
        <v>812</v>
      </c>
      <c r="G7" s="51"/>
      <c r="H7" s="51"/>
      <c r="I7" s="51"/>
    </row>
    <row r="8" ht="17.25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34.5" spans="1:9">
      <c r="A10" s="130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30">
        <f>ROW(A11)-10</f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1123</v>
      </c>
      <c r="H11" s="5" t="s">
        <v>24</v>
      </c>
      <c r="I11" s="18"/>
    </row>
    <row r="12" ht="17.25" spans="1:9">
      <c r="A12" s="30">
        <f t="shared" ref="A12:A34" si="0">ROW(A12)-10</f>
        <v>2</v>
      </c>
      <c r="B12" s="93" t="s">
        <v>21</v>
      </c>
      <c r="C12" s="5"/>
      <c r="D12" s="5" t="s">
        <v>813</v>
      </c>
      <c r="E12" s="17" t="s">
        <v>813</v>
      </c>
      <c r="F12" s="5" t="s">
        <v>26</v>
      </c>
      <c r="G12" s="18" t="s">
        <v>1124</v>
      </c>
      <c r="H12" s="5" t="s">
        <v>24</v>
      </c>
      <c r="I12" s="18"/>
    </row>
    <row r="13" ht="17.25" spans="1:9">
      <c r="A13" s="30">
        <f t="shared" si="0"/>
        <v>3</v>
      </c>
      <c r="B13" s="93" t="s">
        <v>21</v>
      </c>
      <c r="C13" s="5"/>
      <c r="D13" s="5" t="s">
        <v>28</v>
      </c>
      <c r="E13" s="17" t="s">
        <v>1125</v>
      </c>
      <c r="F13" s="5" t="s">
        <v>29</v>
      </c>
      <c r="G13" s="18" t="s">
        <v>1125</v>
      </c>
      <c r="H13" s="5" t="s">
        <v>219</v>
      </c>
      <c r="I13" s="18"/>
    </row>
    <row r="14" s="116" customFormat="1" ht="17.25" spans="1:11">
      <c r="A14" s="36">
        <f t="shared" si="0"/>
        <v>4</v>
      </c>
      <c r="B14" s="128" t="s">
        <v>21</v>
      </c>
      <c r="C14" s="26"/>
      <c r="D14" s="26" t="s">
        <v>265</v>
      </c>
      <c r="E14" s="17" t="s">
        <v>1126</v>
      </c>
      <c r="F14" s="26" t="s">
        <v>267</v>
      </c>
      <c r="G14" s="129" t="s">
        <v>1127</v>
      </c>
      <c r="H14" s="26" t="s">
        <v>24</v>
      </c>
      <c r="I14" s="129" t="s">
        <v>1128</v>
      </c>
      <c r="J14" s="37" t="s">
        <v>212</v>
      </c>
      <c r="K14" s="37" t="s">
        <v>22</v>
      </c>
    </row>
    <row r="15" ht="37" customHeight="1" spans="1:9">
      <c r="A15" s="30">
        <f t="shared" si="0"/>
        <v>5</v>
      </c>
      <c r="B15" s="93" t="s">
        <v>21</v>
      </c>
      <c r="C15" s="20" t="s">
        <v>224</v>
      </c>
      <c r="D15" s="20" t="s">
        <v>240</v>
      </c>
      <c r="E15" s="17" t="s">
        <v>1129</v>
      </c>
      <c r="F15" s="5" t="s">
        <v>38</v>
      </c>
      <c r="G15" s="18" t="s">
        <v>1130</v>
      </c>
      <c r="H15" s="5" t="s">
        <v>243</v>
      </c>
      <c r="I15" s="18"/>
    </row>
    <row r="16" ht="17.25" spans="1:9">
      <c r="A16" s="30">
        <f t="shared" si="0"/>
        <v>6</v>
      </c>
      <c r="B16" s="93" t="s">
        <v>21</v>
      </c>
      <c r="C16" s="20" t="s">
        <v>224</v>
      </c>
      <c r="D16" s="20" t="s">
        <v>40</v>
      </c>
      <c r="E16" s="17" t="s">
        <v>1131</v>
      </c>
      <c r="F16" s="5" t="s">
        <v>41</v>
      </c>
      <c r="G16" s="18" t="s">
        <v>1132</v>
      </c>
      <c r="H16" s="5" t="s">
        <v>42</v>
      </c>
      <c r="I16" s="18"/>
    </row>
    <row r="17" ht="17.25" spans="1:9">
      <c r="A17" s="30">
        <f t="shared" si="0"/>
        <v>7</v>
      </c>
      <c r="B17" s="93" t="s">
        <v>21</v>
      </c>
      <c r="C17" s="5"/>
      <c r="D17" s="5" t="s">
        <v>1133</v>
      </c>
      <c r="E17" s="17" t="s">
        <v>1134</v>
      </c>
      <c r="F17" s="5" t="s">
        <v>1135</v>
      </c>
      <c r="G17" s="18" t="s">
        <v>1136</v>
      </c>
      <c r="H17" s="5" t="s">
        <v>243</v>
      </c>
      <c r="I17" s="18"/>
    </row>
    <row r="18" ht="17.25" spans="1:9">
      <c r="A18" s="30">
        <f t="shared" si="0"/>
        <v>8</v>
      </c>
      <c r="B18" s="93" t="s">
        <v>21</v>
      </c>
      <c r="C18" s="5"/>
      <c r="D18" s="5" t="s">
        <v>1137</v>
      </c>
      <c r="E18" s="17" t="s">
        <v>1138</v>
      </c>
      <c r="F18" s="5" t="s">
        <v>1139</v>
      </c>
      <c r="G18" s="18" t="s">
        <v>1140</v>
      </c>
      <c r="H18" s="5" t="s">
        <v>243</v>
      </c>
      <c r="I18" s="18"/>
    </row>
    <row r="19" ht="17.25" spans="1:9">
      <c r="A19" s="30">
        <f t="shared" si="0"/>
        <v>9</v>
      </c>
      <c r="B19" s="93"/>
      <c r="C19" s="5"/>
      <c r="D19" s="5" t="s">
        <v>1141</v>
      </c>
      <c r="E19" s="17" t="s">
        <v>1142</v>
      </c>
      <c r="F19" s="5" t="s">
        <v>1143</v>
      </c>
      <c r="G19" s="18" t="s">
        <v>1144</v>
      </c>
      <c r="H19" s="5" t="s">
        <v>243</v>
      </c>
      <c r="I19" s="18"/>
    </row>
    <row r="20" ht="34.5" spans="1:9">
      <c r="A20" s="30">
        <f t="shared" si="0"/>
        <v>10</v>
      </c>
      <c r="B20" s="93" t="s">
        <v>21</v>
      </c>
      <c r="C20" s="5"/>
      <c r="D20" s="5" t="s">
        <v>1145</v>
      </c>
      <c r="E20" s="17" t="s">
        <v>1146</v>
      </c>
      <c r="F20" s="5" t="s">
        <v>1147</v>
      </c>
      <c r="G20" s="18" t="s">
        <v>1148</v>
      </c>
      <c r="H20" s="5" t="s">
        <v>42</v>
      </c>
      <c r="I20" s="18"/>
    </row>
    <row r="21" ht="34.5" spans="1:12">
      <c r="A21" s="30">
        <f t="shared" si="0"/>
        <v>11</v>
      </c>
      <c r="B21" s="93"/>
      <c r="C21" s="26"/>
      <c r="D21" s="26" t="s">
        <v>1149</v>
      </c>
      <c r="E21" s="17" t="s">
        <v>1150</v>
      </c>
      <c r="F21" s="5" t="s">
        <v>1151</v>
      </c>
      <c r="G21" s="18" t="s">
        <v>1152</v>
      </c>
      <c r="H21" s="5" t="s">
        <v>27</v>
      </c>
      <c r="I21" s="18" t="s">
        <v>1153</v>
      </c>
      <c r="J21" s="37" t="s">
        <v>4</v>
      </c>
      <c r="K21" s="37" t="s">
        <v>26</v>
      </c>
      <c r="L21" s="37" t="s">
        <v>1151</v>
      </c>
    </row>
    <row r="22" ht="34.5" spans="1:12">
      <c r="A22" s="30">
        <f t="shared" si="0"/>
        <v>12</v>
      </c>
      <c r="B22" s="93"/>
      <c r="C22" s="26"/>
      <c r="D22" s="26" t="s">
        <v>1154</v>
      </c>
      <c r="E22" s="17" t="s">
        <v>1155</v>
      </c>
      <c r="F22" s="5" t="s">
        <v>1156</v>
      </c>
      <c r="G22" s="18" t="s">
        <v>1157</v>
      </c>
      <c r="H22" s="5" t="s">
        <v>27</v>
      </c>
      <c r="I22" s="18" t="s">
        <v>1158</v>
      </c>
      <c r="J22" s="37" t="s">
        <v>4</v>
      </c>
      <c r="K22" s="37" t="s">
        <v>26</v>
      </c>
      <c r="L22" s="37" t="s">
        <v>1156</v>
      </c>
    </row>
    <row r="23" ht="34.5" spans="1:9">
      <c r="A23" s="30">
        <f t="shared" si="0"/>
        <v>13</v>
      </c>
      <c r="B23" s="93" t="s">
        <v>21</v>
      </c>
      <c r="C23" s="5"/>
      <c r="D23" s="5" t="s">
        <v>1159</v>
      </c>
      <c r="E23" s="17" t="s">
        <v>1160</v>
      </c>
      <c r="F23" s="5" t="s">
        <v>1161</v>
      </c>
      <c r="G23" s="18" t="s">
        <v>1162</v>
      </c>
      <c r="H23" s="5" t="s">
        <v>42</v>
      </c>
      <c r="I23" s="18"/>
    </row>
    <row r="24" ht="34.5" spans="1:9">
      <c r="A24" s="30">
        <f t="shared" si="0"/>
        <v>14</v>
      </c>
      <c r="B24" s="93" t="s">
        <v>21</v>
      </c>
      <c r="C24" s="5"/>
      <c r="D24" s="5" t="s">
        <v>1163</v>
      </c>
      <c r="E24" s="17" t="s">
        <v>1164</v>
      </c>
      <c r="F24" s="5" t="s">
        <v>1165</v>
      </c>
      <c r="G24" s="18" t="s">
        <v>1166</v>
      </c>
      <c r="H24" s="5" t="s">
        <v>42</v>
      </c>
      <c r="I24" s="18"/>
    </row>
    <row r="25" ht="17.25" spans="1:9">
      <c r="A25" s="30">
        <f t="shared" si="0"/>
        <v>15</v>
      </c>
      <c r="B25" s="93" t="s">
        <v>21</v>
      </c>
      <c r="C25" s="5"/>
      <c r="D25" s="5" t="s">
        <v>1167</v>
      </c>
      <c r="E25" s="17" t="s">
        <v>1168</v>
      </c>
      <c r="F25" s="5" t="s">
        <v>1169</v>
      </c>
      <c r="G25" s="18" t="s">
        <v>1170</v>
      </c>
      <c r="H25" s="5" t="s">
        <v>42</v>
      </c>
      <c r="I25" s="18"/>
    </row>
    <row r="26" ht="34.5" spans="1:9">
      <c r="A26" s="30">
        <f t="shared" si="0"/>
        <v>16</v>
      </c>
      <c r="B26" s="93"/>
      <c r="C26" s="5"/>
      <c r="D26" s="5" t="s">
        <v>1171</v>
      </c>
      <c r="E26" s="17" t="s">
        <v>1172</v>
      </c>
      <c r="F26" s="5" t="s">
        <v>1173</v>
      </c>
      <c r="G26" s="18" t="s">
        <v>1174</v>
      </c>
      <c r="H26" s="5" t="s">
        <v>1175</v>
      </c>
      <c r="I26" s="18"/>
    </row>
    <row r="27" ht="34.5" spans="1:9">
      <c r="A27" s="30">
        <f t="shared" si="0"/>
        <v>17</v>
      </c>
      <c r="B27" s="93"/>
      <c r="C27" s="5"/>
      <c r="D27" s="5" t="s">
        <v>1176</v>
      </c>
      <c r="E27" s="17" t="s">
        <v>1177</v>
      </c>
      <c r="F27" s="5" t="s">
        <v>1178</v>
      </c>
      <c r="G27" s="18" t="s">
        <v>1179</v>
      </c>
      <c r="H27" s="5" t="s">
        <v>30</v>
      </c>
      <c r="I27" s="18"/>
    </row>
    <row r="28" ht="17.25" spans="1:12">
      <c r="A28" s="30">
        <f t="shared" si="0"/>
        <v>18</v>
      </c>
      <c r="B28" s="93" t="s">
        <v>21</v>
      </c>
      <c r="C28" s="5"/>
      <c r="D28" s="5" t="s">
        <v>1180</v>
      </c>
      <c r="E28" s="17" t="s">
        <v>1181</v>
      </c>
      <c r="F28" s="5" t="s">
        <v>255</v>
      </c>
      <c r="G28" s="18" t="s">
        <v>1182</v>
      </c>
      <c r="H28" s="5" t="s">
        <v>1175</v>
      </c>
      <c r="I28" s="18" t="s">
        <v>1183</v>
      </c>
      <c r="J28" s="37" t="s">
        <v>1184</v>
      </c>
      <c r="K28" s="37" t="s">
        <v>162</v>
      </c>
      <c r="L28" s="37"/>
    </row>
    <row r="29" ht="34.5" spans="1:12">
      <c r="A29" s="30">
        <f t="shared" si="0"/>
        <v>19</v>
      </c>
      <c r="B29" s="93" t="s">
        <v>21</v>
      </c>
      <c r="C29" s="5"/>
      <c r="D29" s="5" t="s">
        <v>244</v>
      </c>
      <c r="E29" s="17" t="s">
        <v>1185</v>
      </c>
      <c r="F29" s="5" t="s">
        <v>245</v>
      </c>
      <c r="G29" s="18" t="s">
        <v>1185</v>
      </c>
      <c r="H29" s="5" t="s">
        <v>219</v>
      </c>
      <c r="I29" s="18"/>
      <c r="J29" s="37"/>
      <c r="K29" s="37"/>
      <c r="L29" s="37"/>
    </row>
    <row r="30" ht="46" customHeight="1" spans="1:12">
      <c r="A30" s="30">
        <f t="shared" si="0"/>
        <v>20</v>
      </c>
      <c r="B30" s="93" t="s">
        <v>21</v>
      </c>
      <c r="C30" s="19"/>
      <c r="D30" s="19" t="s">
        <v>1186</v>
      </c>
      <c r="E30" s="17" t="s">
        <v>1187</v>
      </c>
      <c r="F30" s="5" t="s">
        <v>1188</v>
      </c>
      <c r="G30" s="18" t="s">
        <v>1189</v>
      </c>
      <c r="H30" s="5" t="s">
        <v>24</v>
      </c>
      <c r="I30" s="18" t="s">
        <v>1190</v>
      </c>
      <c r="J30" s="37" t="s">
        <v>4</v>
      </c>
      <c r="K30" s="37" t="s">
        <v>26</v>
      </c>
      <c r="L30" s="37" t="s">
        <v>1188</v>
      </c>
    </row>
    <row r="31" ht="17.25" spans="1:9">
      <c r="A31" s="30">
        <f t="shared" si="0"/>
        <v>21</v>
      </c>
      <c r="B31" s="93"/>
      <c r="C31" s="5"/>
      <c r="D31" s="5" t="s">
        <v>1191</v>
      </c>
      <c r="E31" s="17" t="s">
        <v>1192</v>
      </c>
      <c r="F31" s="5" t="s">
        <v>1193</v>
      </c>
      <c r="G31" s="18" t="s">
        <v>1194</v>
      </c>
      <c r="H31" s="5" t="s">
        <v>1063</v>
      </c>
      <c r="I31" s="18"/>
    </row>
    <row r="32" ht="17.25" spans="1:9">
      <c r="A32" s="30">
        <f t="shared" si="0"/>
        <v>22</v>
      </c>
      <c r="B32" s="93" t="s">
        <v>1195</v>
      </c>
      <c r="C32" s="5"/>
      <c r="D32" s="5" t="s">
        <v>421</v>
      </c>
      <c r="E32" s="17" t="s">
        <v>1196</v>
      </c>
      <c r="F32" s="5" t="s">
        <v>422</v>
      </c>
      <c r="G32" s="18" t="s">
        <v>1197</v>
      </c>
      <c r="H32" s="5" t="s">
        <v>1063</v>
      </c>
      <c r="I32" s="18"/>
    </row>
    <row r="33" s="37" customFormat="1" ht="35" customHeight="1" spans="1:9">
      <c r="A33" s="30">
        <f t="shared" si="0"/>
        <v>23</v>
      </c>
      <c r="B33" s="107" t="s">
        <v>21</v>
      </c>
      <c r="C33" s="109"/>
      <c r="D33" s="109" t="s">
        <v>220</v>
      </c>
      <c r="E33" s="108" t="s">
        <v>1198</v>
      </c>
      <c r="F33" s="109" t="s">
        <v>222</v>
      </c>
      <c r="G33" s="51" t="s">
        <v>1199</v>
      </c>
      <c r="H33" s="51" t="s">
        <v>24</v>
      </c>
      <c r="I33" s="51"/>
    </row>
    <row r="34" s="37" customFormat="1" ht="35" customHeight="1" spans="1:9">
      <c r="A34" s="30">
        <f t="shared" si="0"/>
        <v>24</v>
      </c>
      <c r="B34" s="106" t="s">
        <v>21</v>
      </c>
      <c r="C34" s="86" t="s">
        <v>224</v>
      </c>
      <c r="D34" s="86" t="s">
        <v>246</v>
      </c>
      <c r="E34" s="35" t="s">
        <v>1200</v>
      </c>
      <c r="F34" s="30" t="s">
        <v>247</v>
      </c>
      <c r="G34" s="51" t="s">
        <v>1199</v>
      </c>
      <c r="H34" s="51" t="s">
        <v>24</v>
      </c>
      <c r="I34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85" zoomScaleNormal="85" topLeftCell="A15" workbookViewId="0">
      <selection activeCell="A34" sqref="$A34:$XFD34"/>
    </sheetView>
  </sheetViews>
  <sheetFormatPr defaultColWidth="9" defaultRowHeight="13.5"/>
  <cols>
    <col min="3" max="5" width="16.5" customWidth="1"/>
    <col min="6" max="6" width="15.1666666666667" customWidth="1"/>
    <col min="7" max="7" width="75.3333333333333" customWidth="1"/>
    <col min="8" max="8" width="21.5" customWidth="1"/>
    <col min="9" max="9" width="59.8333333333333" customWidth="1"/>
    <col min="10" max="10" width="17.5" customWidth="1"/>
    <col min="11" max="11" width="13.375" customWidth="1"/>
    <col min="12" max="12" width="17.7916666666667" customWidth="1"/>
  </cols>
  <sheetData>
    <row r="1" ht="14.25" spans="1:9">
      <c r="A1" s="98" t="s">
        <v>0</v>
      </c>
      <c r="B1" s="28" t="s">
        <v>1201</v>
      </c>
      <c r="C1" s="99"/>
      <c r="D1" s="99"/>
      <c r="E1" s="99"/>
      <c r="F1" s="99"/>
      <c r="G1" s="99"/>
      <c r="H1" s="99"/>
      <c r="I1" s="99"/>
    </row>
    <row r="2" ht="14.25" spans="1:9">
      <c r="A2" s="100"/>
      <c r="B2" s="99"/>
      <c r="C2" s="99"/>
      <c r="D2" s="99"/>
      <c r="E2" s="99"/>
      <c r="F2" s="99"/>
      <c r="G2" s="99"/>
      <c r="H2" s="99"/>
      <c r="I2" s="99"/>
    </row>
    <row r="3" ht="17.25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ht="17.25" spans="1:9">
      <c r="A4" s="102">
        <v>1</v>
      </c>
      <c r="B4" s="102" t="s">
        <v>3</v>
      </c>
      <c r="C4" s="102"/>
      <c r="D4" s="102"/>
      <c r="E4" s="102"/>
      <c r="F4" s="51" t="s">
        <v>1202</v>
      </c>
      <c r="G4" s="51"/>
      <c r="H4" s="51"/>
      <c r="I4" s="51"/>
    </row>
    <row r="5" ht="17.25" spans="1:9">
      <c r="A5" s="102">
        <v>2</v>
      </c>
      <c r="B5" s="102" t="s">
        <v>5</v>
      </c>
      <c r="C5" s="102"/>
      <c r="D5" s="102"/>
      <c r="E5" s="102"/>
      <c r="F5" s="51" t="s">
        <v>1121</v>
      </c>
      <c r="G5" s="51"/>
      <c r="H5" s="51"/>
      <c r="I5" s="51"/>
    </row>
    <row r="6" ht="17.25" spans="1:9">
      <c r="A6" s="102">
        <v>3</v>
      </c>
      <c r="B6" s="102" t="s">
        <v>6</v>
      </c>
      <c r="C6" s="102"/>
      <c r="D6" s="102"/>
      <c r="E6" s="102"/>
      <c r="F6" s="51" t="s">
        <v>1122</v>
      </c>
      <c r="G6" s="51"/>
      <c r="H6" s="51"/>
      <c r="I6" s="51"/>
    </row>
    <row r="7" ht="17.25" spans="1:9">
      <c r="A7" s="102">
        <v>4</v>
      </c>
      <c r="B7" s="102" t="s">
        <v>8</v>
      </c>
      <c r="C7" s="102"/>
      <c r="D7" s="102"/>
      <c r="E7" s="102"/>
      <c r="F7" s="51" t="s">
        <v>812</v>
      </c>
      <c r="G7" s="51"/>
      <c r="H7" s="51"/>
      <c r="I7" s="51"/>
    </row>
    <row r="8" ht="17.25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1123</v>
      </c>
      <c r="H11" s="5" t="s">
        <v>24</v>
      </c>
      <c r="I11" s="18"/>
    </row>
    <row r="12" ht="17.25" spans="1:9">
      <c r="A12" s="5">
        <v>2</v>
      </c>
      <c r="B12" s="93" t="s">
        <v>21</v>
      </c>
      <c r="C12" s="5"/>
      <c r="D12" s="5" t="s">
        <v>813</v>
      </c>
      <c r="E12" s="17" t="s">
        <v>813</v>
      </c>
      <c r="F12" s="5" t="s">
        <v>26</v>
      </c>
      <c r="G12" s="18" t="s">
        <v>1124</v>
      </c>
      <c r="H12" s="5" t="s">
        <v>24</v>
      </c>
      <c r="I12" s="18"/>
    </row>
    <row r="13" ht="17.25" spans="1:9">
      <c r="A13" s="5">
        <v>3</v>
      </c>
      <c r="B13" s="93" t="s">
        <v>21</v>
      </c>
      <c r="C13" s="5"/>
      <c r="D13" s="5" t="s">
        <v>28</v>
      </c>
      <c r="E13" s="17" t="s">
        <v>1125</v>
      </c>
      <c r="F13" s="5" t="s">
        <v>29</v>
      </c>
      <c r="G13" s="18" t="s">
        <v>1125</v>
      </c>
      <c r="H13" s="5" t="s">
        <v>219</v>
      </c>
      <c r="I13" s="18"/>
    </row>
    <row r="14" s="116" customFormat="1" ht="17.25" spans="1:11">
      <c r="A14" s="26">
        <v>4</v>
      </c>
      <c r="B14" s="128" t="s">
        <v>21</v>
      </c>
      <c r="C14" s="26"/>
      <c r="D14" s="26" t="s">
        <v>1203</v>
      </c>
      <c r="E14" s="17" t="s">
        <v>1126</v>
      </c>
      <c r="F14" s="26" t="s">
        <v>267</v>
      </c>
      <c r="G14" s="129" t="s">
        <v>1127</v>
      </c>
      <c r="H14" s="26" t="s">
        <v>24</v>
      </c>
      <c r="I14" s="129" t="s">
        <v>1128</v>
      </c>
      <c r="J14" s="37" t="s">
        <v>212</v>
      </c>
      <c r="K14" s="37" t="s">
        <v>22</v>
      </c>
    </row>
    <row r="15" ht="17.25" spans="1:9">
      <c r="A15" s="5">
        <v>5</v>
      </c>
      <c r="B15" s="93" t="s">
        <v>21</v>
      </c>
      <c r="C15" s="20" t="s">
        <v>224</v>
      </c>
      <c r="D15" s="20" t="s">
        <v>240</v>
      </c>
      <c r="E15" s="17" t="s">
        <v>1129</v>
      </c>
      <c r="F15" s="5" t="s">
        <v>38</v>
      </c>
      <c r="G15" s="18" t="s">
        <v>1130</v>
      </c>
      <c r="H15" s="5" t="s">
        <v>243</v>
      </c>
      <c r="I15" s="18"/>
    </row>
    <row r="16" ht="17.25" spans="1:9">
      <c r="A16" s="5">
        <v>6</v>
      </c>
      <c r="B16" s="93" t="s">
        <v>21</v>
      </c>
      <c r="C16" s="20" t="s">
        <v>224</v>
      </c>
      <c r="D16" s="20" t="s">
        <v>40</v>
      </c>
      <c r="E16" s="17" t="s">
        <v>1131</v>
      </c>
      <c r="F16" s="5" t="s">
        <v>41</v>
      </c>
      <c r="G16" s="18" t="s">
        <v>1132</v>
      </c>
      <c r="H16" s="5" t="s">
        <v>42</v>
      </c>
      <c r="I16" s="18"/>
    </row>
    <row r="17" ht="17.25" spans="1:9">
      <c r="A17" s="5">
        <v>7</v>
      </c>
      <c r="B17" s="93" t="s">
        <v>21</v>
      </c>
      <c r="C17" s="5"/>
      <c r="D17" s="5" t="s">
        <v>1133</v>
      </c>
      <c r="E17" s="17" t="s">
        <v>1134</v>
      </c>
      <c r="F17" s="5" t="s">
        <v>1135</v>
      </c>
      <c r="G17" s="18" t="s">
        <v>1136</v>
      </c>
      <c r="H17" s="5" t="s">
        <v>243</v>
      </c>
      <c r="I17" s="18"/>
    </row>
    <row r="18" ht="17.25" spans="1:9">
      <c r="A18" s="5">
        <v>8</v>
      </c>
      <c r="B18" s="93" t="s">
        <v>21</v>
      </c>
      <c r="C18" s="5"/>
      <c r="D18" s="5" t="s">
        <v>1137</v>
      </c>
      <c r="E18" s="17" t="s">
        <v>1138</v>
      </c>
      <c r="F18" s="5" t="s">
        <v>1139</v>
      </c>
      <c r="G18" s="18" t="s">
        <v>1140</v>
      </c>
      <c r="H18" s="5" t="s">
        <v>243</v>
      </c>
      <c r="I18" s="18"/>
    </row>
    <row r="19" ht="17.25" spans="1:9">
      <c r="A19" s="5">
        <v>9</v>
      </c>
      <c r="B19" s="93"/>
      <c r="C19" s="5"/>
      <c r="D19" s="5" t="s">
        <v>1141</v>
      </c>
      <c r="E19" s="17" t="s">
        <v>1142</v>
      </c>
      <c r="F19" s="5" t="s">
        <v>1143</v>
      </c>
      <c r="G19" s="18" t="s">
        <v>1144</v>
      </c>
      <c r="H19" s="5" t="s">
        <v>243</v>
      </c>
      <c r="I19" s="18"/>
    </row>
    <row r="20" ht="34.5" spans="1:9">
      <c r="A20" s="5">
        <v>10</v>
      </c>
      <c r="B20" s="93" t="s">
        <v>21</v>
      </c>
      <c r="C20" s="5"/>
      <c r="D20" s="5" t="s">
        <v>1145</v>
      </c>
      <c r="E20" s="17" t="s">
        <v>1146</v>
      </c>
      <c r="F20" s="5" t="s">
        <v>1147</v>
      </c>
      <c r="G20" s="18" t="s">
        <v>1148</v>
      </c>
      <c r="H20" s="5" t="s">
        <v>42</v>
      </c>
      <c r="I20" s="18"/>
    </row>
    <row r="21" ht="34.5" spans="1:12">
      <c r="A21" s="5">
        <v>11</v>
      </c>
      <c r="B21" s="93"/>
      <c r="C21" s="26"/>
      <c r="D21" s="26" t="s">
        <v>1149</v>
      </c>
      <c r="E21" s="17" t="s">
        <v>1150</v>
      </c>
      <c r="F21" s="5" t="s">
        <v>1151</v>
      </c>
      <c r="G21" s="18" t="s">
        <v>1152</v>
      </c>
      <c r="H21" s="5" t="s">
        <v>27</v>
      </c>
      <c r="I21" s="18" t="s">
        <v>1153</v>
      </c>
      <c r="J21" s="37" t="s">
        <v>4</v>
      </c>
      <c r="K21" s="37" t="s">
        <v>26</v>
      </c>
      <c r="L21" s="37" t="s">
        <v>1151</v>
      </c>
    </row>
    <row r="22" ht="34.5" spans="1:12">
      <c r="A22" s="5">
        <v>12</v>
      </c>
      <c r="B22" s="93"/>
      <c r="C22" s="26"/>
      <c r="D22" s="26" t="s">
        <v>1154</v>
      </c>
      <c r="E22" s="17" t="s">
        <v>1155</v>
      </c>
      <c r="F22" s="5" t="s">
        <v>1156</v>
      </c>
      <c r="G22" s="18" t="s">
        <v>1157</v>
      </c>
      <c r="H22" s="5" t="s">
        <v>27</v>
      </c>
      <c r="I22" s="18" t="s">
        <v>1158</v>
      </c>
      <c r="J22" s="37" t="s">
        <v>4</v>
      </c>
      <c r="K22" s="37" t="s">
        <v>26</v>
      </c>
      <c r="L22" s="37" t="s">
        <v>1156</v>
      </c>
    </row>
    <row r="23" ht="34.5" spans="1:12">
      <c r="A23" s="5">
        <v>13</v>
      </c>
      <c r="B23" s="93" t="s">
        <v>21</v>
      </c>
      <c r="C23" s="5"/>
      <c r="D23" s="5" t="s">
        <v>1159</v>
      </c>
      <c r="E23" s="17" t="s">
        <v>1160</v>
      </c>
      <c r="F23" s="5" t="s">
        <v>1161</v>
      </c>
      <c r="G23" s="18" t="s">
        <v>1162</v>
      </c>
      <c r="H23" s="5" t="s">
        <v>42</v>
      </c>
      <c r="I23" s="18"/>
      <c r="J23" s="37"/>
      <c r="K23" s="37"/>
      <c r="L23" s="37"/>
    </row>
    <row r="24" ht="34.5" spans="1:12">
      <c r="A24" s="5">
        <v>14</v>
      </c>
      <c r="B24" s="93" t="s">
        <v>21</v>
      </c>
      <c r="C24" s="5"/>
      <c r="D24" s="5" t="s">
        <v>1163</v>
      </c>
      <c r="E24" s="17" t="s">
        <v>1164</v>
      </c>
      <c r="F24" s="5" t="s">
        <v>1165</v>
      </c>
      <c r="G24" s="18" t="s">
        <v>1166</v>
      </c>
      <c r="H24" s="5" t="s">
        <v>42</v>
      </c>
      <c r="I24" s="18"/>
      <c r="J24" s="37"/>
      <c r="K24" s="37"/>
      <c r="L24" s="37"/>
    </row>
    <row r="25" ht="17.25" spans="1:12">
      <c r="A25" s="5">
        <v>15</v>
      </c>
      <c r="B25" s="93" t="s">
        <v>21</v>
      </c>
      <c r="C25" s="5"/>
      <c r="D25" s="5" t="s">
        <v>1167</v>
      </c>
      <c r="E25" s="17" t="s">
        <v>1168</v>
      </c>
      <c r="F25" s="5" t="s">
        <v>1169</v>
      </c>
      <c r="G25" s="18" t="s">
        <v>1170</v>
      </c>
      <c r="H25" s="5" t="s">
        <v>42</v>
      </c>
      <c r="I25" s="18"/>
      <c r="J25" s="37"/>
      <c r="K25" s="37"/>
      <c r="L25" s="37"/>
    </row>
    <row r="26" ht="34.5" spans="1:12">
      <c r="A26" s="5">
        <v>16</v>
      </c>
      <c r="B26" s="93"/>
      <c r="C26" s="5"/>
      <c r="D26" s="5" t="s">
        <v>1171</v>
      </c>
      <c r="E26" s="17" t="s">
        <v>1172</v>
      </c>
      <c r="F26" s="5" t="s">
        <v>1173</v>
      </c>
      <c r="G26" s="18" t="s">
        <v>1174</v>
      </c>
      <c r="H26" s="5" t="s">
        <v>1175</v>
      </c>
      <c r="I26" s="18"/>
      <c r="J26" s="37"/>
      <c r="K26" s="37"/>
      <c r="L26" s="37"/>
    </row>
    <row r="27" ht="34.5" spans="1:12">
      <c r="A27" s="5">
        <v>17</v>
      </c>
      <c r="B27" s="93"/>
      <c r="C27" s="5"/>
      <c r="D27" s="5" t="s">
        <v>1176</v>
      </c>
      <c r="E27" s="17" t="s">
        <v>1177</v>
      </c>
      <c r="F27" s="5" t="s">
        <v>1178</v>
      </c>
      <c r="G27" s="18" t="s">
        <v>1179</v>
      </c>
      <c r="H27" s="5" t="s">
        <v>30</v>
      </c>
      <c r="I27" s="18"/>
      <c r="J27" s="37"/>
      <c r="K27" s="37"/>
      <c r="L27" s="37"/>
    </row>
    <row r="28" ht="17.25" spans="1:12">
      <c r="A28" s="5">
        <v>18</v>
      </c>
      <c r="B28" s="93" t="s">
        <v>21</v>
      </c>
      <c r="C28" s="5"/>
      <c r="D28" s="5" t="s">
        <v>1180</v>
      </c>
      <c r="E28" s="17" t="s">
        <v>1181</v>
      </c>
      <c r="F28" s="5" t="s">
        <v>255</v>
      </c>
      <c r="G28" s="18" t="s">
        <v>1182</v>
      </c>
      <c r="H28" s="5" t="s">
        <v>1175</v>
      </c>
      <c r="I28" s="18" t="s">
        <v>1183</v>
      </c>
      <c r="J28" s="37" t="s">
        <v>1184</v>
      </c>
      <c r="K28" s="37" t="s">
        <v>162</v>
      </c>
      <c r="L28" s="37"/>
    </row>
    <row r="29" ht="34.5" spans="1:12">
      <c r="A29" s="5">
        <v>19</v>
      </c>
      <c r="B29" s="93" t="s">
        <v>21</v>
      </c>
      <c r="C29" s="5"/>
      <c r="D29" s="5" t="s">
        <v>244</v>
      </c>
      <c r="E29" s="17" t="s">
        <v>1185</v>
      </c>
      <c r="F29" s="5" t="s">
        <v>245</v>
      </c>
      <c r="G29" s="18" t="s">
        <v>1185</v>
      </c>
      <c r="H29" s="5" t="s">
        <v>219</v>
      </c>
      <c r="I29" s="18"/>
      <c r="J29" s="37"/>
      <c r="K29" s="37"/>
      <c r="L29" s="37"/>
    </row>
    <row r="30" ht="17.25" spans="1:12">
      <c r="A30" s="5">
        <v>20</v>
      </c>
      <c r="B30" s="93" t="s">
        <v>21</v>
      </c>
      <c r="C30" s="19"/>
      <c r="D30" s="19" t="s">
        <v>1186</v>
      </c>
      <c r="E30" s="17" t="s">
        <v>1187</v>
      </c>
      <c r="F30" s="5" t="s">
        <v>1188</v>
      </c>
      <c r="G30" s="18" t="s">
        <v>1189</v>
      </c>
      <c r="H30" s="5" t="s">
        <v>24</v>
      </c>
      <c r="I30" s="18" t="s">
        <v>1190</v>
      </c>
      <c r="J30" s="37" t="s">
        <v>4</v>
      </c>
      <c r="K30" s="37" t="s">
        <v>26</v>
      </c>
      <c r="L30" s="37" t="s">
        <v>1188</v>
      </c>
    </row>
    <row r="31" ht="17.25" spans="1:9">
      <c r="A31" s="5">
        <v>21</v>
      </c>
      <c r="B31" s="93"/>
      <c r="C31" s="5"/>
      <c r="D31" s="5" t="s">
        <v>1191</v>
      </c>
      <c r="E31" s="17" t="s">
        <v>1192</v>
      </c>
      <c r="F31" s="5" t="s">
        <v>1193</v>
      </c>
      <c r="G31" s="18" t="s">
        <v>1194</v>
      </c>
      <c r="H31" s="5" t="s">
        <v>1063</v>
      </c>
      <c r="I31" s="18"/>
    </row>
    <row r="32" ht="17.25" spans="1:9">
      <c r="A32" s="5">
        <v>22</v>
      </c>
      <c r="B32" s="93" t="s">
        <v>1195</v>
      </c>
      <c r="C32" s="5"/>
      <c r="D32" s="5" t="s">
        <v>421</v>
      </c>
      <c r="E32" s="17" t="s">
        <v>1196</v>
      </c>
      <c r="F32" s="5" t="s">
        <v>422</v>
      </c>
      <c r="G32" s="18" t="s">
        <v>1197</v>
      </c>
      <c r="H32" s="5" t="s">
        <v>1063</v>
      </c>
      <c r="I32" s="18"/>
    </row>
    <row r="33" ht="17.25" spans="1:12">
      <c r="A33" s="5">
        <v>23</v>
      </c>
      <c r="B33" s="93" t="s">
        <v>21</v>
      </c>
      <c r="C33" s="5"/>
      <c r="D33" s="5" t="s">
        <v>378</v>
      </c>
      <c r="E33" s="17" t="s">
        <v>1204</v>
      </c>
      <c r="F33" s="5" t="s">
        <v>379</v>
      </c>
      <c r="G33" s="18" t="s">
        <v>1205</v>
      </c>
      <c r="H33" s="5" t="s">
        <v>1206</v>
      </c>
      <c r="I33" s="18"/>
      <c r="J33" s="37"/>
      <c r="K33" s="37"/>
      <c r="L33" s="37"/>
    </row>
    <row r="34" s="37" customFormat="1" ht="35" customHeight="1" spans="1:9">
      <c r="A34" s="30">
        <f>ROW(A34)-10</f>
        <v>24</v>
      </c>
      <c r="B34" s="107" t="s">
        <v>21</v>
      </c>
      <c r="C34" s="109"/>
      <c r="D34" s="109" t="s">
        <v>220</v>
      </c>
      <c r="E34" s="108" t="s">
        <v>1198</v>
      </c>
      <c r="F34" s="109" t="s">
        <v>222</v>
      </c>
      <c r="G34" s="51" t="s">
        <v>1207</v>
      </c>
      <c r="H34" s="51" t="s">
        <v>24</v>
      </c>
      <c r="I34" s="51"/>
    </row>
    <row r="35" s="37" customFormat="1" ht="35" customHeight="1" spans="1:9">
      <c r="A35" s="30">
        <f>ROW(A35)-10</f>
        <v>25</v>
      </c>
      <c r="B35" s="106" t="s">
        <v>21</v>
      </c>
      <c r="C35" s="86" t="s">
        <v>224</v>
      </c>
      <c r="D35" s="86" t="s">
        <v>246</v>
      </c>
      <c r="E35" s="35" t="s">
        <v>1200</v>
      </c>
      <c r="F35" s="30" t="s">
        <v>247</v>
      </c>
      <c r="G35" s="51" t="s">
        <v>1207</v>
      </c>
      <c r="H35" s="51" t="s">
        <v>24</v>
      </c>
      <c r="I35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85" zoomScaleNormal="85" topLeftCell="A15" workbookViewId="0">
      <selection activeCell="F33" sqref="F33"/>
    </sheetView>
  </sheetViews>
  <sheetFormatPr defaultColWidth="9" defaultRowHeight="13.5"/>
  <cols>
    <col min="3" max="4" width="16.5" customWidth="1"/>
    <col min="5" max="5" width="18.1666666666667" customWidth="1"/>
    <col min="6" max="6" width="15.1666666666667" customWidth="1"/>
    <col min="7" max="7" width="75.3333333333333" customWidth="1"/>
    <col min="8" max="8" width="21.5" customWidth="1"/>
    <col min="9" max="9" width="59.8333333333333" customWidth="1"/>
    <col min="10" max="10" width="19.9916666666667" customWidth="1"/>
  </cols>
  <sheetData>
    <row r="1" ht="14.25" spans="1:9">
      <c r="A1" s="98" t="s">
        <v>0</v>
      </c>
      <c r="B1" s="28" t="s">
        <v>1208</v>
      </c>
      <c r="C1" s="99"/>
      <c r="D1" s="99"/>
      <c r="E1" s="99"/>
      <c r="F1" s="99"/>
      <c r="G1" s="99"/>
      <c r="H1" s="99"/>
      <c r="I1" s="99"/>
    </row>
    <row r="2" ht="14.25" spans="1:9">
      <c r="A2" s="100"/>
      <c r="B2" s="99"/>
      <c r="C2" s="99"/>
      <c r="D2" s="99"/>
      <c r="E2" s="99"/>
      <c r="F2" s="99"/>
      <c r="G2" s="99"/>
      <c r="H2" s="99"/>
      <c r="I2" s="99"/>
    </row>
    <row r="3" ht="17.25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ht="17.25" spans="1:9">
      <c r="A4" s="102">
        <v>1</v>
      </c>
      <c r="B4" s="102" t="s">
        <v>3</v>
      </c>
      <c r="C4" s="102"/>
      <c r="D4" s="102"/>
      <c r="E4" s="102"/>
      <c r="F4" s="51" t="s">
        <v>1209</v>
      </c>
      <c r="G4" s="51"/>
      <c r="H4" s="51"/>
      <c r="I4" s="51"/>
    </row>
    <row r="5" ht="17.25" spans="1:9">
      <c r="A5" s="102">
        <v>2</v>
      </c>
      <c r="B5" s="102" t="s">
        <v>5</v>
      </c>
      <c r="C5" s="102"/>
      <c r="D5" s="102"/>
      <c r="E5" s="102"/>
      <c r="F5" s="51" t="s">
        <v>1121</v>
      </c>
      <c r="G5" s="51"/>
      <c r="H5" s="51"/>
      <c r="I5" s="51"/>
    </row>
    <row r="6" ht="17.25" spans="1:9">
      <c r="A6" s="102">
        <v>3</v>
      </c>
      <c r="B6" s="102" t="s">
        <v>6</v>
      </c>
      <c r="C6" s="102"/>
      <c r="D6" s="102"/>
      <c r="E6" s="102"/>
      <c r="F6" s="51" t="s">
        <v>1122</v>
      </c>
      <c r="G6" s="51"/>
      <c r="H6" s="51"/>
      <c r="I6" s="51"/>
    </row>
    <row r="7" ht="17.25" spans="1:9">
      <c r="A7" s="102">
        <v>4</v>
      </c>
      <c r="B7" s="102" t="s">
        <v>8</v>
      </c>
      <c r="C7" s="102"/>
      <c r="D7" s="102"/>
      <c r="E7" s="102"/>
      <c r="F7" s="51" t="s">
        <v>812</v>
      </c>
      <c r="G7" s="51"/>
      <c r="H7" s="51"/>
      <c r="I7" s="51"/>
    </row>
    <row r="8" ht="17.25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1123</v>
      </c>
      <c r="H11" s="5" t="s">
        <v>24</v>
      </c>
      <c r="I11" s="18"/>
    </row>
    <row r="12" ht="17.25" spans="1:9">
      <c r="A12" s="5">
        <v>2</v>
      </c>
      <c r="B12" s="93" t="s">
        <v>21</v>
      </c>
      <c r="C12" s="5"/>
      <c r="D12" s="5" t="s">
        <v>813</v>
      </c>
      <c r="E12" s="17" t="s">
        <v>813</v>
      </c>
      <c r="F12" s="5" t="s">
        <v>26</v>
      </c>
      <c r="G12" s="18" t="s">
        <v>1124</v>
      </c>
      <c r="H12" s="5" t="s">
        <v>24</v>
      </c>
      <c r="I12" s="18"/>
    </row>
    <row r="13" ht="17.25" spans="1:9">
      <c r="A13" s="5">
        <v>3</v>
      </c>
      <c r="B13" s="93" t="s">
        <v>21</v>
      </c>
      <c r="C13" s="5"/>
      <c r="D13" s="5" t="s">
        <v>28</v>
      </c>
      <c r="E13" s="17" t="s">
        <v>1125</v>
      </c>
      <c r="F13" s="5" t="s">
        <v>29</v>
      </c>
      <c r="G13" s="18" t="s">
        <v>1125</v>
      </c>
      <c r="H13" s="5" t="s">
        <v>219</v>
      </c>
      <c r="I13" s="18"/>
    </row>
    <row r="14" s="116" customFormat="1" ht="17.25" spans="1:11">
      <c r="A14" s="26">
        <v>4</v>
      </c>
      <c r="B14" s="128" t="s">
        <v>21</v>
      </c>
      <c r="C14" s="26"/>
      <c r="D14" s="26" t="s">
        <v>1203</v>
      </c>
      <c r="E14" s="17" t="s">
        <v>1126</v>
      </c>
      <c r="F14" s="26" t="s">
        <v>267</v>
      </c>
      <c r="G14" s="129" t="s">
        <v>1127</v>
      </c>
      <c r="H14" s="26" t="s">
        <v>24</v>
      </c>
      <c r="I14" s="129" t="s">
        <v>1128</v>
      </c>
      <c r="J14" s="37" t="s">
        <v>212</v>
      </c>
      <c r="K14" s="37" t="s">
        <v>22</v>
      </c>
    </row>
    <row r="15" ht="17.25" spans="1:9">
      <c r="A15" s="5">
        <v>5</v>
      </c>
      <c r="B15" s="93" t="s">
        <v>21</v>
      </c>
      <c r="C15" s="20" t="s">
        <v>224</v>
      </c>
      <c r="D15" s="20" t="s">
        <v>240</v>
      </c>
      <c r="E15" s="17" t="s">
        <v>1129</v>
      </c>
      <c r="F15" s="5" t="s">
        <v>38</v>
      </c>
      <c r="G15" s="18" t="s">
        <v>1130</v>
      </c>
      <c r="H15" s="5" t="s">
        <v>243</v>
      </c>
      <c r="I15" s="18"/>
    </row>
    <row r="16" ht="17.25" spans="1:9">
      <c r="A16" s="5">
        <v>6</v>
      </c>
      <c r="B16" s="93" t="s">
        <v>21</v>
      </c>
      <c r="C16" s="20" t="s">
        <v>224</v>
      </c>
      <c r="D16" s="20" t="s">
        <v>40</v>
      </c>
      <c r="E16" s="17" t="s">
        <v>1131</v>
      </c>
      <c r="F16" s="5" t="s">
        <v>41</v>
      </c>
      <c r="G16" s="18" t="s">
        <v>1132</v>
      </c>
      <c r="H16" s="5" t="s">
        <v>42</v>
      </c>
      <c r="I16" s="18"/>
    </row>
    <row r="17" ht="17.25" spans="1:9">
      <c r="A17" s="5">
        <v>7</v>
      </c>
      <c r="B17" s="93" t="s">
        <v>21</v>
      </c>
      <c r="C17" s="5"/>
      <c r="D17" s="5" t="s">
        <v>1133</v>
      </c>
      <c r="E17" s="17" t="s">
        <v>1134</v>
      </c>
      <c r="F17" s="5" t="s">
        <v>1135</v>
      </c>
      <c r="G17" s="18" t="s">
        <v>1136</v>
      </c>
      <c r="H17" s="5" t="s">
        <v>243</v>
      </c>
      <c r="I17" s="18"/>
    </row>
    <row r="18" ht="17.25" spans="1:9">
      <c r="A18" s="5">
        <v>8</v>
      </c>
      <c r="B18" s="93" t="s">
        <v>21</v>
      </c>
      <c r="C18" s="5"/>
      <c r="D18" s="5" t="s">
        <v>1137</v>
      </c>
      <c r="E18" s="17" t="s">
        <v>1138</v>
      </c>
      <c r="F18" s="5" t="s">
        <v>1139</v>
      </c>
      <c r="G18" s="18" t="s">
        <v>1140</v>
      </c>
      <c r="H18" s="5" t="s">
        <v>243</v>
      </c>
      <c r="I18" s="18"/>
    </row>
    <row r="19" ht="17.25" spans="1:9">
      <c r="A19" s="5">
        <v>9</v>
      </c>
      <c r="B19" s="93"/>
      <c r="C19" s="5"/>
      <c r="D19" s="5" t="s">
        <v>1141</v>
      </c>
      <c r="E19" s="17" t="s">
        <v>1142</v>
      </c>
      <c r="F19" s="5" t="s">
        <v>1143</v>
      </c>
      <c r="G19" s="18" t="s">
        <v>1144</v>
      </c>
      <c r="H19" s="5" t="s">
        <v>243</v>
      </c>
      <c r="I19" s="18"/>
    </row>
    <row r="20" ht="34.5" spans="1:9">
      <c r="A20" s="5">
        <v>10</v>
      </c>
      <c r="B20" s="93" t="s">
        <v>21</v>
      </c>
      <c r="C20" s="5"/>
      <c r="D20" s="5" t="s">
        <v>1145</v>
      </c>
      <c r="E20" s="17" t="s">
        <v>1146</v>
      </c>
      <c r="F20" s="5" t="s">
        <v>1147</v>
      </c>
      <c r="G20" s="18" t="s">
        <v>1148</v>
      </c>
      <c r="H20" s="5" t="s">
        <v>42</v>
      </c>
      <c r="I20" s="18"/>
    </row>
    <row r="21" ht="34.5" spans="1:12">
      <c r="A21" s="5">
        <v>11</v>
      </c>
      <c r="B21" s="93"/>
      <c r="C21" s="26"/>
      <c r="D21" s="26" t="s">
        <v>1149</v>
      </c>
      <c r="E21" s="17" t="s">
        <v>1150</v>
      </c>
      <c r="F21" s="5" t="s">
        <v>1151</v>
      </c>
      <c r="G21" s="18" t="s">
        <v>1152</v>
      </c>
      <c r="H21" s="5" t="s">
        <v>27</v>
      </c>
      <c r="I21" s="18" t="s">
        <v>1153</v>
      </c>
      <c r="J21" t="s">
        <v>4</v>
      </c>
      <c r="K21" t="s">
        <v>26</v>
      </c>
      <c r="L21" t="s">
        <v>1151</v>
      </c>
    </row>
    <row r="22" ht="34.5" spans="1:12">
      <c r="A22" s="5">
        <v>12</v>
      </c>
      <c r="B22" s="93"/>
      <c r="C22" s="26"/>
      <c r="D22" s="26" t="s">
        <v>1154</v>
      </c>
      <c r="E22" s="17" t="s">
        <v>1155</v>
      </c>
      <c r="F22" s="5" t="s">
        <v>1156</v>
      </c>
      <c r="G22" s="18" t="s">
        <v>1157</v>
      </c>
      <c r="H22" s="5" t="s">
        <v>27</v>
      </c>
      <c r="I22" s="18" t="s">
        <v>1158</v>
      </c>
      <c r="J22" t="s">
        <v>4</v>
      </c>
      <c r="K22" t="s">
        <v>26</v>
      </c>
      <c r="L22" t="s">
        <v>1156</v>
      </c>
    </row>
    <row r="23" ht="34.5" spans="1:9">
      <c r="A23" s="5">
        <v>13</v>
      </c>
      <c r="B23" s="93" t="s">
        <v>21</v>
      </c>
      <c r="C23" s="5"/>
      <c r="D23" s="5" t="s">
        <v>1159</v>
      </c>
      <c r="E23" s="17" t="s">
        <v>1160</v>
      </c>
      <c r="F23" s="5" t="s">
        <v>1161</v>
      </c>
      <c r="G23" s="18" t="s">
        <v>1162</v>
      </c>
      <c r="H23" s="5" t="s">
        <v>42</v>
      </c>
      <c r="I23" s="18"/>
    </row>
    <row r="24" ht="34.5" spans="1:9">
      <c r="A24" s="5">
        <v>14</v>
      </c>
      <c r="B24" s="93" t="s">
        <v>21</v>
      </c>
      <c r="C24" s="5"/>
      <c r="D24" s="5" t="s">
        <v>1163</v>
      </c>
      <c r="E24" s="17" t="s">
        <v>1164</v>
      </c>
      <c r="F24" s="5" t="s">
        <v>1165</v>
      </c>
      <c r="G24" s="18" t="s">
        <v>1166</v>
      </c>
      <c r="H24" s="5" t="s">
        <v>42</v>
      </c>
      <c r="I24" s="18"/>
    </row>
    <row r="25" ht="17.25" spans="1:9">
      <c r="A25" s="5">
        <v>15</v>
      </c>
      <c r="B25" s="93" t="s">
        <v>21</v>
      </c>
      <c r="C25" s="5"/>
      <c r="D25" s="5" t="s">
        <v>1167</v>
      </c>
      <c r="E25" s="17" t="s">
        <v>1168</v>
      </c>
      <c r="F25" s="5" t="s">
        <v>1169</v>
      </c>
      <c r="G25" s="18" t="s">
        <v>1170</v>
      </c>
      <c r="H25" s="5" t="s">
        <v>42</v>
      </c>
      <c r="I25" s="18"/>
    </row>
    <row r="26" ht="34.5" spans="1:9">
      <c r="A26" s="5">
        <v>16</v>
      </c>
      <c r="B26" s="93"/>
      <c r="C26" s="5"/>
      <c r="D26" s="5" t="s">
        <v>1171</v>
      </c>
      <c r="E26" s="17" t="s">
        <v>1172</v>
      </c>
      <c r="F26" s="5" t="s">
        <v>1173</v>
      </c>
      <c r="G26" s="18" t="s">
        <v>1174</v>
      </c>
      <c r="H26" s="5" t="s">
        <v>1175</v>
      </c>
      <c r="I26" s="18"/>
    </row>
    <row r="27" ht="34.5" spans="1:9">
      <c r="A27" s="5">
        <v>17</v>
      </c>
      <c r="B27" s="93"/>
      <c r="C27" s="5"/>
      <c r="D27" s="5" t="s">
        <v>1176</v>
      </c>
      <c r="E27" s="17" t="s">
        <v>1177</v>
      </c>
      <c r="F27" s="5" t="s">
        <v>1178</v>
      </c>
      <c r="G27" s="18" t="s">
        <v>1179</v>
      </c>
      <c r="H27" s="5" t="s">
        <v>30</v>
      </c>
      <c r="I27" s="18"/>
    </row>
    <row r="28" ht="17.25" spans="1:11">
      <c r="A28" s="5">
        <v>18</v>
      </c>
      <c r="B28" s="93" t="s">
        <v>21</v>
      </c>
      <c r="C28" s="5"/>
      <c r="D28" s="5" t="s">
        <v>1180</v>
      </c>
      <c r="E28" s="17" t="s">
        <v>1181</v>
      </c>
      <c r="F28" s="5" t="s">
        <v>255</v>
      </c>
      <c r="G28" s="18" t="s">
        <v>1182</v>
      </c>
      <c r="H28" s="5" t="s">
        <v>1175</v>
      </c>
      <c r="I28" s="18" t="s">
        <v>1183</v>
      </c>
      <c r="J28" t="s">
        <v>1184</v>
      </c>
      <c r="K28" t="s">
        <v>162</v>
      </c>
    </row>
    <row r="29" ht="17.25" spans="1:9">
      <c r="A29" s="5">
        <v>19</v>
      </c>
      <c r="B29" s="93" t="s">
        <v>21</v>
      </c>
      <c r="C29" s="5"/>
      <c r="D29" s="5" t="s">
        <v>244</v>
      </c>
      <c r="E29" s="17" t="s">
        <v>1185</v>
      </c>
      <c r="F29" s="5" t="s">
        <v>245</v>
      </c>
      <c r="G29" s="18" t="s">
        <v>1185</v>
      </c>
      <c r="H29" s="5" t="s">
        <v>219</v>
      </c>
      <c r="I29" s="18"/>
    </row>
    <row r="30" ht="17.25" spans="1:12">
      <c r="A30" s="5">
        <v>20</v>
      </c>
      <c r="B30" s="93" t="s">
        <v>21</v>
      </c>
      <c r="C30" s="19"/>
      <c r="D30" s="19" t="s">
        <v>1186</v>
      </c>
      <c r="E30" s="17" t="s">
        <v>1187</v>
      </c>
      <c r="F30" s="5" t="s">
        <v>1188</v>
      </c>
      <c r="G30" s="18" t="s">
        <v>1189</v>
      </c>
      <c r="H30" s="5" t="s">
        <v>24</v>
      </c>
      <c r="I30" s="18" t="s">
        <v>1190</v>
      </c>
      <c r="J30" t="s">
        <v>4</v>
      </c>
      <c r="K30" t="s">
        <v>26</v>
      </c>
      <c r="L30" t="s">
        <v>1188</v>
      </c>
    </row>
    <row r="31" ht="17.25" spans="1:9">
      <c r="A31" s="5">
        <v>21</v>
      </c>
      <c r="B31" s="93"/>
      <c r="C31" s="5"/>
      <c r="D31" s="5" t="s">
        <v>1191</v>
      </c>
      <c r="E31" s="17" t="s">
        <v>1192</v>
      </c>
      <c r="F31" s="5" t="s">
        <v>1193</v>
      </c>
      <c r="G31" s="18" t="s">
        <v>1194</v>
      </c>
      <c r="H31" s="5" t="s">
        <v>1063</v>
      </c>
      <c r="I31" s="18"/>
    </row>
    <row r="32" ht="17.25" spans="1:9">
      <c r="A32" s="5">
        <v>22</v>
      </c>
      <c r="B32" s="93" t="s">
        <v>1195</v>
      </c>
      <c r="C32" s="5"/>
      <c r="D32" s="5" t="s">
        <v>421</v>
      </c>
      <c r="E32" s="17" t="s">
        <v>1210</v>
      </c>
      <c r="F32" s="5" t="s">
        <v>422</v>
      </c>
      <c r="G32" s="18" t="s">
        <v>1197</v>
      </c>
      <c r="H32" s="5" t="s">
        <v>1063</v>
      </c>
      <c r="I32" s="18"/>
    </row>
    <row r="33" ht="17.25" spans="1:12">
      <c r="A33" s="5">
        <v>23</v>
      </c>
      <c r="B33" s="93" t="s">
        <v>21</v>
      </c>
      <c r="C33" s="5"/>
      <c r="D33" s="5" t="s">
        <v>800</v>
      </c>
      <c r="E33" s="17" t="s">
        <v>1211</v>
      </c>
      <c r="F33" s="5" t="s">
        <v>802</v>
      </c>
      <c r="G33" s="18" t="s">
        <v>1211</v>
      </c>
      <c r="H33" s="5" t="s">
        <v>243</v>
      </c>
      <c r="I33" s="18"/>
      <c r="J33" s="37"/>
      <c r="K33" s="37"/>
      <c r="L33" s="37"/>
    </row>
    <row r="34" s="37" customFormat="1" ht="35" customHeight="1" spans="1:9">
      <c r="A34" s="30">
        <f>ROW(A34)-10</f>
        <v>24</v>
      </c>
      <c r="B34" s="107" t="s">
        <v>21</v>
      </c>
      <c r="C34" s="109"/>
      <c r="D34" s="109" t="s">
        <v>220</v>
      </c>
      <c r="E34" s="108" t="s">
        <v>1198</v>
      </c>
      <c r="F34" s="109" t="s">
        <v>222</v>
      </c>
      <c r="G34" s="51" t="s">
        <v>1207</v>
      </c>
      <c r="H34" s="51" t="s">
        <v>24</v>
      </c>
      <c r="I34" s="51"/>
    </row>
    <row r="35" s="37" customFormat="1" ht="35" customHeight="1" spans="1:9">
      <c r="A35" s="30">
        <f>ROW(A35)-10</f>
        <v>25</v>
      </c>
      <c r="B35" s="106" t="s">
        <v>21</v>
      </c>
      <c r="C35" s="86" t="s">
        <v>224</v>
      </c>
      <c r="D35" s="86" t="s">
        <v>246</v>
      </c>
      <c r="E35" s="35" t="s">
        <v>1200</v>
      </c>
      <c r="F35" s="30" t="s">
        <v>247</v>
      </c>
      <c r="G35" s="51" t="s">
        <v>1207</v>
      </c>
      <c r="H35" s="51" t="s">
        <v>24</v>
      </c>
      <c r="I35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85" zoomScaleNormal="85" workbookViewId="0">
      <selection activeCell="J15" sqref="J15:K15"/>
    </sheetView>
  </sheetViews>
  <sheetFormatPr defaultColWidth="9" defaultRowHeight="13.5"/>
  <cols>
    <col min="3" max="5" width="16.5" customWidth="1"/>
    <col min="6" max="6" width="15.1666666666667" customWidth="1"/>
    <col min="7" max="7" width="75.3333333333333" customWidth="1"/>
    <col min="8" max="8" width="21.5" customWidth="1"/>
    <col min="9" max="9" width="32.6416666666667" customWidth="1"/>
    <col min="10" max="10" width="20.5833333333333" customWidth="1"/>
  </cols>
  <sheetData>
    <row r="1" ht="14.25" spans="1:9">
      <c r="A1" s="98" t="s">
        <v>0</v>
      </c>
      <c r="B1" s="28" t="s">
        <v>1212</v>
      </c>
      <c r="C1" s="99"/>
      <c r="D1" s="99"/>
      <c r="E1" s="99"/>
      <c r="F1" s="99"/>
      <c r="G1" s="99"/>
      <c r="H1" s="99"/>
      <c r="I1" s="99"/>
    </row>
    <row r="2" ht="14.25" spans="1:9">
      <c r="A2" s="100"/>
      <c r="B2" s="99"/>
      <c r="C2" s="99"/>
      <c r="D2" s="99"/>
      <c r="E2" s="99"/>
      <c r="F2" s="99"/>
      <c r="G2" s="99"/>
      <c r="H2" s="99"/>
      <c r="I2" s="99"/>
    </row>
    <row r="3" ht="17.25" spans="1:9">
      <c r="A3" s="127" t="s">
        <v>2</v>
      </c>
      <c r="B3" s="127"/>
      <c r="C3" s="127"/>
      <c r="D3" s="127"/>
      <c r="E3" s="127"/>
      <c r="F3" s="127"/>
      <c r="G3" s="127"/>
      <c r="H3" s="127"/>
      <c r="I3" s="127"/>
    </row>
    <row r="4" ht="17.25" spans="1:9">
      <c r="A4" s="102">
        <v>1</v>
      </c>
      <c r="B4" s="102" t="s">
        <v>3</v>
      </c>
      <c r="C4" s="102"/>
      <c r="D4" s="102"/>
      <c r="E4" s="102"/>
      <c r="F4" s="51" t="s">
        <v>1213</v>
      </c>
      <c r="G4" s="51"/>
      <c r="H4" s="51"/>
      <c r="I4" s="51"/>
    </row>
    <row r="5" ht="17.25" spans="1:9">
      <c r="A5" s="102">
        <v>2</v>
      </c>
      <c r="B5" s="102" t="s">
        <v>5</v>
      </c>
      <c r="C5" s="102"/>
      <c r="D5" s="102"/>
      <c r="E5" s="102"/>
      <c r="F5" s="51"/>
      <c r="G5" s="51"/>
      <c r="H5" s="51"/>
      <c r="I5" s="51"/>
    </row>
    <row r="6" ht="17.25" spans="1:9">
      <c r="A6" s="102">
        <v>3</v>
      </c>
      <c r="B6" s="102" t="s">
        <v>6</v>
      </c>
      <c r="C6" s="102"/>
      <c r="D6" s="102"/>
      <c r="E6" s="102"/>
      <c r="F6" s="51" t="s">
        <v>1214</v>
      </c>
      <c r="G6" s="51"/>
      <c r="H6" s="51"/>
      <c r="I6" s="51"/>
    </row>
    <row r="7" ht="17.25" spans="1:9">
      <c r="A7" s="102">
        <v>4</v>
      </c>
      <c r="B7" s="102" t="s">
        <v>8</v>
      </c>
      <c r="C7" s="102"/>
      <c r="D7" s="102"/>
      <c r="E7" s="102"/>
      <c r="F7" s="51" t="s">
        <v>812</v>
      </c>
      <c r="G7" s="51"/>
      <c r="H7" s="51"/>
      <c r="I7" s="51"/>
    </row>
    <row r="8" ht="17.25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1215</v>
      </c>
      <c r="H11" s="5" t="s">
        <v>24</v>
      </c>
      <c r="I11" s="18"/>
    </row>
    <row r="12" ht="17.25" spans="1:9">
      <c r="A12" s="5">
        <v>2</v>
      </c>
      <c r="B12" s="93" t="s">
        <v>21</v>
      </c>
      <c r="C12" s="5"/>
      <c r="D12" s="5" t="s">
        <v>378</v>
      </c>
      <c r="E12" s="17" t="s">
        <v>925</v>
      </c>
      <c r="F12" s="5" t="s">
        <v>379</v>
      </c>
      <c r="G12" s="18"/>
      <c r="H12" s="5" t="s">
        <v>411</v>
      </c>
      <c r="I12" s="18"/>
    </row>
    <row r="13" ht="17.25" spans="1:9">
      <c r="A13" s="5">
        <v>3</v>
      </c>
      <c r="B13" s="93" t="s">
        <v>21</v>
      </c>
      <c r="C13" s="5"/>
      <c r="D13" s="5" t="s">
        <v>382</v>
      </c>
      <c r="E13" s="17" t="s">
        <v>927</v>
      </c>
      <c r="F13" s="5" t="s">
        <v>383</v>
      </c>
      <c r="G13" s="18"/>
      <c r="H13" s="5" t="s">
        <v>27</v>
      </c>
      <c r="I13" s="18"/>
    </row>
    <row r="14" ht="17.25" spans="1:11">
      <c r="A14" s="5">
        <v>4</v>
      </c>
      <c r="B14" s="93" t="s">
        <v>21</v>
      </c>
      <c r="C14" s="5"/>
      <c r="D14" s="5" t="s">
        <v>813</v>
      </c>
      <c r="E14" s="17" t="s">
        <v>1216</v>
      </c>
      <c r="F14" s="5" t="s">
        <v>26</v>
      </c>
      <c r="G14" s="18" t="s">
        <v>1124</v>
      </c>
      <c r="H14" s="5" t="s">
        <v>24</v>
      </c>
      <c r="I14" s="18"/>
      <c r="J14" s="37" t="s">
        <v>307</v>
      </c>
      <c r="K14" s="37" t="s">
        <v>26</v>
      </c>
    </row>
    <row r="15" ht="17.25" spans="1:11">
      <c r="A15" s="5">
        <v>5</v>
      </c>
      <c r="B15" s="93" t="s">
        <v>21</v>
      </c>
      <c r="C15" s="5"/>
      <c r="D15" s="5" t="s">
        <v>1217</v>
      </c>
      <c r="E15" s="17" t="s">
        <v>1218</v>
      </c>
      <c r="F15" s="5" t="s">
        <v>162</v>
      </c>
      <c r="G15" s="18" t="s">
        <v>1219</v>
      </c>
      <c r="H15" s="5" t="s">
        <v>24</v>
      </c>
      <c r="I15" s="18"/>
      <c r="J15" s="37" t="s">
        <v>161</v>
      </c>
      <c r="K15" s="37" t="s">
        <v>162</v>
      </c>
    </row>
    <row r="16" s="116" customFormat="1" ht="17.25" spans="1:9">
      <c r="A16" s="26">
        <v>6</v>
      </c>
      <c r="B16" s="128" t="s">
        <v>21</v>
      </c>
      <c r="C16" s="26"/>
      <c r="D16" s="26" t="s">
        <v>1220</v>
      </c>
      <c r="E16" s="17" t="s">
        <v>1221</v>
      </c>
      <c r="F16" s="26" t="s">
        <v>29</v>
      </c>
      <c r="G16" s="129"/>
      <c r="H16" s="26" t="s">
        <v>24</v>
      </c>
      <c r="I16" s="129"/>
    </row>
    <row r="17" ht="34" customHeight="1" spans="1:9">
      <c r="A17" s="5">
        <v>7</v>
      </c>
      <c r="B17" s="93" t="s">
        <v>21</v>
      </c>
      <c r="C17" s="26"/>
      <c r="D17" s="26" t="s">
        <v>1222</v>
      </c>
      <c r="E17" s="17" t="s">
        <v>1223</v>
      </c>
      <c r="F17" s="5" t="s">
        <v>1224</v>
      </c>
      <c r="G17" s="18" t="s">
        <v>1225</v>
      </c>
      <c r="H17" s="5" t="s">
        <v>24</v>
      </c>
      <c r="I17" s="18"/>
    </row>
    <row r="18" ht="17.25" spans="1:9">
      <c r="A18" s="5">
        <v>8</v>
      </c>
      <c r="B18" s="93" t="s">
        <v>21</v>
      </c>
      <c r="C18" s="20" t="s">
        <v>224</v>
      </c>
      <c r="D18" s="20" t="s">
        <v>1226</v>
      </c>
      <c r="E18" s="17" t="s">
        <v>1227</v>
      </c>
      <c r="F18" s="5" t="s">
        <v>38</v>
      </c>
      <c r="G18" s="18"/>
      <c r="H18" s="5" t="s">
        <v>243</v>
      </c>
      <c r="I18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opLeftCell="A4" workbookViewId="0">
      <selection activeCell="G15" sqref="G15"/>
    </sheetView>
  </sheetViews>
  <sheetFormatPr defaultColWidth="9" defaultRowHeight="13.5"/>
  <cols>
    <col min="1" max="1" width="4.88333333333333" customWidth="1"/>
    <col min="2" max="2" width="4.34166666666667" customWidth="1"/>
    <col min="3" max="3" width="9.125" customWidth="1"/>
    <col min="4" max="5" width="21" customWidth="1"/>
    <col min="6" max="6" width="23" customWidth="1"/>
    <col min="7" max="7" width="23.2583333333333" customWidth="1"/>
    <col min="8" max="8" width="16.3" customWidth="1"/>
    <col min="9" max="9" width="40.5333333333333" customWidth="1"/>
    <col min="10" max="10" width="30.7583333333333" customWidth="1"/>
  </cols>
  <sheetData>
    <row r="1" ht="14.25" customHeight="1" spans="1:9">
      <c r="A1" s="38" t="s">
        <v>0</v>
      </c>
      <c r="B1" s="117" t="s">
        <v>1228</v>
      </c>
      <c r="C1" s="118"/>
      <c r="D1" s="118"/>
      <c r="E1" s="118"/>
      <c r="F1" s="118"/>
      <c r="G1" s="118"/>
      <c r="H1" s="118"/>
      <c r="I1" s="118"/>
    </row>
    <row r="2" ht="14.25" customHeight="1" spans="1:9">
      <c r="A2" s="119"/>
      <c r="B2" s="117"/>
      <c r="C2" s="118"/>
      <c r="D2" s="118"/>
      <c r="E2" s="118"/>
      <c r="F2" s="118"/>
      <c r="G2" s="118"/>
      <c r="H2" s="118"/>
      <c r="I2" s="118"/>
    </row>
    <row r="3" ht="17.25" spans="1:9">
      <c r="A3" s="120" t="s">
        <v>2</v>
      </c>
      <c r="B3" s="121"/>
      <c r="C3" s="121"/>
      <c r="D3" s="121"/>
      <c r="E3" s="121"/>
      <c r="F3" s="121"/>
      <c r="G3" s="121"/>
      <c r="H3" s="121"/>
      <c r="I3" s="121"/>
    </row>
    <row r="4" ht="17.25" customHeight="1" spans="1:9">
      <c r="A4" s="30">
        <v>1</v>
      </c>
      <c r="B4" s="30" t="s">
        <v>3</v>
      </c>
      <c r="C4" s="30"/>
      <c r="D4" s="30"/>
      <c r="E4" s="122"/>
      <c r="F4" s="123" t="s">
        <v>1229</v>
      </c>
      <c r="G4" s="124"/>
      <c r="H4" s="124"/>
      <c r="I4" s="124"/>
    </row>
    <row r="5" ht="17.25" customHeight="1" spans="1:9">
      <c r="A5" s="30">
        <v>2</v>
      </c>
      <c r="B5" s="30" t="s">
        <v>5</v>
      </c>
      <c r="C5" s="30"/>
      <c r="D5" s="30"/>
      <c r="E5" s="122"/>
      <c r="F5" s="123" t="s">
        <v>1230</v>
      </c>
      <c r="G5" s="124"/>
      <c r="H5" s="124"/>
      <c r="I5" s="124"/>
    </row>
    <row r="6" ht="17.25" customHeight="1" spans="1:9">
      <c r="A6" s="30">
        <v>3</v>
      </c>
      <c r="B6" s="30" t="s">
        <v>6</v>
      </c>
      <c r="C6" s="30"/>
      <c r="D6" s="30"/>
      <c r="E6" s="122"/>
      <c r="F6" s="123" t="s">
        <v>1122</v>
      </c>
      <c r="G6" s="124"/>
      <c r="H6" s="124"/>
      <c r="I6" s="124"/>
    </row>
    <row r="7" ht="17.25" customHeight="1" spans="1:9">
      <c r="A7" s="30">
        <v>4</v>
      </c>
      <c r="B7" s="30" t="s">
        <v>8</v>
      </c>
      <c r="C7" s="30"/>
      <c r="D7" s="30"/>
      <c r="E7" s="122"/>
      <c r="F7" s="123" t="s">
        <v>1231</v>
      </c>
      <c r="G7" s="124"/>
      <c r="H7" s="124"/>
      <c r="I7" s="124"/>
    </row>
    <row r="8" ht="17.25" spans="1:9">
      <c r="A8" s="30">
        <v>5</v>
      </c>
      <c r="B8" s="30" t="s">
        <v>10</v>
      </c>
      <c r="C8" s="30"/>
      <c r="D8" s="30"/>
      <c r="E8" s="125"/>
      <c r="F8" s="125"/>
      <c r="G8" s="126"/>
      <c r="H8" s="126"/>
      <c r="I8" s="126"/>
    </row>
    <row r="9" ht="17.25" spans="1:9">
      <c r="A9" s="127" t="s">
        <v>12</v>
      </c>
      <c r="B9" s="127"/>
      <c r="C9" s="127"/>
      <c r="D9" s="127"/>
      <c r="E9" s="127"/>
      <c r="F9" s="127"/>
      <c r="G9" s="127"/>
      <c r="H9" s="127"/>
      <c r="I9" s="127"/>
    </row>
    <row r="10" ht="17.25" spans="2:9"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30"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24</v>
      </c>
      <c r="I11" s="18"/>
    </row>
    <row r="12" ht="17.25" spans="1:11">
      <c r="A12" s="30">
        <v>2</v>
      </c>
      <c r="B12" s="93" t="s">
        <v>21</v>
      </c>
      <c r="C12" s="26"/>
      <c r="D12" s="26" t="s">
        <v>1233</v>
      </c>
      <c r="E12" s="17" t="s">
        <v>1234</v>
      </c>
      <c r="F12" s="5" t="s">
        <v>304</v>
      </c>
      <c r="G12" s="18" t="s">
        <v>1235</v>
      </c>
      <c r="H12" s="5" t="s">
        <v>24</v>
      </c>
      <c r="I12" s="18" t="s">
        <v>1236</v>
      </c>
      <c r="J12" s="18" t="s">
        <v>307</v>
      </c>
      <c r="K12" s="18" t="s">
        <v>26</v>
      </c>
    </row>
    <row r="13" ht="17.25" spans="1:11">
      <c r="A13" s="30">
        <v>3</v>
      </c>
      <c r="B13" s="93" t="s">
        <v>21</v>
      </c>
      <c r="C13" s="26"/>
      <c r="D13" s="26" t="s">
        <v>1237</v>
      </c>
      <c r="E13" s="17" t="s">
        <v>1238</v>
      </c>
      <c r="F13" s="5" t="s">
        <v>1239</v>
      </c>
      <c r="G13" s="18" t="s">
        <v>1240</v>
      </c>
      <c r="H13" s="5" t="s">
        <v>24</v>
      </c>
      <c r="I13" s="18" t="s">
        <v>1241</v>
      </c>
      <c r="J13" s="18" t="s">
        <v>1242</v>
      </c>
      <c r="K13" s="18" t="s">
        <v>26</v>
      </c>
    </row>
    <row r="14" ht="17.25" spans="1:9">
      <c r="A14" s="30">
        <v>4</v>
      </c>
      <c r="B14" s="93" t="s">
        <v>21</v>
      </c>
      <c r="C14" s="5"/>
      <c r="D14" s="5" t="s">
        <v>1243</v>
      </c>
      <c r="E14" s="17" t="s">
        <v>1244</v>
      </c>
      <c r="F14" s="5" t="s">
        <v>1245</v>
      </c>
      <c r="G14" s="5" t="s">
        <v>1243</v>
      </c>
      <c r="H14" s="5" t="s">
        <v>219</v>
      </c>
      <c r="I14" s="18"/>
    </row>
    <row r="15" ht="17.25" spans="1:11">
      <c r="A15" s="30">
        <v>5</v>
      </c>
      <c r="B15" s="93" t="s">
        <v>21</v>
      </c>
      <c r="C15" s="26"/>
      <c r="D15" s="26" t="s">
        <v>1246</v>
      </c>
      <c r="E15" s="17" t="s">
        <v>1247</v>
      </c>
      <c r="F15" s="26" t="s">
        <v>1248</v>
      </c>
      <c r="G15" s="26" t="s">
        <v>1249</v>
      </c>
      <c r="H15" s="26" t="s">
        <v>24</v>
      </c>
      <c r="I15" s="129"/>
      <c r="J15" s="18" t="s">
        <v>307</v>
      </c>
      <c r="K15" s="18" t="s">
        <v>26</v>
      </c>
    </row>
    <row r="16" ht="17.25" spans="1:9">
      <c r="A16" s="30">
        <v>6</v>
      </c>
      <c r="B16" s="93" t="s">
        <v>21</v>
      </c>
      <c r="C16" s="5"/>
      <c r="D16" s="5" t="s">
        <v>1250</v>
      </c>
      <c r="E16" s="17" t="s">
        <v>1251</v>
      </c>
      <c r="F16" s="5" t="s">
        <v>1252</v>
      </c>
      <c r="G16" s="5" t="s">
        <v>1250</v>
      </c>
      <c r="H16" s="5" t="s">
        <v>219</v>
      </c>
      <c r="I16" s="18"/>
    </row>
    <row r="17" s="116" customFormat="1" ht="17.25" spans="1:9">
      <c r="A17" s="36">
        <v>7</v>
      </c>
      <c r="B17" s="128" t="s">
        <v>21</v>
      </c>
      <c r="C17" s="20" t="s">
        <v>224</v>
      </c>
      <c r="D17" s="20" t="s">
        <v>240</v>
      </c>
      <c r="E17" s="17" t="s">
        <v>240</v>
      </c>
      <c r="F17" s="26" t="s">
        <v>38</v>
      </c>
      <c r="G17" s="26" t="s">
        <v>240</v>
      </c>
      <c r="H17" s="26" t="s">
        <v>243</v>
      </c>
      <c r="I17" s="129"/>
    </row>
    <row r="18" s="116" customFormat="1" ht="17.25" spans="1:9">
      <c r="A18" s="36">
        <v>8</v>
      </c>
      <c r="B18" s="128" t="s">
        <v>21</v>
      </c>
      <c r="C18" s="20" t="s">
        <v>224</v>
      </c>
      <c r="D18" s="20" t="s">
        <v>40</v>
      </c>
      <c r="E18" s="17" t="s">
        <v>40</v>
      </c>
      <c r="F18" s="26" t="s">
        <v>41</v>
      </c>
      <c r="G18" s="26" t="s">
        <v>1253</v>
      </c>
      <c r="H18" s="26" t="s">
        <v>42</v>
      </c>
      <c r="I18" s="129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24"/>
  <sheetViews>
    <sheetView topLeftCell="A10" workbookViewId="0">
      <selection activeCell="F23" sqref="F23"/>
    </sheetView>
  </sheetViews>
  <sheetFormatPr defaultColWidth="10.8333333333333" defaultRowHeight="17.25"/>
  <cols>
    <col min="1" max="2" width="5.66666666666667" style="37" customWidth="1"/>
    <col min="3" max="3" width="9.875" style="37" customWidth="1"/>
    <col min="4" max="5" width="20.5" style="37" customWidth="1"/>
    <col min="6" max="6" width="16.375" style="97" customWidth="1"/>
    <col min="7" max="7" width="46.875" style="37" customWidth="1"/>
    <col min="8" max="8" width="17.875" style="37" customWidth="1"/>
    <col min="9" max="9" width="10" style="37" customWidth="1"/>
    <col min="10" max="10" width="25.5" style="37" customWidth="1"/>
    <col min="11" max="11" width="14.75" style="37" customWidth="1"/>
    <col min="12" max="12" width="16.375" style="37" customWidth="1"/>
    <col min="13" max="16384" width="10.8333333333333" style="37"/>
  </cols>
  <sheetData>
    <row r="1" ht="23" customHeight="1" spans="1:9">
      <c r="A1" s="98" t="s">
        <v>0</v>
      </c>
      <c r="B1" s="28" t="s">
        <v>1254</v>
      </c>
      <c r="C1" s="99"/>
      <c r="D1" s="99"/>
      <c r="E1" s="99"/>
      <c r="F1" s="99"/>
      <c r="G1" s="99"/>
      <c r="H1" s="99"/>
      <c r="I1" s="99"/>
    </row>
    <row r="2" ht="18" customHeight="1" spans="1:9">
      <c r="A2" s="100"/>
      <c r="B2" s="99"/>
      <c r="C2" s="99"/>
      <c r="D2" s="99"/>
      <c r="E2" s="99"/>
      <c r="F2" s="99"/>
      <c r="G2" s="99"/>
      <c r="H2" s="99"/>
      <c r="I2" s="99"/>
    </row>
    <row r="3" ht="35" customHeight="1" spans="1:9">
      <c r="A3" s="101" t="s">
        <v>2</v>
      </c>
      <c r="B3" s="101"/>
      <c r="C3" s="101"/>
      <c r="D3" s="101"/>
      <c r="E3" s="101"/>
      <c r="F3" s="101"/>
      <c r="G3" s="101"/>
      <c r="H3" s="101"/>
      <c r="I3" s="101"/>
    </row>
    <row r="4" ht="35" customHeight="1" spans="1:9">
      <c r="A4" s="102">
        <v>1</v>
      </c>
      <c r="B4" s="102" t="s">
        <v>3</v>
      </c>
      <c r="C4" s="102"/>
      <c r="D4" s="102"/>
      <c r="E4" s="102"/>
      <c r="F4" s="51" t="s">
        <v>1242</v>
      </c>
      <c r="G4" s="51"/>
      <c r="H4" s="51"/>
      <c r="I4" s="51"/>
    </row>
    <row r="5" ht="35" customHeight="1" spans="1:9">
      <c r="A5" s="102">
        <v>2</v>
      </c>
      <c r="B5" s="102" t="s">
        <v>5</v>
      </c>
      <c r="C5" s="102"/>
      <c r="D5" s="102"/>
      <c r="E5" s="102"/>
      <c r="F5" s="51" t="s">
        <v>1255</v>
      </c>
      <c r="G5" s="51"/>
      <c r="H5" s="51"/>
      <c r="I5" s="51"/>
    </row>
    <row r="6" ht="35" customHeight="1" spans="1:9">
      <c r="A6" s="102">
        <v>3</v>
      </c>
      <c r="B6" s="102" t="s">
        <v>6</v>
      </c>
      <c r="C6" s="102"/>
      <c r="D6" s="102"/>
      <c r="E6" s="102"/>
      <c r="F6" s="51" t="s">
        <v>214</v>
      </c>
      <c r="G6" s="51"/>
      <c r="H6" s="51"/>
      <c r="I6" s="51"/>
    </row>
    <row r="7" ht="35" customHeight="1" spans="1:9">
      <c r="A7" s="102">
        <v>4</v>
      </c>
      <c r="B7" s="102" t="s">
        <v>8</v>
      </c>
      <c r="C7" s="102"/>
      <c r="D7" s="102"/>
      <c r="E7" s="102"/>
      <c r="F7" s="51" t="s">
        <v>215</v>
      </c>
      <c r="G7" s="51"/>
      <c r="H7" s="51"/>
      <c r="I7" s="51"/>
    </row>
    <row r="8" ht="35" customHeight="1" spans="1:9">
      <c r="A8" s="102">
        <v>5</v>
      </c>
      <c r="B8" s="102" t="s">
        <v>10</v>
      </c>
      <c r="C8" s="102"/>
      <c r="D8" s="102"/>
      <c r="E8" s="102"/>
      <c r="F8" s="51"/>
      <c r="G8" s="51"/>
      <c r="H8" s="51"/>
      <c r="I8" s="51"/>
    </row>
    <row r="9" ht="35" customHeight="1" spans="1:9">
      <c r="A9" s="101" t="s">
        <v>12</v>
      </c>
      <c r="B9" s="101"/>
      <c r="C9" s="101"/>
      <c r="D9" s="101"/>
      <c r="E9" s="101"/>
      <c r="F9" s="101"/>
      <c r="G9" s="101"/>
      <c r="H9" s="101"/>
      <c r="I9" s="101"/>
    </row>
    <row r="10" ht="35" customHeight="1" spans="1:9">
      <c r="A10" s="103"/>
      <c r="B10" s="104" t="s">
        <v>13</v>
      </c>
      <c r="C10" s="103" t="s">
        <v>14</v>
      </c>
      <c r="D10" s="103" t="s">
        <v>15</v>
      </c>
      <c r="E10" s="105" t="s">
        <v>16</v>
      </c>
      <c r="F10" s="32" t="s">
        <v>17</v>
      </c>
      <c r="G10" s="103" t="s">
        <v>18</v>
      </c>
      <c r="H10" s="103" t="s">
        <v>19</v>
      </c>
      <c r="I10" s="103" t="s">
        <v>20</v>
      </c>
    </row>
    <row r="11" ht="35" customHeight="1" spans="1:9">
      <c r="A11" s="102">
        <v>1</v>
      </c>
      <c r="B11" s="106" t="s">
        <v>21</v>
      </c>
      <c r="C11" s="30"/>
      <c r="D11" s="30" t="s">
        <v>22</v>
      </c>
      <c r="E11" s="35" t="s">
        <v>22</v>
      </c>
      <c r="F11" s="30" t="s">
        <v>22</v>
      </c>
      <c r="G11" s="51" t="s">
        <v>23</v>
      </c>
      <c r="H11" s="51" t="s">
        <v>24</v>
      </c>
      <c r="I11" s="51"/>
    </row>
    <row r="12" ht="35" customHeight="1" spans="1:9">
      <c r="A12" s="102">
        <v>2</v>
      </c>
      <c r="B12" s="107" t="s">
        <v>21</v>
      </c>
      <c r="C12" s="46"/>
      <c r="D12" s="46" t="s">
        <v>25</v>
      </c>
      <c r="E12" s="108" t="s">
        <v>1256</v>
      </c>
      <c r="F12" s="109" t="s">
        <v>26</v>
      </c>
      <c r="G12" s="51" t="s">
        <v>217</v>
      </c>
      <c r="H12" s="51" t="s">
        <v>24</v>
      </c>
      <c r="I12" s="51"/>
    </row>
    <row r="13" ht="35" customHeight="1" spans="1:9">
      <c r="A13" s="102">
        <v>3</v>
      </c>
      <c r="B13" s="106" t="s">
        <v>21</v>
      </c>
      <c r="C13" s="30"/>
      <c r="D13" s="30" t="s">
        <v>28</v>
      </c>
      <c r="E13" s="35" t="s">
        <v>1257</v>
      </c>
      <c r="F13" s="30" t="s">
        <v>29</v>
      </c>
      <c r="G13" s="51"/>
      <c r="H13" s="51" t="s">
        <v>219</v>
      </c>
      <c r="I13" s="51"/>
    </row>
    <row r="14" ht="35" customHeight="1" spans="1:9">
      <c r="A14" s="102">
        <v>4</v>
      </c>
      <c r="B14" s="106" t="s">
        <v>21</v>
      </c>
      <c r="C14" s="86" t="s">
        <v>224</v>
      </c>
      <c r="D14" s="86" t="s">
        <v>225</v>
      </c>
      <c r="E14" s="35" t="s">
        <v>225</v>
      </c>
      <c r="F14" s="30" t="s">
        <v>227</v>
      </c>
      <c r="G14" s="51"/>
      <c r="H14" s="51" t="s">
        <v>24</v>
      </c>
      <c r="I14" s="51"/>
    </row>
    <row r="15" ht="35" customHeight="1" spans="1:9">
      <c r="A15" s="102">
        <v>5</v>
      </c>
      <c r="B15" s="107" t="s">
        <v>21</v>
      </c>
      <c r="C15" s="110" t="s">
        <v>224</v>
      </c>
      <c r="D15" s="110" t="s">
        <v>228</v>
      </c>
      <c r="E15" s="108" t="s">
        <v>228</v>
      </c>
      <c r="F15" s="109" t="s">
        <v>229</v>
      </c>
      <c r="G15" s="51" t="s">
        <v>230</v>
      </c>
      <c r="H15" s="51" t="s">
        <v>53</v>
      </c>
      <c r="I15" s="51"/>
    </row>
    <row r="16" ht="35" customHeight="1" spans="1:9">
      <c r="A16" s="102">
        <v>6</v>
      </c>
      <c r="B16" s="106" t="s">
        <v>21</v>
      </c>
      <c r="C16" s="86" t="s">
        <v>224</v>
      </c>
      <c r="D16" s="86" t="s">
        <v>231</v>
      </c>
      <c r="E16" s="35" t="s">
        <v>231</v>
      </c>
      <c r="F16" s="30" t="s">
        <v>232</v>
      </c>
      <c r="G16" s="111" t="s">
        <v>233</v>
      </c>
      <c r="H16" s="51" t="s">
        <v>234</v>
      </c>
      <c r="I16" s="51"/>
    </row>
    <row r="17" ht="35" customHeight="1" spans="1:9">
      <c r="A17" s="102">
        <v>7</v>
      </c>
      <c r="B17" s="106" t="s">
        <v>21</v>
      </c>
      <c r="C17" s="86" t="s">
        <v>224</v>
      </c>
      <c r="D17" s="86" t="s">
        <v>235</v>
      </c>
      <c r="E17" s="35" t="s">
        <v>235</v>
      </c>
      <c r="F17" s="30" t="s">
        <v>236</v>
      </c>
      <c r="G17" s="111"/>
      <c r="H17" s="51" t="s">
        <v>27</v>
      </c>
      <c r="I17" s="51"/>
    </row>
    <row r="18" ht="35" customHeight="1" spans="1:9">
      <c r="A18" s="102">
        <v>8</v>
      </c>
      <c r="B18" s="107" t="s">
        <v>21</v>
      </c>
      <c r="C18" s="110" t="s">
        <v>224</v>
      </c>
      <c r="D18" s="110" t="s">
        <v>238</v>
      </c>
      <c r="E18" s="108" t="s">
        <v>238</v>
      </c>
      <c r="F18" s="109" t="s">
        <v>41</v>
      </c>
      <c r="G18" s="51" t="s">
        <v>239</v>
      </c>
      <c r="H18" s="51" t="s">
        <v>42</v>
      </c>
      <c r="I18" s="51"/>
    </row>
    <row r="19" ht="35" customHeight="1" spans="1:9">
      <c r="A19" s="102">
        <v>9</v>
      </c>
      <c r="B19" s="106" t="s">
        <v>21</v>
      </c>
      <c r="C19" s="86" t="s">
        <v>224</v>
      </c>
      <c r="D19" s="86" t="s">
        <v>240</v>
      </c>
      <c r="E19" s="35" t="s">
        <v>240</v>
      </c>
      <c r="F19" s="30" t="s">
        <v>38</v>
      </c>
      <c r="G19" s="51" t="s">
        <v>242</v>
      </c>
      <c r="H19" s="51" t="s">
        <v>243</v>
      </c>
      <c r="I19" s="51"/>
    </row>
    <row r="20" ht="35" customHeight="1" spans="1:9">
      <c r="A20" s="102">
        <v>10</v>
      </c>
      <c r="B20" s="106" t="s">
        <v>21</v>
      </c>
      <c r="C20" s="86" t="s">
        <v>224</v>
      </c>
      <c r="D20" s="86" t="s">
        <v>244</v>
      </c>
      <c r="E20" s="35" t="s">
        <v>244</v>
      </c>
      <c r="F20" s="30" t="s">
        <v>245</v>
      </c>
      <c r="G20" s="51"/>
      <c r="H20" s="51" t="s">
        <v>24</v>
      </c>
      <c r="I20" s="51"/>
    </row>
    <row r="21" ht="35" customHeight="1" spans="1:9">
      <c r="A21" s="102">
        <v>11</v>
      </c>
      <c r="B21" s="107" t="s">
        <v>21</v>
      </c>
      <c r="C21" s="110" t="s">
        <v>224</v>
      </c>
      <c r="D21" s="110" t="s">
        <v>220</v>
      </c>
      <c r="E21" s="108" t="s">
        <v>220</v>
      </c>
      <c r="F21" s="109" t="s">
        <v>66</v>
      </c>
      <c r="G21" s="51"/>
      <c r="H21" s="51" t="s">
        <v>24</v>
      </c>
      <c r="I21" s="51"/>
    </row>
    <row r="22" ht="34.5" customHeight="1" spans="1:9">
      <c r="A22" s="102">
        <v>12</v>
      </c>
      <c r="B22" s="106" t="s">
        <v>21</v>
      </c>
      <c r="C22" s="86" t="s">
        <v>224</v>
      </c>
      <c r="D22" s="86" t="s">
        <v>246</v>
      </c>
      <c r="E22" s="35" t="s">
        <v>246</v>
      </c>
      <c r="F22" s="30" t="s">
        <v>1258</v>
      </c>
      <c r="G22" s="51"/>
      <c r="H22" s="51" t="s">
        <v>24</v>
      </c>
      <c r="I22" s="51"/>
    </row>
    <row r="23" s="96" customFormat="1" ht="34.5" customHeight="1" spans="1:12">
      <c r="A23" s="112">
        <v>13</v>
      </c>
      <c r="B23" s="113" t="s">
        <v>21</v>
      </c>
      <c r="C23" s="114"/>
      <c r="D23" s="114" t="s">
        <v>312</v>
      </c>
      <c r="E23" s="114" t="s">
        <v>1259</v>
      </c>
      <c r="F23" s="114" t="s">
        <v>314</v>
      </c>
      <c r="G23" s="115" t="s">
        <v>315</v>
      </c>
      <c r="H23" s="115" t="s">
        <v>24</v>
      </c>
      <c r="I23" s="115"/>
      <c r="J23" s="96" t="s">
        <v>4</v>
      </c>
      <c r="K23" s="96" t="s">
        <v>26</v>
      </c>
      <c r="L23" s="96" t="s">
        <v>314</v>
      </c>
    </row>
    <row r="24" ht="34.5" customHeight="1" spans="1:9">
      <c r="A24" s="102">
        <v>14</v>
      </c>
      <c r="B24" s="106" t="s">
        <v>21</v>
      </c>
      <c r="C24" s="30"/>
      <c r="D24" s="30" t="s">
        <v>1260</v>
      </c>
      <c r="E24" s="35" t="s">
        <v>1261</v>
      </c>
      <c r="F24" s="30" t="s">
        <v>802</v>
      </c>
      <c r="G24" s="51"/>
      <c r="H24" s="51" t="s">
        <v>243</v>
      </c>
      <c r="I24" s="5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85" zoomScaleNormal="85" workbookViewId="0">
      <selection activeCell="F16" sqref="F16"/>
    </sheetView>
  </sheetViews>
  <sheetFormatPr defaultColWidth="58.6666666666667" defaultRowHeight="13.5"/>
  <cols>
    <col min="1" max="2" width="6" customWidth="1"/>
    <col min="3" max="5" width="12.8333333333333" customWidth="1"/>
    <col min="6" max="6" width="25.6666666666667" customWidth="1"/>
    <col min="7" max="7" width="58" customWidth="1"/>
    <col min="8" max="8" width="20" customWidth="1"/>
    <col min="9" max="9" width="49.6666666666667" customWidth="1"/>
    <col min="10" max="10" width="31.6083333333333" customWidth="1"/>
    <col min="11" max="11" width="12.8333333333333" customWidth="1"/>
  </cols>
  <sheetData>
    <row r="1" ht="14.25" spans="1:9">
      <c r="A1" s="43" t="s">
        <v>0</v>
      </c>
      <c r="B1" s="3" t="s">
        <v>1262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1263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1264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/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24</v>
      </c>
      <c r="I11" s="18"/>
    </row>
    <row r="12" ht="17.25" spans="1:11">
      <c r="A12" s="5">
        <v>2</v>
      </c>
      <c r="B12" s="93" t="s">
        <v>21</v>
      </c>
      <c r="C12" s="26"/>
      <c r="D12" s="26" t="s">
        <v>1265</v>
      </c>
      <c r="E12" s="17" t="s">
        <v>1266</v>
      </c>
      <c r="F12" s="5" t="s">
        <v>1267</v>
      </c>
      <c r="G12" s="18" t="s">
        <v>1266</v>
      </c>
      <c r="H12" s="5" t="s">
        <v>24</v>
      </c>
      <c r="I12" s="18"/>
      <c r="J12" s="5" t="s">
        <v>55</v>
      </c>
      <c r="K12" s="5" t="s">
        <v>61</v>
      </c>
    </row>
    <row r="13" ht="17.25" spans="1:11">
      <c r="A13" s="5">
        <v>3</v>
      </c>
      <c r="B13" s="93" t="s">
        <v>21</v>
      </c>
      <c r="C13" s="26"/>
      <c r="D13" s="26" t="s">
        <v>63</v>
      </c>
      <c r="E13" s="17" t="s">
        <v>63</v>
      </c>
      <c r="F13" s="5" t="s">
        <v>1268</v>
      </c>
      <c r="G13" s="18"/>
      <c r="H13" s="5" t="s">
        <v>219</v>
      </c>
      <c r="I13" s="18"/>
      <c r="J13" s="5"/>
      <c r="K13" s="5"/>
    </row>
    <row r="14" ht="25" customHeight="1" spans="1:11">
      <c r="A14" s="5">
        <v>4</v>
      </c>
      <c r="B14" s="93" t="s">
        <v>21</v>
      </c>
      <c r="C14" s="26"/>
      <c r="D14" s="26" t="s">
        <v>1269</v>
      </c>
      <c r="E14" s="17" t="s">
        <v>1270</v>
      </c>
      <c r="F14" s="5" t="s">
        <v>304</v>
      </c>
      <c r="G14" s="18" t="s">
        <v>1240</v>
      </c>
      <c r="H14" s="5" t="s">
        <v>24</v>
      </c>
      <c r="I14" s="18"/>
      <c r="J14" s="5" t="s">
        <v>1242</v>
      </c>
      <c r="K14" s="5" t="s">
        <v>26</v>
      </c>
    </row>
    <row r="15" ht="17.25" spans="1:9">
      <c r="A15" s="5">
        <v>5</v>
      </c>
      <c r="B15" s="93" t="s">
        <v>21</v>
      </c>
      <c r="C15" s="5"/>
      <c r="D15" s="5" t="s">
        <v>1271</v>
      </c>
      <c r="E15" s="17" t="s">
        <v>1272</v>
      </c>
      <c r="F15" s="5" t="s">
        <v>1273</v>
      </c>
      <c r="G15" s="18" t="s">
        <v>1272</v>
      </c>
      <c r="H15" s="5" t="s">
        <v>243</v>
      </c>
      <c r="I15" s="18"/>
    </row>
    <row r="16" ht="17.25" spans="1:9">
      <c r="A16" s="5">
        <v>6</v>
      </c>
      <c r="B16" s="93" t="s">
        <v>21</v>
      </c>
      <c r="C16" s="5"/>
      <c r="D16" s="5" t="s">
        <v>1145</v>
      </c>
      <c r="E16" s="17" t="s">
        <v>1145</v>
      </c>
      <c r="F16" s="5" t="s">
        <v>1147</v>
      </c>
      <c r="G16" s="18" t="s">
        <v>1148</v>
      </c>
      <c r="H16" s="5" t="s">
        <v>42</v>
      </c>
      <c r="I16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10" workbookViewId="0">
      <selection activeCell="J14" sqref="J14:J18"/>
    </sheetView>
  </sheetViews>
  <sheetFormatPr defaultColWidth="9" defaultRowHeight="13.5"/>
  <cols>
    <col min="1" max="1" width="4.875" customWidth="1"/>
    <col min="2" max="2" width="5.375" customWidth="1"/>
    <col min="3" max="3" width="8.75" customWidth="1"/>
    <col min="4" max="5" width="17.1666666666667" customWidth="1"/>
    <col min="6" max="6" width="24.375" customWidth="1"/>
    <col min="7" max="7" width="22.875" style="1" customWidth="1"/>
    <col min="8" max="8" width="16.625" customWidth="1"/>
    <col min="9" max="9" width="35.125" customWidth="1"/>
    <col min="10" max="10" width="21.75" customWidth="1"/>
    <col min="11" max="11" width="11.75" customWidth="1"/>
    <col min="12" max="12" width="28.875" customWidth="1"/>
  </cols>
  <sheetData>
    <row r="1" ht="14.25" spans="1:9">
      <c r="A1" s="2" t="s">
        <v>0</v>
      </c>
      <c r="B1" s="3" t="s">
        <v>1274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1275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1276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 t="s">
        <v>1277</v>
      </c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1278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5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5"/>
      <c r="H11" s="5" t="s">
        <v>24</v>
      </c>
      <c r="I11" s="5"/>
    </row>
    <row r="12" ht="17.25" spans="1:9">
      <c r="A12" s="5">
        <v>2</v>
      </c>
      <c r="B12" s="93" t="s">
        <v>21</v>
      </c>
      <c r="C12" s="5"/>
      <c r="D12" s="5" t="s">
        <v>1279</v>
      </c>
      <c r="E12" s="17" t="s">
        <v>1279</v>
      </c>
      <c r="F12" s="5" t="s">
        <v>26</v>
      </c>
      <c r="G12" s="5"/>
      <c r="H12" s="5" t="s">
        <v>24</v>
      </c>
      <c r="I12" s="5"/>
    </row>
    <row r="13" ht="17.25" spans="1:9">
      <c r="A13" s="5">
        <v>3</v>
      </c>
      <c r="B13" s="93" t="s">
        <v>21</v>
      </c>
      <c r="C13" s="5"/>
      <c r="D13" s="5" t="s">
        <v>1280</v>
      </c>
      <c r="E13" s="17" t="s">
        <v>1280</v>
      </c>
      <c r="F13" s="5" t="s">
        <v>29</v>
      </c>
      <c r="G13" s="5"/>
      <c r="H13" s="5" t="s">
        <v>219</v>
      </c>
      <c r="I13" s="5"/>
    </row>
    <row r="14" ht="51.75" spans="1:12">
      <c r="A14" s="5">
        <v>4</v>
      </c>
      <c r="B14" s="93" t="s">
        <v>21</v>
      </c>
      <c r="C14" s="26"/>
      <c r="D14" s="26" t="s">
        <v>1281</v>
      </c>
      <c r="E14" s="17" t="s">
        <v>1282</v>
      </c>
      <c r="F14" s="5" t="s">
        <v>1283</v>
      </c>
      <c r="G14" s="5" t="s">
        <v>1284</v>
      </c>
      <c r="H14" s="5" t="s">
        <v>24</v>
      </c>
      <c r="I14" s="5" t="s">
        <v>1285</v>
      </c>
      <c r="J14" s="37" t="s">
        <v>4</v>
      </c>
      <c r="K14" s="37" t="s">
        <v>26</v>
      </c>
      <c r="L14" s="37" t="s">
        <v>1283</v>
      </c>
    </row>
    <row r="15" ht="51.75" spans="1:12">
      <c r="A15" s="5">
        <v>4</v>
      </c>
      <c r="B15" s="93" t="s">
        <v>21</v>
      </c>
      <c r="C15" s="26"/>
      <c r="D15" s="26" t="s">
        <v>1286</v>
      </c>
      <c r="E15" s="17" t="s">
        <v>1287</v>
      </c>
      <c r="F15" s="5" t="s">
        <v>1288</v>
      </c>
      <c r="G15" s="5" t="s">
        <v>1284</v>
      </c>
      <c r="H15" s="5" t="s">
        <v>24</v>
      </c>
      <c r="I15" s="5" t="s">
        <v>1289</v>
      </c>
      <c r="J15" s="37" t="s">
        <v>4</v>
      </c>
      <c r="K15" s="37" t="s">
        <v>26</v>
      </c>
      <c r="L15" s="37" t="s">
        <v>1288</v>
      </c>
    </row>
    <row r="16" ht="51.75" spans="1:12">
      <c r="A16" s="5">
        <v>5</v>
      </c>
      <c r="B16" s="93" t="s">
        <v>21</v>
      </c>
      <c r="C16" s="26"/>
      <c r="D16" s="26" t="s">
        <v>1290</v>
      </c>
      <c r="E16" s="17" t="s">
        <v>1291</v>
      </c>
      <c r="F16" s="5" t="s">
        <v>1292</v>
      </c>
      <c r="G16" s="5" t="s">
        <v>1293</v>
      </c>
      <c r="H16" s="5" t="s">
        <v>24</v>
      </c>
      <c r="I16" s="5"/>
      <c r="J16" s="37" t="s">
        <v>4</v>
      </c>
      <c r="K16" s="37" t="s">
        <v>26</v>
      </c>
      <c r="L16" s="37" t="s">
        <v>1292</v>
      </c>
    </row>
    <row r="17" ht="34.5" spans="1:12">
      <c r="A17" s="5">
        <v>6</v>
      </c>
      <c r="B17" s="93" t="s">
        <v>21</v>
      </c>
      <c r="C17" s="26"/>
      <c r="D17" s="26" t="s">
        <v>1294</v>
      </c>
      <c r="E17" s="17" t="s">
        <v>1295</v>
      </c>
      <c r="F17" s="5" t="s">
        <v>1296</v>
      </c>
      <c r="G17" s="5" t="s">
        <v>1297</v>
      </c>
      <c r="H17" s="5" t="s">
        <v>24</v>
      </c>
      <c r="I17" s="5"/>
      <c r="J17" s="37" t="s">
        <v>4</v>
      </c>
      <c r="K17" s="37" t="s">
        <v>26</v>
      </c>
      <c r="L17" s="37" t="s">
        <v>1296</v>
      </c>
    </row>
    <row r="18" ht="51.75" spans="1:12">
      <c r="A18" s="5">
        <v>7</v>
      </c>
      <c r="B18" s="93" t="s">
        <v>21</v>
      </c>
      <c r="C18" s="26"/>
      <c r="D18" s="26" t="s">
        <v>1298</v>
      </c>
      <c r="E18" s="17" t="s">
        <v>1299</v>
      </c>
      <c r="F18" s="5" t="s">
        <v>1300</v>
      </c>
      <c r="G18" s="5" t="s">
        <v>1301</v>
      </c>
      <c r="H18" s="5" t="s">
        <v>24</v>
      </c>
      <c r="I18" s="5"/>
      <c r="J18" s="37" t="s">
        <v>4</v>
      </c>
      <c r="K18" s="37" t="s">
        <v>26</v>
      </c>
      <c r="L18" s="37" t="s">
        <v>1300</v>
      </c>
    </row>
    <row r="19" ht="17.25" spans="1:12">
      <c r="A19" s="5">
        <v>8</v>
      </c>
      <c r="B19" s="93"/>
      <c r="C19" s="5"/>
      <c r="D19" s="5" t="s">
        <v>1302</v>
      </c>
      <c r="E19" s="17" t="s">
        <v>1303</v>
      </c>
      <c r="F19" s="5" t="s">
        <v>255</v>
      </c>
      <c r="G19" s="5"/>
      <c r="H19" s="5" t="s">
        <v>24</v>
      </c>
      <c r="I19" s="5"/>
      <c r="J19" s="37" t="s">
        <v>161</v>
      </c>
      <c r="K19" s="37" t="s">
        <v>162</v>
      </c>
      <c r="L19" s="37"/>
    </row>
    <row r="20" ht="17.25" spans="1:12">
      <c r="A20" s="5">
        <v>9</v>
      </c>
      <c r="B20" s="93" t="s">
        <v>21</v>
      </c>
      <c r="C20" s="5"/>
      <c r="D20" s="5" t="s">
        <v>1304</v>
      </c>
      <c r="E20" s="17" t="s">
        <v>1304</v>
      </c>
      <c r="F20" s="5" t="s">
        <v>1305</v>
      </c>
      <c r="G20" s="5"/>
      <c r="H20" s="5" t="s">
        <v>1306</v>
      </c>
      <c r="I20" s="5"/>
      <c r="J20" s="37"/>
      <c r="K20" s="37"/>
      <c r="L20" s="37"/>
    </row>
    <row r="21" ht="17.25" spans="1:12">
      <c r="A21" s="5">
        <v>10</v>
      </c>
      <c r="B21" s="93" t="s">
        <v>21</v>
      </c>
      <c r="C21" s="5"/>
      <c r="D21" s="5" t="s">
        <v>1307</v>
      </c>
      <c r="E21" s="17" t="s">
        <v>1307</v>
      </c>
      <c r="F21" s="5" t="s">
        <v>1308</v>
      </c>
      <c r="G21" s="5"/>
      <c r="H21" s="5" t="s">
        <v>1306</v>
      </c>
      <c r="I21" s="5"/>
      <c r="J21" s="37"/>
      <c r="K21" s="37"/>
      <c r="L21" s="37"/>
    </row>
    <row r="22" ht="17.25" spans="1:12">
      <c r="A22" s="5">
        <v>11</v>
      </c>
      <c r="B22" s="93" t="s">
        <v>21</v>
      </c>
      <c r="C22" s="5"/>
      <c r="D22" s="5" t="s">
        <v>1309</v>
      </c>
      <c r="E22" s="17" t="s">
        <v>1309</v>
      </c>
      <c r="F22" s="5" t="s">
        <v>1310</v>
      </c>
      <c r="G22" s="5"/>
      <c r="H22" s="5" t="s">
        <v>1306</v>
      </c>
      <c r="I22" s="5"/>
      <c r="J22" s="37"/>
      <c r="K22" s="37"/>
      <c r="L22" s="37"/>
    </row>
    <row r="23" ht="17.25" spans="1:12">
      <c r="A23" s="5">
        <v>12</v>
      </c>
      <c r="B23" s="93" t="s">
        <v>21</v>
      </c>
      <c r="C23" s="5"/>
      <c r="D23" s="5" t="s">
        <v>1311</v>
      </c>
      <c r="E23" s="17" t="s">
        <v>1312</v>
      </c>
      <c r="F23" s="5" t="s">
        <v>1313</v>
      </c>
      <c r="G23" s="5"/>
      <c r="H23" s="5" t="s">
        <v>42</v>
      </c>
      <c r="I23" s="5"/>
      <c r="J23" s="37"/>
      <c r="K23" s="37"/>
      <c r="L23" s="37"/>
    </row>
    <row r="24" ht="34.5" spans="1:12">
      <c r="A24" s="5">
        <v>13</v>
      </c>
      <c r="B24" s="93" t="s">
        <v>21</v>
      </c>
      <c r="C24" s="26"/>
      <c r="D24" s="26" t="s">
        <v>1167</v>
      </c>
      <c r="E24" s="17" t="s">
        <v>1314</v>
      </c>
      <c r="F24" s="5" t="s">
        <v>1169</v>
      </c>
      <c r="G24" s="5"/>
      <c r="H24" s="5" t="s">
        <v>42</v>
      </c>
      <c r="I24" s="5"/>
      <c r="J24" s="37"/>
      <c r="K24" s="37"/>
      <c r="L24" s="37"/>
    </row>
    <row r="25" ht="17.25" spans="1:12">
      <c r="A25" s="5">
        <v>14</v>
      </c>
      <c r="B25" s="93" t="s">
        <v>21</v>
      </c>
      <c r="C25" s="26"/>
      <c r="D25" s="26" t="s">
        <v>1315</v>
      </c>
      <c r="E25" s="17" t="s">
        <v>1315</v>
      </c>
      <c r="F25" s="5" t="s">
        <v>1316</v>
      </c>
      <c r="G25" s="5"/>
      <c r="H25" s="5" t="s">
        <v>42</v>
      </c>
      <c r="I25" s="5"/>
      <c r="J25" s="37"/>
      <c r="K25" s="37"/>
      <c r="L25" s="37"/>
    </row>
    <row r="26" ht="17.25" spans="1:12">
      <c r="A26" s="5">
        <v>15</v>
      </c>
      <c r="B26" s="93" t="s">
        <v>21</v>
      </c>
      <c r="C26" s="5"/>
      <c r="D26" s="5" t="s">
        <v>1317</v>
      </c>
      <c r="E26" s="17" t="s">
        <v>1318</v>
      </c>
      <c r="F26" s="5" t="s">
        <v>1319</v>
      </c>
      <c r="G26" s="5"/>
      <c r="H26" s="5" t="s">
        <v>1320</v>
      </c>
      <c r="I26" s="5"/>
      <c r="J26" s="37"/>
      <c r="K26" s="37"/>
      <c r="L26" s="37"/>
    </row>
    <row r="27" ht="17.25" spans="1:12">
      <c r="A27" s="5">
        <v>16</v>
      </c>
      <c r="B27" s="93" t="s">
        <v>21</v>
      </c>
      <c r="C27" s="5"/>
      <c r="D27" s="5" t="s">
        <v>1321</v>
      </c>
      <c r="E27" s="17" t="s">
        <v>1322</v>
      </c>
      <c r="F27" s="5" t="s">
        <v>267</v>
      </c>
      <c r="G27" s="5"/>
      <c r="H27" s="5" t="s">
        <v>24</v>
      </c>
      <c r="I27" s="5"/>
      <c r="J27" s="37" t="s">
        <v>212</v>
      </c>
      <c r="K27" s="37" t="s">
        <v>22</v>
      </c>
      <c r="L27" s="37"/>
    </row>
    <row r="28" ht="17.25" spans="1:12">
      <c r="A28" s="5">
        <v>17</v>
      </c>
      <c r="B28" s="93" t="s">
        <v>21</v>
      </c>
      <c r="C28" s="20" t="s">
        <v>224</v>
      </c>
      <c r="D28" s="20" t="s">
        <v>240</v>
      </c>
      <c r="E28" s="17" t="s">
        <v>240</v>
      </c>
      <c r="F28" s="5" t="s">
        <v>38</v>
      </c>
      <c r="G28" s="5"/>
      <c r="H28" s="5" t="s">
        <v>243</v>
      </c>
      <c r="I28" s="5"/>
      <c r="J28" s="37"/>
      <c r="K28" s="37"/>
      <c r="L28" s="37"/>
    </row>
    <row r="29" ht="17.25" spans="1:12">
      <c r="A29" s="5">
        <v>18</v>
      </c>
      <c r="B29" s="93" t="s">
        <v>21</v>
      </c>
      <c r="C29" s="20" t="s">
        <v>224</v>
      </c>
      <c r="D29" s="20" t="s">
        <v>40</v>
      </c>
      <c r="E29" s="17" t="s">
        <v>40</v>
      </c>
      <c r="F29" s="5" t="s">
        <v>41</v>
      </c>
      <c r="G29" s="5"/>
      <c r="H29" s="5" t="s">
        <v>42</v>
      </c>
      <c r="I29" s="5"/>
      <c r="J29" s="37"/>
      <c r="K29" s="37"/>
      <c r="L29" s="37"/>
    </row>
    <row r="30" ht="17.25" spans="1:12">
      <c r="A30" s="5">
        <v>19</v>
      </c>
      <c r="B30" s="93" t="s">
        <v>21</v>
      </c>
      <c r="C30" s="5"/>
      <c r="D30" s="5" t="s">
        <v>1323</v>
      </c>
      <c r="E30" s="17" t="s">
        <v>1324</v>
      </c>
      <c r="F30" s="5" t="s">
        <v>304</v>
      </c>
      <c r="G30" s="5"/>
      <c r="H30" s="5" t="s">
        <v>24</v>
      </c>
      <c r="I30" s="5"/>
      <c r="J30" s="37" t="s">
        <v>307</v>
      </c>
      <c r="K30" s="37" t="s">
        <v>26</v>
      </c>
      <c r="L30" s="37"/>
    </row>
    <row r="31" ht="15.75" customHeight="1" spans="1:9">
      <c r="A31" s="5">
        <v>20</v>
      </c>
      <c r="B31" s="93" t="s">
        <v>21</v>
      </c>
      <c r="C31" s="26"/>
      <c r="D31" s="26" t="s">
        <v>1325</v>
      </c>
      <c r="E31" s="17" t="s">
        <v>1325</v>
      </c>
      <c r="F31" s="5" t="s">
        <v>379</v>
      </c>
      <c r="G31" s="5"/>
      <c r="H31" s="5" t="s">
        <v>1206</v>
      </c>
      <c r="I31" s="5"/>
    </row>
    <row r="32" ht="17.25" spans="1:9">
      <c r="A32" s="5">
        <v>21</v>
      </c>
      <c r="B32" s="93" t="s">
        <v>21</v>
      </c>
      <c r="C32" s="5"/>
      <c r="D32" s="5" t="s">
        <v>1326</v>
      </c>
      <c r="E32" s="17" t="s">
        <v>1326</v>
      </c>
      <c r="F32" s="5" t="s">
        <v>383</v>
      </c>
      <c r="G32" s="5"/>
      <c r="H32" s="5" t="s">
        <v>411</v>
      </c>
      <c r="I32" s="5"/>
    </row>
    <row r="33" ht="34.5" spans="1:9">
      <c r="A33" s="5">
        <v>22</v>
      </c>
      <c r="B33" s="93" t="s">
        <v>21</v>
      </c>
      <c r="C33" s="5"/>
      <c r="D33" s="5" t="s">
        <v>1327</v>
      </c>
      <c r="E33" s="17" t="s">
        <v>1327</v>
      </c>
      <c r="F33" s="5" t="s">
        <v>1328</v>
      </c>
      <c r="G33" s="5" t="s">
        <v>1329</v>
      </c>
      <c r="H33" s="5" t="s">
        <v>24</v>
      </c>
      <c r="I33" s="5"/>
    </row>
    <row r="34" ht="17.25" spans="1:9">
      <c r="A34" s="5">
        <v>23</v>
      </c>
      <c r="B34" s="93" t="s">
        <v>21</v>
      </c>
      <c r="C34" s="26"/>
      <c r="D34" s="26" t="s">
        <v>1330</v>
      </c>
      <c r="E34" s="17" t="s">
        <v>1331</v>
      </c>
      <c r="F34" s="5" t="s">
        <v>802</v>
      </c>
      <c r="G34" s="5"/>
      <c r="H34" s="5" t="s">
        <v>1332</v>
      </c>
      <c r="I34" s="5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85" zoomScaleNormal="85" workbookViewId="0">
      <selection activeCell="F7" sqref="F7:I7"/>
    </sheetView>
  </sheetViews>
  <sheetFormatPr defaultColWidth="9" defaultRowHeight="13.5"/>
  <cols>
    <col min="3" max="3" width="10.4416666666667" customWidth="1"/>
    <col min="4" max="5" width="21.1666666666667" customWidth="1"/>
    <col min="6" max="6" width="30" customWidth="1"/>
    <col min="7" max="7" width="24" customWidth="1"/>
    <col min="8" max="8" width="24.8333333333333" customWidth="1"/>
    <col min="9" max="9" width="57.1666666666667" customWidth="1"/>
    <col min="10" max="10" width="18.9666666666667" customWidth="1"/>
    <col min="11" max="11" width="12.0583333333333" customWidth="1"/>
  </cols>
  <sheetData>
    <row r="1" ht="14.25" spans="1:9">
      <c r="A1" s="2" t="s">
        <v>0</v>
      </c>
      <c r="B1" s="3" t="s">
        <v>1333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1334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1335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264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25.25" customHeight="1" spans="1:9">
      <c r="A11" s="26">
        <v>1</v>
      </c>
      <c r="B11" s="95" t="s">
        <v>21</v>
      </c>
      <c r="C11" s="26"/>
      <c r="D11" s="26" t="s">
        <v>22</v>
      </c>
      <c r="E11" s="17" t="s">
        <v>22</v>
      </c>
      <c r="F11" s="26" t="s">
        <v>22</v>
      </c>
      <c r="G11" s="26" t="s">
        <v>1232</v>
      </c>
      <c r="H11" s="5" t="s">
        <v>24</v>
      </c>
      <c r="I11" s="26"/>
    </row>
    <row r="12" ht="25.25" customHeight="1" spans="1:9">
      <c r="A12" s="26">
        <v>2</v>
      </c>
      <c r="B12" s="95" t="s">
        <v>21</v>
      </c>
      <c r="C12" s="26"/>
      <c r="D12" s="26" t="s">
        <v>1336</v>
      </c>
      <c r="E12" s="17" t="s">
        <v>1336</v>
      </c>
      <c r="F12" s="26" t="s">
        <v>29</v>
      </c>
      <c r="G12" s="26"/>
      <c r="H12" s="5" t="s">
        <v>24</v>
      </c>
      <c r="I12" s="26"/>
    </row>
    <row r="13" ht="25.25" customHeight="1" spans="1:11">
      <c r="A13" s="26">
        <v>3</v>
      </c>
      <c r="B13" s="95" t="s">
        <v>21</v>
      </c>
      <c r="C13" s="26"/>
      <c r="D13" s="26" t="s">
        <v>1337</v>
      </c>
      <c r="E13" s="17" t="s">
        <v>1337</v>
      </c>
      <c r="F13" s="26" t="s">
        <v>255</v>
      </c>
      <c r="G13" s="26" t="s">
        <v>1055</v>
      </c>
      <c r="H13" s="5" t="s">
        <v>24</v>
      </c>
      <c r="I13" s="26" t="s">
        <v>1338</v>
      </c>
      <c r="J13" s="37" t="s">
        <v>161</v>
      </c>
      <c r="K13" s="37" t="s">
        <v>162</v>
      </c>
    </row>
    <row r="14" ht="25.25" customHeight="1" spans="1:9">
      <c r="A14" s="26">
        <v>4</v>
      </c>
      <c r="B14" s="95" t="s">
        <v>21</v>
      </c>
      <c r="C14" s="26"/>
      <c r="D14" s="26" t="s">
        <v>1339</v>
      </c>
      <c r="E14" s="17" t="s">
        <v>1340</v>
      </c>
      <c r="F14" s="26" t="s">
        <v>183</v>
      </c>
      <c r="G14" s="26" t="s">
        <v>1341</v>
      </c>
      <c r="H14" s="5" t="s">
        <v>24</v>
      </c>
      <c r="I14" s="26"/>
    </row>
    <row r="15" ht="17.25" spans="1:9">
      <c r="A15" s="26">
        <v>5</v>
      </c>
      <c r="B15" s="26"/>
      <c r="C15" s="26"/>
      <c r="D15" s="26" t="s">
        <v>1342</v>
      </c>
      <c r="E15" s="26" t="s">
        <v>1342</v>
      </c>
      <c r="F15" s="26" t="s">
        <v>1343</v>
      </c>
      <c r="G15" s="26"/>
      <c r="H15" s="26"/>
      <c r="I15" s="26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F11" sqref="F11"/>
    </sheetView>
  </sheetViews>
  <sheetFormatPr defaultColWidth="9" defaultRowHeight="13.5"/>
  <cols>
    <col min="3" max="5" width="13.1666666666667" customWidth="1"/>
    <col min="6" max="6" width="22.3333333333333" customWidth="1"/>
    <col min="7" max="7" width="33.3333333333333" customWidth="1"/>
    <col min="8" max="8" width="18.1666666666667" customWidth="1"/>
    <col min="9" max="9" width="39.5" customWidth="1"/>
    <col min="10" max="10" width="27.625" customWidth="1"/>
  </cols>
  <sheetData>
    <row r="1" ht="14.25" spans="1:9">
      <c r="A1" s="2" t="s">
        <v>0</v>
      </c>
      <c r="B1" s="3" t="s">
        <v>1344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1345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1346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264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34.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26">
        <v>1</v>
      </c>
      <c r="B11" s="95" t="s">
        <v>21</v>
      </c>
      <c r="C11" s="26"/>
      <c r="D11" s="26" t="s">
        <v>22</v>
      </c>
      <c r="E11" s="17" t="s">
        <v>22</v>
      </c>
      <c r="F11" s="26" t="s">
        <v>22</v>
      </c>
      <c r="G11" s="26"/>
      <c r="H11" s="5" t="s">
        <v>24</v>
      </c>
      <c r="I11" s="26"/>
    </row>
    <row r="12" ht="17.25" spans="1:11">
      <c r="A12" s="26">
        <v>2</v>
      </c>
      <c r="B12" s="95" t="s">
        <v>21</v>
      </c>
      <c r="C12" s="26"/>
      <c r="D12" s="26" t="s">
        <v>1347</v>
      </c>
      <c r="E12" s="17" t="s">
        <v>1348</v>
      </c>
      <c r="F12" s="26" t="s">
        <v>1349</v>
      </c>
      <c r="G12" s="26"/>
      <c r="H12" s="5" t="s">
        <v>24</v>
      </c>
      <c r="I12" s="26" t="s">
        <v>1350</v>
      </c>
      <c r="J12" s="26" t="s">
        <v>1334</v>
      </c>
      <c r="K12" s="26" t="s">
        <v>22</v>
      </c>
    </row>
    <row r="13" ht="17.25" spans="1:11">
      <c r="A13" s="26">
        <v>3</v>
      </c>
      <c r="B13" s="95" t="s">
        <v>21</v>
      </c>
      <c r="C13" s="26"/>
      <c r="D13" s="26" t="s">
        <v>1351</v>
      </c>
      <c r="E13" s="17" t="s">
        <v>814</v>
      </c>
      <c r="F13" s="26" t="s">
        <v>304</v>
      </c>
      <c r="G13" s="26" t="s">
        <v>1235</v>
      </c>
      <c r="H13" s="5" t="s">
        <v>24</v>
      </c>
      <c r="I13" s="26" t="s">
        <v>1352</v>
      </c>
      <c r="J13" s="26" t="s">
        <v>307</v>
      </c>
      <c r="K13" s="26" t="s">
        <v>22</v>
      </c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5" zoomScaleNormal="85" topLeftCell="A12" workbookViewId="0">
      <selection activeCell="A33" sqref="$A33:$XFD33"/>
    </sheetView>
  </sheetViews>
  <sheetFormatPr defaultColWidth="9" defaultRowHeight="13.5"/>
  <cols>
    <col min="3" max="5" width="21.1666666666667" customWidth="1"/>
    <col min="6" max="6" width="32.1666666666667" customWidth="1"/>
    <col min="7" max="7" width="41.1666666666667" customWidth="1"/>
    <col min="8" max="8" width="22" customWidth="1"/>
    <col min="9" max="9" width="32.8333333333333" customWidth="1"/>
    <col min="10" max="10" width="18.0916666666667" customWidth="1"/>
    <col min="11" max="11" width="10.4416666666667" customWidth="1"/>
    <col min="12" max="12" width="26.9083333333333" customWidth="1"/>
  </cols>
  <sheetData>
    <row r="1" ht="15.75" customHeight="1" spans="1:9">
      <c r="A1" s="43" t="s">
        <v>0</v>
      </c>
      <c r="B1" s="3" t="s">
        <v>1353</v>
      </c>
      <c r="C1" s="4"/>
      <c r="D1" s="4"/>
      <c r="E1" s="4"/>
      <c r="F1" s="4"/>
      <c r="G1" s="4"/>
      <c r="H1" s="4"/>
      <c r="I1" s="21"/>
    </row>
    <row r="2" ht="17.75" customHeight="1" spans="1:9">
      <c r="A2" s="5"/>
      <c r="B2" s="6"/>
      <c r="C2" s="7"/>
      <c r="D2" s="7"/>
      <c r="E2" s="7"/>
      <c r="F2" s="7"/>
      <c r="G2" s="7"/>
      <c r="H2" s="7"/>
      <c r="I2" s="22"/>
    </row>
    <row r="3" ht="17.75" customHeight="1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75" customHeight="1" spans="1:9">
      <c r="A4" s="5">
        <v>1</v>
      </c>
      <c r="B4" s="10" t="s">
        <v>3</v>
      </c>
      <c r="C4" s="11"/>
      <c r="D4" s="12"/>
      <c r="E4" s="11"/>
      <c r="F4" s="13" t="s">
        <v>1354</v>
      </c>
      <c r="G4" s="14"/>
      <c r="H4" s="14"/>
      <c r="I4" s="24"/>
    </row>
    <row r="5" ht="17.75" customHeight="1" spans="1:9">
      <c r="A5" s="5">
        <v>2</v>
      </c>
      <c r="B5" s="10" t="s">
        <v>5</v>
      </c>
      <c r="C5" s="11"/>
      <c r="D5" s="12"/>
      <c r="E5" s="11"/>
      <c r="F5" s="13" t="s">
        <v>1355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1356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f>ROW(A11)-10</f>
        <v>1</v>
      </c>
      <c r="B11" s="93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24</v>
      </c>
      <c r="I11" s="18"/>
    </row>
    <row r="12" ht="51.75" spans="1:9">
      <c r="A12" s="5">
        <f t="shared" ref="A12:A33" si="0">ROW(A12)-10</f>
        <v>2</v>
      </c>
      <c r="B12" s="93" t="s">
        <v>21</v>
      </c>
      <c r="C12" s="26"/>
      <c r="D12" s="26" t="s">
        <v>25</v>
      </c>
      <c r="E12" s="17" t="s">
        <v>1279</v>
      </c>
      <c r="F12" s="5" t="s">
        <v>26</v>
      </c>
      <c r="G12" s="5" t="s">
        <v>1357</v>
      </c>
      <c r="H12" s="5" t="s">
        <v>24</v>
      </c>
      <c r="I12" s="18"/>
    </row>
    <row r="13" ht="17.25" spans="1:9">
      <c r="A13" s="5">
        <f t="shared" si="0"/>
        <v>3</v>
      </c>
      <c r="B13" s="93" t="s">
        <v>21</v>
      </c>
      <c r="C13" s="26"/>
      <c r="D13" s="26" t="s">
        <v>28</v>
      </c>
      <c r="E13" s="17" t="s">
        <v>1280</v>
      </c>
      <c r="F13" s="5" t="s">
        <v>29</v>
      </c>
      <c r="G13" s="18"/>
      <c r="H13" s="5" t="s">
        <v>219</v>
      </c>
      <c r="I13" s="18"/>
    </row>
    <row r="14" ht="34.5" spans="1:12">
      <c r="A14" s="5">
        <f t="shared" si="0"/>
        <v>4</v>
      </c>
      <c r="B14" s="93" t="s">
        <v>21</v>
      </c>
      <c r="C14" s="26"/>
      <c r="D14" s="26" t="s">
        <v>1281</v>
      </c>
      <c r="E14" s="17" t="s">
        <v>1282</v>
      </c>
      <c r="F14" s="5" t="s">
        <v>1283</v>
      </c>
      <c r="G14" s="5" t="s">
        <v>1284</v>
      </c>
      <c r="H14" s="5" t="s">
        <v>24</v>
      </c>
      <c r="I14" s="18" t="s">
        <v>1285</v>
      </c>
      <c r="J14" s="37" t="s">
        <v>4</v>
      </c>
      <c r="K14" s="37" t="s">
        <v>26</v>
      </c>
      <c r="L14" s="37" t="s">
        <v>1283</v>
      </c>
    </row>
    <row r="15" ht="34.5" spans="1:12">
      <c r="A15" s="5">
        <f t="shared" si="0"/>
        <v>5</v>
      </c>
      <c r="B15" s="93" t="s">
        <v>21</v>
      </c>
      <c r="C15" s="26"/>
      <c r="D15" s="26" t="s">
        <v>1286</v>
      </c>
      <c r="E15" s="17" t="s">
        <v>1287</v>
      </c>
      <c r="F15" s="5" t="s">
        <v>1288</v>
      </c>
      <c r="G15" s="5" t="s">
        <v>1284</v>
      </c>
      <c r="H15" s="5" t="s">
        <v>24</v>
      </c>
      <c r="I15" s="18" t="s">
        <v>1289</v>
      </c>
      <c r="J15" s="37" t="s">
        <v>4</v>
      </c>
      <c r="K15" s="37" t="s">
        <v>26</v>
      </c>
      <c r="L15" s="37" t="s">
        <v>1288</v>
      </c>
    </row>
    <row r="16" ht="17.25" spans="1:12">
      <c r="A16" s="5">
        <f t="shared" si="0"/>
        <v>6</v>
      </c>
      <c r="B16" s="93" t="s">
        <v>21</v>
      </c>
      <c r="C16" s="26"/>
      <c r="D16" s="26" t="s">
        <v>1358</v>
      </c>
      <c r="E16" s="17" t="s">
        <v>1359</v>
      </c>
      <c r="F16" s="5" t="s">
        <v>183</v>
      </c>
      <c r="G16" s="18" t="s">
        <v>1360</v>
      </c>
      <c r="H16" s="5" t="s">
        <v>24</v>
      </c>
      <c r="I16" s="18"/>
      <c r="J16" s="37"/>
      <c r="K16" s="37"/>
      <c r="L16" s="37"/>
    </row>
    <row r="17" ht="34.5" spans="1:12">
      <c r="A17" s="5">
        <f t="shared" si="0"/>
        <v>7</v>
      </c>
      <c r="B17" s="93" t="s">
        <v>21</v>
      </c>
      <c r="C17" s="26"/>
      <c r="D17" s="26" t="s">
        <v>1290</v>
      </c>
      <c r="E17" s="17" t="s">
        <v>1291</v>
      </c>
      <c r="F17" s="5" t="s">
        <v>1292</v>
      </c>
      <c r="G17" s="5" t="s">
        <v>1293</v>
      </c>
      <c r="H17" s="5" t="s">
        <v>24</v>
      </c>
      <c r="I17" s="5"/>
      <c r="J17" s="37" t="s">
        <v>4</v>
      </c>
      <c r="K17" s="37" t="s">
        <v>26</v>
      </c>
      <c r="L17" s="37" t="s">
        <v>1292</v>
      </c>
    </row>
    <row r="18" ht="17.25" spans="1:12">
      <c r="A18" s="5">
        <f t="shared" si="0"/>
        <v>8</v>
      </c>
      <c r="B18" s="93" t="s">
        <v>21</v>
      </c>
      <c r="C18" s="26"/>
      <c r="D18" s="26" t="s">
        <v>1294</v>
      </c>
      <c r="E18" s="17" t="s">
        <v>1295</v>
      </c>
      <c r="F18" s="5" t="s">
        <v>1296</v>
      </c>
      <c r="G18" s="5" t="s">
        <v>1297</v>
      </c>
      <c r="H18" s="5" t="s">
        <v>24</v>
      </c>
      <c r="I18" s="5"/>
      <c r="J18" s="37" t="s">
        <v>4</v>
      </c>
      <c r="K18" s="37" t="s">
        <v>26</v>
      </c>
      <c r="L18" s="37" t="s">
        <v>1296</v>
      </c>
    </row>
    <row r="19" ht="34.5" spans="1:12">
      <c r="A19" s="5">
        <f t="shared" si="0"/>
        <v>9</v>
      </c>
      <c r="B19" s="93" t="s">
        <v>21</v>
      </c>
      <c r="C19" s="26"/>
      <c r="D19" s="26" t="s">
        <v>1298</v>
      </c>
      <c r="E19" s="17" t="s">
        <v>1299</v>
      </c>
      <c r="F19" s="5" t="s">
        <v>1300</v>
      </c>
      <c r="G19" s="5" t="s">
        <v>1301</v>
      </c>
      <c r="H19" s="5" t="s">
        <v>24</v>
      </c>
      <c r="I19" s="5"/>
      <c r="J19" s="37" t="s">
        <v>4</v>
      </c>
      <c r="K19" s="37" t="s">
        <v>26</v>
      </c>
      <c r="L19" s="37" t="s">
        <v>1300</v>
      </c>
    </row>
    <row r="20" ht="17.25" spans="1:11">
      <c r="A20" s="5">
        <f t="shared" si="0"/>
        <v>10</v>
      </c>
      <c r="B20" s="93"/>
      <c r="C20" s="5"/>
      <c r="D20" s="5" t="s">
        <v>1302</v>
      </c>
      <c r="E20" s="17" t="s">
        <v>1303</v>
      </c>
      <c r="F20" s="5" t="s">
        <v>255</v>
      </c>
      <c r="G20" s="5"/>
      <c r="H20" s="5" t="s">
        <v>24</v>
      </c>
      <c r="I20" s="5"/>
      <c r="J20" s="37" t="s">
        <v>161</v>
      </c>
      <c r="K20" s="37" t="s">
        <v>162</v>
      </c>
    </row>
    <row r="21" ht="17.25" spans="1:9">
      <c r="A21" s="5">
        <f t="shared" si="0"/>
        <v>11</v>
      </c>
      <c r="B21" s="93" t="s">
        <v>21</v>
      </c>
      <c r="C21" s="5"/>
      <c r="D21" s="5" t="s">
        <v>1304</v>
      </c>
      <c r="E21" s="17" t="s">
        <v>1304</v>
      </c>
      <c r="F21" s="5" t="s">
        <v>1305</v>
      </c>
      <c r="G21" s="5"/>
      <c r="H21" s="5" t="s">
        <v>1306</v>
      </c>
      <c r="I21" s="5"/>
    </row>
    <row r="22" ht="17.25" spans="1:9">
      <c r="A22" s="5">
        <f t="shared" si="0"/>
        <v>12</v>
      </c>
      <c r="B22" s="93" t="s">
        <v>21</v>
      </c>
      <c r="C22" s="5"/>
      <c r="D22" s="5" t="s">
        <v>1307</v>
      </c>
      <c r="E22" s="17" t="s">
        <v>1307</v>
      </c>
      <c r="F22" s="5" t="s">
        <v>1308</v>
      </c>
      <c r="G22" s="5"/>
      <c r="H22" s="5" t="s">
        <v>1306</v>
      </c>
      <c r="I22" s="5"/>
    </row>
    <row r="23" ht="17.25" spans="1:9">
      <c r="A23" s="5">
        <f t="shared" si="0"/>
        <v>13</v>
      </c>
      <c r="B23" s="93" t="s">
        <v>21</v>
      </c>
      <c r="C23" s="5"/>
      <c r="D23" s="5" t="s">
        <v>1309</v>
      </c>
      <c r="E23" s="17" t="s">
        <v>1309</v>
      </c>
      <c r="F23" s="5" t="s">
        <v>1310</v>
      </c>
      <c r="G23" s="5"/>
      <c r="H23" s="5" t="s">
        <v>1306</v>
      </c>
      <c r="I23" s="5"/>
    </row>
    <row r="24" ht="17.25" spans="1:9">
      <c r="A24" s="5">
        <f t="shared" si="0"/>
        <v>14</v>
      </c>
      <c r="B24" s="93" t="s">
        <v>21</v>
      </c>
      <c r="C24" s="5"/>
      <c r="D24" s="5" t="s">
        <v>1311</v>
      </c>
      <c r="E24" s="17" t="s">
        <v>1312</v>
      </c>
      <c r="F24" s="5" t="s">
        <v>1313</v>
      </c>
      <c r="G24" s="5"/>
      <c r="H24" s="5" t="s">
        <v>42</v>
      </c>
      <c r="I24" s="5"/>
    </row>
    <row r="25" ht="17.25" spans="1:9">
      <c r="A25" s="5">
        <f t="shared" si="0"/>
        <v>15</v>
      </c>
      <c r="B25" s="93" t="s">
        <v>21</v>
      </c>
      <c r="C25" s="26"/>
      <c r="D25" s="26" t="s">
        <v>1167</v>
      </c>
      <c r="E25" s="17" t="s">
        <v>1314</v>
      </c>
      <c r="F25" s="5" t="s">
        <v>1169</v>
      </c>
      <c r="G25" s="5"/>
      <c r="H25" s="5" t="s">
        <v>42</v>
      </c>
      <c r="I25" s="5"/>
    </row>
    <row r="26" ht="17.25" spans="1:9">
      <c r="A26" s="5">
        <f t="shared" si="0"/>
        <v>16</v>
      </c>
      <c r="B26" s="93" t="s">
        <v>21</v>
      </c>
      <c r="C26" s="26"/>
      <c r="D26" s="26" t="s">
        <v>1315</v>
      </c>
      <c r="E26" s="17" t="s">
        <v>1315</v>
      </c>
      <c r="F26" s="5" t="s">
        <v>1316</v>
      </c>
      <c r="G26" s="5"/>
      <c r="H26" s="5" t="s">
        <v>42</v>
      </c>
      <c r="I26" s="5"/>
    </row>
    <row r="27" ht="17.25" spans="1:9">
      <c r="A27" s="5">
        <f t="shared" si="0"/>
        <v>17</v>
      </c>
      <c r="B27" s="93" t="s">
        <v>21</v>
      </c>
      <c r="C27" s="5"/>
      <c r="D27" s="5" t="s">
        <v>1317</v>
      </c>
      <c r="E27" s="17" t="s">
        <v>1361</v>
      </c>
      <c r="F27" s="5" t="s">
        <v>1319</v>
      </c>
      <c r="G27" s="5"/>
      <c r="H27" s="5" t="s">
        <v>1320</v>
      </c>
      <c r="I27" s="5"/>
    </row>
    <row r="28" ht="17.25" spans="1:11">
      <c r="A28" s="5">
        <f t="shared" si="0"/>
        <v>18</v>
      </c>
      <c r="B28" s="93" t="s">
        <v>21</v>
      </c>
      <c r="C28" s="5"/>
      <c r="D28" s="5" t="s">
        <v>1321</v>
      </c>
      <c r="E28" s="17" t="s">
        <v>1322</v>
      </c>
      <c r="F28" s="5" t="s">
        <v>267</v>
      </c>
      <c r="G28" s="5"/>
      <c r="H28" s="5" t="s">
        <v>24</v>
      </c>
      <c r="I28" s="5"/>
      <c r="J28" s="37" t="s">
        <v>212</v>
      </c>
      <c r="K28" s="37" t="s">
        <v>22</v>
      </c>
    </row>
    <row r="29" ht="17.25" spans="1:9">
      <c r="A29" s="5">
        <f t="shared" si="0"/>
        <v>19</v>
      </c>
      <c r="B29" s="93" t="s">
        <v>21</v>
      </c>
      <c r="C29" s="20" t="s">
        <v>224</v>
      </c>
      <c r="D29" s="20" t="s">
        <v>240</v>
      </c>
      <c r="E29" s="17" t="s">
        <v>240</v>
      </c>
      <c r="F29" s="5" t="s">
        <v>38</v>
      </c>
      <c r="G29" s="18"/>
      <c r="H29" s="5" t="s">
        <v>243</v>
      </c>
      <c r="I29" s="18"/>
    </row>
    <row r="30" ht="17.25" spans="1:9">
      <c r="A30" s="5">
        <f t="shared" si="0"/>
        <v>20</v>
      </c>
      <c r="B30" s="93"/>
      <c r="C30" s="19"/>
      <c r="D30" s="19" t="s">
        <v>421</v>
      </c>
      <c r="E30" s="17" t="s">
        <v>1197</v>
      </c>
      <c r="F30" s="5" t="s">
        <v>1362</v>
      </c>
      <c r="G30" s="18"/>
      <c r="H30" s="5" t="s">
        <v>1363</v>
      </c>
      <c r="I30" s="18"/>
    </row>
    <row r="31" ht="17.25" spans="1:9">
      <c r="A31" s="5">
        <f t="shared" si="0"/>
        <v>21</v>
      </c>
      <c r="B31" s="93" t="s">
        <v>21</v>
      </c>
      <c r="C31" s="20" t="s">
        <v>224</v>
      </c>
      <c r="D31" s="20" t="s">
        <v>244</v>
      </c>
      <c r="E31" s="17" t="s">
        <v>1364</v>
      </c>
      <c r="F31" s="5" t="s">
        <v>245</v>
      </c>
      <c r="G31" s="18" t="s">
        <v>1364</v>
      </c>
      <c r="H31" s="5" t="s">
        <v>219</v>
      </c>
      <c r="I31" s="18"/>
    </row>
    <row r="32" ht="17.25" spans="1:9">
      <c r="A32" s="5">
        <f t="shared" si="0"/>
        <v>22</v>
      </c>
      <c r="B32" s="93" t="s">
        <v>21</v>
      </c>
      <c r="C32" s="20" t="s">
        <v>224</v>
      </c>
      <c r="D32" s="20" t="s">
        <v>40</v>
      </c>
      <c r="E32" s="17" t="s">
        <v>40</v>
      </c>
      <c r="F32" s="5" t="s">
        <v>41</v>
      </c>
      <c r="G32" s="18"/>
      <c r="H32" s="5" t="s">
        <v>42</v>
      </c>
      <c r="I32" s="18"/>
    </row>
    <row r="33" ht="17.25" spans="1:9">
      <c r="A33" s="5">
        <f t="shared" si="0"/>
        <v>23</v>
      </c>
      <c r="B33" s="93"/>
      <c r="C33" s="5"/>
      <c r="D33" s="5" t="s">
        <v>1365</v>
      </c>
      <c r="E33" s="17" t="s">
        <v>1366</v>
      </c>
      <c r="F33" s="5" t="s">
        <v>1367</v>
      </c>
      <c r="G33" s="18" t="s">
        <v>1207</v>
      </c>
      <c r="H33" s="5"/>
      <c r="I33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15" zoomScaleNormal="115" topLeftCell="A3" workbookViewId="0">
      <selection activeCell="F4" sqref="F4:I4"/>
    </sheetView>
  </sheetViews>
  <sheetFormatPr defaultColWidth="9" defaultRowHeight="13.5"/>
  <cols>
    <col min="3" max="4" width="11.6666666666667" customWidth="1"/>
    <col min="5" max="5" width="14" customWidth="1"/>
    <col min="6" max="6" width="15.6666666666667" customWidth="1"/>
    <col min="7" max="7" width="22.6666666666667" customWidth="1"/>
    <col min="8" max="8" width="15.6666666666667" customWidth="1"/>
  </cols>
  <sheetData>
    <row r="1" ht="14.25" spans="1:9">
      <c r="A1" s="27" t="s">
        <v>0</v>
      </c>
      <c r="B1" s="30" t="s">
        <v>1368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67" t="s">
        <v>2</v>
      </c>
      <c r="B3" s="67"/>
      <c r="C3" s="67"/>
      <c r="D3" s="67"/>
      <c r="E3" s="67"/>
      <c r="F3" s="67"/>
      <c r="G3" s="67"/>
      <c r="H3" s="67"/>
      <c r="I3" s="67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1369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1370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 t="s">
        <v>1371</v>
      </c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67" t="s">
        <v>12</v>
      </c>
      <c r="B9" s="67"/>
      <c r="C9" s="67"/>
      <c r="D9" s="67"/>
      <c r="E9" s="67"/>
      <c r="F9" s="67"/>
      <c r="G9" s="67"/>
      <c r="H9" s="67"/>
      <c r="I9" s="67"/>
    </row>
    <row r="10" ht="34.5" spans="1:9">
      <c r="A10" s="88" t="s">
        <v>37</v>
      </c>
      <c r="B10" s="89" t="s">
        <v>13</v>
      </c>
      <c r="C10" s="88" t="s">
        <v>14</v>
      </c>
      <c r="D10" s="88" t="s">
        <v>15</v>
      </c>
      <c r="E10" s="17" t="s">
        <v>16</v>
      </c>
      <c r="F10" s="88" t="s">
        <v>17</v>
      </c>
      <c r="G10" s="88" t="s">
        <v>18</v>
      </c>
      <c r="H10" s="88" t="s">
        <v>19</v>
      </c>
      <c r="I10" s="88" t="s">
        <v>20</v>
      </c>
    </row>
    <row r="11" ht="17.25" spans="1:9">
      <c r="A11" s="18">
        <v>1</v>
      </c>
      <c r="B11" s="93" t="s">
        <v>21</v>
      </c>
      <c r="C11" s="18"/>
      <c r="D11" s="18" t="s">
        <v>22</v>
      </c>
      <c r="E11" s="17" t="s">
        <v>22</v>
      </c>
      <c r="F11" s="18" t="s">
        <v>22</v>
      </c>
      <c r="G11" s="18" t="s">
        <v>1232</v>
      </c>
      <c r="H11" s="18" t="s">
        <v>24</v>
      </c>
      <c r="I11" s="18"/>
    </row>
    <row r="12" ht="17.25" spans="1:9">
      <c r="A12" s="18">
        <v>2</v>
      </c>
      <c r="B12" s="93" t="s">
        <v>21</v>
      </c>
      <c r="C12" s="18"/>
      <c r="D12" s="18" t="s">
        <v>378</v>
      </c>
      <c r="E12" s="17" t="s">
        <v>378</v>
      </c>
      <c r="F12" s="18" t="s">
        <v>379</v>
      </c>
      <c r="G12" s="18"/>
      <c r="H12" s="18" t="s">
        <v>1206</v>
      </c>
      <c r="I12" s="18"/>
    </row>
    <row r="13" ht="17.25" spans="1:9">
      <c r="A13" s="18">
        <v>3</v>
      </c>
      <c r="B13" s="93" t="s">
        <v>21</v>
      </c>
      <c r="C13" s="18"/>
      <c r="D13" s="18" t="s">
        <v>382</v>
      </c>
      <c r="E13" s="17" t="s">
        <v>382</v>
      </c>
      <c r="F13" s="18" t="s">
        <v>383</v>
      </c>
      <c r="G13" s="18"/>
      <c r="H13" s="18" t="s">
        <v>411</v>
      </c>
      <c r="I13" s="18"/>
    </row>
    <row r="14" ht="17.25" spans="1:9">
      <c r="A14" s="18">
        <v>5</v>
      </c>
      <c r="B14" s="93" t="s">
        <v>21</v>
      </c>
      <c r="C14" s="18"/>
      <c r="D14" s="18" t="s">
        <v>1372</v>
      </c>
      <c r="E14" s="17" t="s">
        <v>1372</v>
      </c>
      <c r="F14" s="18" t="s">
        <v>1373</v>
      </c>
      <c r="G14" s="18" t="s">
        <v>1374</v>
      </c>
      <c r="H14" s="18" t="s">
        <v>234</v>
      </c>
      <c r="I14" s="18"/>
    </row>
    <row r="15" ht="34.5" spans="1:9">
      <c r="A15" s="18">
        <v>4</v>
      </c>
      <c r="B15" s="93" t="s">
        <v>21</v>
      </c>
      <c r="C15" s="18"/>
      <c r="D15" s="18" t="s">
        <v>1375</v>
      </c>
      <c r="E15" s="17" t="s">
        <v>1376</v>
      </c>
      <c r="F15" s="18" t="s">
        <v>398</v>
      </c>
      <c r="G15" s="18" t="s">
        <v>1377</v>
      </c>
      <c r="H15" s="18" t="s">
        <v>411</v>
      </c>
      <c r="I15" s="18"/>
    </row>
    <row r="16" ht="34.5" spans="1:9">
      <c r="A16" s="18">
        <v>5</v>
      </c>
      <c r="B16" s="93" t="s">
        <v>21</v>
      </c>
      <c r="C16" s="18"/>
      <c r="D16" s="18" t="s">
        <v>1378</v>
      </c>
      <c r="E16" s="17" t="s">
        <v>1379</v>
      </c>
      <c r="F16" s="18" t="s">
        <v>402</v>
      </c>
      <c r="G16" s="18" t="s">
        <v>1377</v>
      </c>
      <c r="H16" s="18" t="s">
        <v>411</v>
      </c>
      <c r="I16" s="18"/>
    </row>
    <row r="17" ht="17.25" spans="1:9">
      <c r="A17" s="18">
        <v>6</v>
      </c>
      <c r="B17" s="93" t="s">
        <v>21</v>
      </c>
      <c r="C17" s="94" t="s">
        <v>224</v>
      </c>
      <c r="D17" s="94" t="s">
        <v>40</v>
      </c>
      <c r="E17" s="17" t="s">
        <v>40</v>
      </c>
      <c r="F17" s="18" t="s">
        <v>41</v>
      </c>
      <c r="G17" s="18"/>
      <c r="H17" s="18" t="s">
        <v>42</v>
      </c>
      <c r="I17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="145" zoomScaleNormal="145" topLeftCell="A3" workbookViewId="0">
      <selection activeCell="F4" sqref="F4:I4"/>
    </sheetView>
  </sheetViews>
  <sheetFormatPr defaultColWidth="9" defaultRowHeight="13.5"/>
  <cols>
    <col min="3" max="5" width="11.6666666666667" customWidth="1"/>
    <col min="6" max="6" width="15.6666666666667" customWidth="1"/>
    <col min="7" max="7" width="22.6666666666667" customWidth="1"/>
    <col min="8" max="8" width="15.6666666666667" customWidth="1"/>
  </cols>
  <sheetData>
    <row r="1" ht="14.25" spans="1:9">
      <c r="A1" s="27" t="s">
        <v>0</v>
      </c>
      <c r="B1" s="30" t="s">
        <v>1380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67" t="s">
        <v>2</v>
      </c>
      <c r="B3" s="67"/>
      <c r="C3" s="67"/>
      <c r="D3" s="67"/>
      <c r="E3" s="67"/>
      <c r="F3" s="67"/>
      <c r="G3" s="67"/>
      <c r="H3" s="67"/>
      <c r="I3" s="67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1381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1370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 t="s">
        <v>1371</v>
      </c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67" t="s">
        <v>12</v>
      </c>
      <c r="B9" s="67"/>
      <c r="C9" s="67"/>
      <c r="D9" s="67"/>
      <c r="E9" s="67"/>
      <c r="F9" s="67"/>
      <c r="G9" s="67"/>
      <c r="H9" s="67"/>
      <c r="I9" s="67"/>
    </row>
    <row r="10" ht="34.5" spans="1:9">
      <c r="A10" s="88" t="s">
        <v>37</v>
      </c>
      <c r="B10" s="89" t="s">
        <v>13</v>
      </c>
      <c r="C10" s="88" t="s">
        <v>14</v>
      </c>
      <c r="D10" s="88" t="s">
        <v>15</v>
      </c>
      <c r="E10" s="17" t="s">
        <v>16</v>
      </c>
      <c r="F10" s="88" t="s">
        <v>17</v>
      </c>
      <c r="G10" s="88" t="s">
        <v>18</v>
      </c>
      <c r="H10" s="88" t="s">
        <v>19</v>
      </c>
      <c r="I10" s="88" t="s">
        <v>20</v>
      </c>
    </row>
    <row r="11" ht="17.25" spans="1:9">
      <c r="A11" s="18">
        <v>1</v>
      </c>
      <c r="B11" s="93" t="s">
        <v>21</v>
      </c>
      <c r="C11" s="18"/>
      <c r="D11" s="18" t="s">
        <v>22</v>
      </c>
      <c r="E11" s="17" t="s">
        <v>22</v>
      </c>
      <c r="F11" s="18" t="s">
        <v>22</v>
      </c>
      <c r="G11" s="18" t="s">
        <v>1232</v>
      </c>
      <c r="H11" s="18" t="s">
        <v>24</v>
      </c>
      <c r="I11" s="18"/>
    </row>
    <row r="12" ht="17.25" spans="1:9">
      <c r="A12" s="18">
        <v>2</v>
      </c>
      <c r="B12" s="93" t="s">
        <v>21</v>
      </c>
      <c r="C12" s="18"/>
      <c r="D12" s="18" t="s">
        <v>378</v>
      </c>
      <c r="E12" s="17" t="s">
        <v>378</v>
      </c>
      <c r="F12" s="18" t="s">
        <v>379</v>
      </c>
      <c r="G12" s="18"/>
      <c r="H12" s="18" t="s">
        <v>1206</v>
      </c>
      <c r="I12" s="18"/>
    </row>
    <row r="13" ht="17.25" spans="1:9">
      <c r="A13" s="18">
        <v>3</v>
      </c>
      <c r="B13" s="93" t="s">
        <v>21</v>
      </c>
      <c r="C13" s="18"/>
      <c r="D13" s="18" t="s">
        <v>382</v>
      </c>
      <c r="E13" s="17" t="s">
        <v>382</v>
      </c>
      <c r="F13" s="18" t="s">
        <v>383</v>
      </c>
      <c r="G13" s="18"/>
      <c r="H13" s="18" t="s">
        <v>411</v>
      </c>
      <c r="I13" s="18"/>
    </row>
    <row r="14" ht="17.25" spans="1:9">
      <c r="A14" s="18">
        <v>5</v>
      </c>
      <c r="B14" s="93" t="s">
        <v>21</v>
      </c>
      <c r="C14" s="18"/>
      <c r="D14" s="18" t="s">
        <v>1372</v>
      </c>
      <c r="E14" s="17" t="s">
        <v>1372</v>
      </c>
      <c r="F14" s="18" t="s">
        <v>1373</v>
      </c>
      <c r="G14" s="18" t="s">
        <v>1374</v>
      </c>
      <c r="H14" s="18" t="s">
        <v>234</v>
      </c>
      <c r="I14" s="18"/>
    </row>
    <row r="15" ht="17.25" spans="1:9">
      <c r="A15" s="18">
        <v>4</v>
      </c>
      <c r="B15" s="93" t="s">
        <v>21</v>
      </c>
      <c r="C15" s="18"/>
      <c r="D15" s="18" t="s">
        <v>1382</v>
      </c>
      <c r="E15" s="17" t="s">
        <v>1382</v>
      </c>
      <c r="F15" s="18" t="s">
        <v>839</v>
      </c>
      <c r="G15" s="18" t="s">
        <v>1377</v>
      </c>
      <c r="H15" s="18" t="s">
        <v>411</v>
      </c>
      <c r="I15" s="18"/>
    </row>
    <row r="16" ht="17.25" spans="1:9">
      <c r="A16" s="18">
        <v>5</v>
      </c>
      <c r="B16" s="93" t="s">
        <v>21</v>
      </c>
      <c r="C16" s="18"/>
      <c r="D16" s="18" t="s">
        <v>1383</v>
      </c>
      <c r="E16" s="17" t="s">
        <v>1383</v>
      </c>
      <c r="F16" s="18" t="s">
        <v>1384</v>
      </c>
      <c r="G16" s="18" t="s">
        <v>1385</v>
      </c>
      <c r="H16" s="18" t="s">
        <v>42</v>
      </c>
      <c r="I16" s="18"/>
    </row>
    <row r="17" ht="17.25" spans="1:9">
      <c r="A17" s="18">
        <v>6</v>
      </c>
      <c r="B17" s="93" t="s">
        <v>21</v>
      </c>
      <c r="C17" s="94" t="s">
        <v>224</v>
      </c>
      <c r="D17" s="94" t="s">
        <v>40</v>
      </c>
      <c r="E17" s="17" t="s">
        <v>40</v>
      </c>
      <c r="F17" s="18" t="s">
        <v>41</v>
      </c>
      <c r="G17" s="18"/>
      <c r="H17" s="18" t="s">
        <v>42</v>
      </c>
      <c r="I17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15" zoomScaleNormal="115" topLeftCell="A6" workbookViewId="0">
      <selection activeCell="A19" sqref="A19"/>
    </sheetView>
  </sheetViews>
  <sheetFormatPr defaultColWidth="9" defaultRowHeight="13.5"/>
  <cols>
    <col min="3" max="4" width="18.8333333333333" customWidth="1"/>
    <col min="5" max="5" width="16.1666666666667" customWidth="1"/>
    <col min="6" max="6" width="36.3333333333333" customWidth="1"/>
    <col min="7" max="7" width="31.5" customWidth="1"/>
    <col min="8" max="8" width="19.3333333333333" customWidth="1"/>
    <col min="9" max="9" width="29.1666666666667" customWidth="1"/>
  </cols>
  <sheetData>
    <row r="1" ht="14.25" spans="1:9">
      <c r="A1" s="27" t="s">
        <v>0</v>
      </c>
      <c r="B1" s="30" t="s">
        <v>1386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67" t="s">
        <v>2</v>
      </c>
      <c r="B3" s="67"/>
      <c r="C3" s="67"/>
      <c r="D3" s="67"/>
      <c r="E3" s="67"/>
      <c r="F3" s="67"/>
      <c r="G3" s="67"/>
      <c r="H3" s="67"/>
      <c r="I3" s="67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1387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1388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87" t="s">
        <v>1389</v>
      </c>
      <c r="G6" s="87"/>
      <c r="H6" s="87"/>
      <c r="I6" s="87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67" t="s">
        <v>12</v>
      </c>
      <c r="B9" s="67"/>
      <c r="C9" s="67"/>
      <c r="D9" s="67"/>
      <c r="E9" s="67"/>
      <c r="F9" s="67"/>
      <c r="G9" s="67"/>
      <c r="H9" s="67"/>
      <c r="I9" s="67"/>
    </row>
    <row r="10" ht="39" customHeight="1" spans="1:9">
      <c r="A10" s="88" t="s">
        <v>37</v>
      </c>
      <c r="B10" s="89" t="s">
        <v>13</v>
      </c>
      <c r="C10" s="88" t="s">
        <v>14</v>
      </c>
      <c r="D10" s="88" t="s">
        <v>15</v>
      </c>
      <c r="E10" s="17" t="s">
        <v>16</v>
      </c>
      <c r="F10" s="88" t="s">
        <v>17</v>
      </c>
      <c r="G10" s="88" t="s">
        <v>18</v>
      </c>
      <c r="H10" s="88" t="s">
        <v>19</v>
      </c>
      <c r="I10" s="88" t="s">
        <v>20</v>
      </c>
    </row>
    <row r="11" ht="30" customHeight="1" spans="1:9">
      <c r="A11" s="36">
        <v>1</v>
      </c>
      <c r="B11" s="59" t="s">
        <v>21</v>
      </c>
      <c r="C11" s="36"/>
      <c r="D11" s="36" t="s">
        <v>22</v>
      </c>
      <c r="E11" s="35" t="s">
        <v>22</v>
      </c>
      <c r="F11" s="36" t="s">
        <v>22</v>
      </c>
      <c r="G11" s="90"/>
      <c r="H11" s="36" t="s">
        <v>24</v>
      </c>
      <c r="I11" s="36"/>
    </row>
    <row r="12" ht="30" customHeight="1" spans="1:9">
      <c r="A12" s="36">
        <v>2</v>
      </c>
      <c r="B12" s="59" t="s">
        <v>21</v>
      </c>
      <c r="C12" s="36"/>
      <c r="D12" s="36" t="s">
        <v>1390</v>
      </c>
      <c r="E12" s="35" t="s">
        <v>1391</v>
      </c>
      <c r="F12" s="36" t="s">
        <v>1392</v>
      </c>
      <c r="G12" s="90" t="s">
        <v>1393</v>
      </c>
      <c r="H12" s="36" t="s">
        <v>24</v>
      </c>
      <c r="I12" s="36" t="s">
        <v>1394</v>
      </c>
    </row>
    <row r="13" ht="30" customHeight="1" spans="1:9">
      <c r="A13" s="36">
        <v>3</v>
      </c>
      <c r="B13" s="59" t="s">
        <v>21</v>
      </c>
      <c r="C13" s="36"/>
      <c r="D13" s="36" t="s">
        <v>1395</v>
      </c>
      <c r="E13" s="35" t="s">
        <v>1396</v>
      </c>
      <c r="F13" s="36" t="s">
        <v>1397</v>
      </c>
      <c r="G13" s="90" t="s">
        <v>1398</v>
      </c>
      <c r="H13" s="36" t="s">
        <v>27</v>
      </c>
      <c r="I13" s="36"/>
    </row>
    <row r="14" ht="30" customHeight="1" spans="1:9">
      <c r="A14" s="36">
        <v>4</v>
      </c>
      <c r="B14" s="59" t="s">
        <v>21</v>
      </c>
      <c r="C14" s="36"/>
      <c r="D14" s="36" t="s">
        <v>1399</v>
      </c>
      <c r="E14" s="35" t="s">
        <v>1400</v>
      </c>
      <c r="F14" s="36" t="s">
        <v>1401</v>
      </c>
      <c r="G14" s="90" t="s">
        <v>1402</v>
      </c>
      <c r="H14" s="36" t="s">
        <v>27</v>
      </c>
      <c r="I14" s="36"/>
    </row>
    <row r="15" ht="30" customHeight="1" spans="1:9">
      <c r="A15" s="36">
        <v>5</v>
      </c>
      <c r="B15" s="59" t="s">
        <v>21</v>
      </c>
      <c r="C15" s="36"/>
      <c r="D15" s="36" t="s">
        <v>1403</v>
      </c>
      <c r="E15" s="35" t="s">
        <v>1404</v>
      </c>
      <c r="F15" s="36" t="s">
        <v>1405</v>
      </c>
      <c r="G15" s="90" t="s">
        <v>1406</v>
      </c>
      <c r="H15" s="36" t="s">
        <v>27</v>
      </c>
      <c r="I15" s="36"/>
    </row>
    <row r="16" ht="30" customHeight="1" spans="1:9">
      <c r="A16" s="36">
        <v>6</v>
      </c>
      <c r="B16" s="59" t="s">
        <v>21</v>
      </c>
      <c r="C16" s="36"/>
      <c r="D16" s="36" t="s">
        <v>1407</v>
      </c>
      <c r="E16" s="35" t="s">
        <v>1408</v>
      </c>
      <c r="F16" s="36" t="s">
        <v>1409</v>
      </c>
      <c r="G16" s="90" t="s">
        <v>1410</v>
      </c>
      <c r="H16" s="36" t="s">
        <v>27</v>
      </c>
      <c r="I16" s="36"/>
    </row>
    <row r="17" ht="30" customHeight="1" spans="1:9">
      <c r="A17" s="36">
        <v>7</v>
      </c>
      <c r="B17" s="62"/>
      <c r="C17" s="36"/>
      <c r="D17" s="36" t="s">
        <v>368</v>
      </c>
      <c r="E17" s="35" t="s">
        <v>368</v>
      </c>
      <c r="F17" s="36" t="s">
        <v>1411</v>
      </c>
      <c r="G17" s="90" t="s">
        <v>1412</v>
      </c>
      <c r="H17" s="36" t="s">
        <v>347</v>
      </c>
      <c r="I17" s="36"/>
    </row>
    <row r="18" ht="30" customHeight="1" spans="1:9">
      <c r="A18" s="36">
        <v>8</v>
      </c>
      <c r="B18" s="91"/>
      <c r="C18" s="92"/>
      <c r="D18" s="36" t="s">
        <v>365</v>
      </c>
      <c r="E18" s="35" t="s">
        <v>365</v>
      </c>
      <c r="F18" s="36" t="s">
        <v>1413</v>
      </c>
      <c r="G18" s="90" t="s">
        <v>1414</v>
      </c>
      <c r="H18" s="36" t="s">
        <v>347</v>
      </c>
      <c r="I18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  <hyperlink ref="F6:I6" location="系统参数表!A1" display="冬夏季时间来源系统参数表"/>
  </hyperlinks>
  <pageMargins left="0.699305555555556" right="0.699305555555556" top="0.75" bottom="0.75" header="0.3" footer="0.3"/>
  <pageSetup paperSize="9" orientation="portrait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zoomScale="115" zoomScaleNormal="115" topLeftCell="C1" workbookViewId="0">
      <selection activeCell="G10" sqref="G10"/>
    </sheetView>
  </sheetViews>
  <sheetFormatPr defaultColWidth="9" defaultRowHeight="13.5"/>
  <cols>
    <col min="3" max="5" width="13.5" customWidth="1"/>
    <col min="6" max="6" width="22.6666666666667" customWidth="1"/>
    <col min="7" max="7" width="33.5" customWidth="1"/>
    <col min="8" max="8" width="25.1666666666667" customWidth="1"/>
    <col min="9" max="9" width="32.5" customWidth="1"/>
    <col min="10" max="10" width="22.0666666666667" customWidth="1"/>
  </cols>
  <sheetData>
    <row r="1" ht="14.25" spans="1:9">
      <c r="A1" s="27" t="s">
        <v>0</v>
      </c>
      <c r="B1" s="30" t="s">
        <v>1415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67" t="s">
        <v>2</v>
      </c>
      <c r="B3" s="67"/>
      <c r="C3" s="67"/>
      <c r="D3" s="67"/>
      <c r="E3" s="67"/>
      <c r="F3" s="67"/>
      <c r="G3" s="67"/>
      <c r="H3" s="67"/>
      <c r="I3" s="67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1416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85" t="s">
        <v>1417</v>
      </c>
      <c r="G5" s="85"/>
      <c r="H5" s="85"/>
      <c r="I5" s="85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67" t="s">
        <v>12</v>
      </c>
      <c r="B9" s="67"/>
      <c r="C9" s="67"/>
      <c r="D9" s="67"/>
      <c r="E9" s="67"/>
      <c r="F9" s="67"/>
      <c r="G9" s="67"/>
      <c r="H9" s="67"/>
      <c r="I9" s="67"/>
    </row>
    <row r="10" ht="34.5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7.25" spans="1:9">
      <c r="A11" s="36">
        <v>1</v>
      </c>
      <c r="B11" s="59" t="s">
        <v>21</v>
      </c>
      <c r="C11" s="30"/>
      <c r="D11" s="30" t="s">
        <v>22</v>
      </c>
      <c r="E11" s="35" t="s">
        <v>22</v>
      </c>
      <c r="F11" s="30" t="s">
        <v>22</v>
      </c>
      <c r="G11" s="30"/>
      <c r="H11" s="30" t="s">
        <v>30</v>
      </c>
      <c r="I11" s="62"/>
    </row>
    <row r="12" ht="17.25" spans="1:9">
      <c r="A12" s="36">
        <v>2</v>
      </c>
      <c r="B12" s="59" t="s">
        <v>21</v>
      </c>
      <c r="C12" s="36"/>
      <c r="D12" s="36" t="s">
        <v>1418</v>
      </c>
      <c r="E12" s="35" t="s">
        <v>1418</v>
      </c>
      <c r="F12" s="30" t="s">
        <v>26</v>
      </c>
      <c r="G12" s="30"/>
      <c r="H12" s="30" t="s">
        <v>30</v>
      </c>
      <c r="I12" s="62"/>
    </row>
    <row r="13" ht="28.5" spans="1:9">
      <c r="A13" s="36">
        <v>3</v>
      </c>
      <c r="B13" s="59" t="s">
        <v>21</v>
      </c>
      <c r="C13" s="36"/>
      <c r="D13" s="36" t="s">
        <v>1419</v>
      </c>
      <c r="E13" s="35" t="s">
        <v>1419</v>
      </c>
      <c r="F13" s="30" t="s">
        <v>29</v>
      </c>
      <c r="G13" s="76" t="s">
        <v>1420</v>
      </c>
      <c r="H13" s="30" t="s">
        <v>347</v>
      </c>
      <c r="I13" s="62"/>
    </row>
    <row r="14" ht="24" customHeight="1" spans="1:13">
      <c r="A14" s="36">
        <v>4</v>
      </c>
      <c r="B14" s="59" t="s">
        <v>21</v>
      </c>
      <c r="C14" s="30"/>
      <c r="D14" s="30" t="s">
        <v>1421</v>
      </c>
      <c r="E14" s="35" t="s">
        <v>1422</v>
      </c>
      <c r="F14" s="30" t="s">
        <v>1423</v>
      </c>
      <c r="G14" s="30"/>
      <c r="H14" s="30" t="s">
        <v>24</v>
      </c>
      <c r="I14" s="62"/>
      <c r="J14" s="13" t="s">
        <v>1354</v>
      </c>
      <c r="K14" s="14" t="s">
        <v>26</v>
      </c>
      <c r="L14" s="14"/>
      <c r="M14" s="24"/>
    </row>
    <row r="15" ht="17.25" spans="1:9">
      <c r="A15" s="36">
        <v>5</v>
      </c>
      <c r="B15" s="59" t="s">
        <v>21</v>
      </c>
      <c r="C15" s="30"/>
      <c r="D15" s="30" t="s">
        <v>378</v>
      </c>
      <c r="E15" s="35" t="s">
        <v>1424</v>
      </c>
      <c r="F15" s="30" t="s">
        <v>379</v>
      </c>
      <c r="G15" s="30"/>
      <c r="H15" s="30" t="s">
        <v>1206</v>
      </c>
      <c r="I15" s="62"/>
    </row>
    <row r="16" ht="17.25" spans="1:9">
      <c r="A16" s="36">
        <v>6</v>
      </c>
      <c r="B16" s="59" t="s">
        <v>21</v>
      </c>
      <c r="C16" s="30"/>
      <c r="D16" s="30" t="s">
        <v>382</v>
      </c>
      <c r="E16" s="35" t="s">
        <v>1425</v>
      </c>
      <c r="F16" s="30" t="s">
        <v>383</v>
      </c>
      <c r="G16" s="30"/>
      <c r="H16" s="30" t="s">
        <v>1426</v>
      </c>
      <c r="I16" s="62"/>
    </row>
    <row r="17" ht="17.25" spans="1:9">
      <c r="A17" s="36">
        <v>8</v>
      </c>
      <c r="B17" s="59" t="s">
        <v>21</v>
      </c>
      <c r="C17" s="86" t="s">
        <v>224</v>
      </c>
      <c r="D17" s="86" t="s">
        <v>40</v>
      </c>
      <c r="E17" s="35" t="s">
        <v>40</v>
      </c>
      <c r="F17" s="30" t="s">
        <v>41</v>
      </c>
      <c r="G17" s="30"/>
      <c r="H17" s="30" t="s">
        <v>42</v>
      </c>
      <c r="I17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zoomScale="115" zoomScaleNormal="115" topLeftCell="C1" workbookViewId="0">
      <selection activeCell="J17" sqref="J17"/>
    </sheetView>
  </sheetViews>
  <sheetFormatPr defaultColWidth="9" defaultRowHeight="13.5"/>
  <cols>
    <col min="3" max="5" width="12.6666666666667" customWidth="1"/>
    <col min="6" max="6" width="19.5" customWidth="1"/>
    <col min="7" max="7" width="34.1666666666667" customWidth="1"/>
    <col min="8" max="8" width="16.8333333333333" customWidth="1"/>
    <col min="9" max="9" width="37.1666666666667" customWidth="1"/>
    <col min="10" max="10" width="21.95" customWidth="1"/>
  </cols>
  <sheetData>
    <row r="1" ht="14.25" spans="1:9">
      <c r="A1" s="27" t="s">
        <v>0</v>
      </c>
      <c r="B1" s="30" t="s">
        <v>1427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58" t="s">
        <v>2</v>
      </c>
      <c r="B3" s="58"/>
      <c r="C3" s="58"/>
      <c r="D3" s="58"/>
      <c r="E3" s="58"/>
      <c r="F3" s="58"/>
      <c r="G3" s="58"/>
      <c r="H3" s="58"/>
      <c r="I3" s="58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1428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1429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58" t="s">
        <v>12</v>
      </c>
      <c r="B9" s="58"/>
      <c r="C9" s="58"/>
      <c r="D9" s="58"/>
      <c r="E9" s="58"/>
      <c r="F9" s="58"/>
      <c r="G9" s="58"/>
      <c r="H9" s="58"/>
      <c r="I9" s="58"/>
    </row>
    <row r="10" ht="34.5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4.25" spans="1:9">
      <c r="A11" s="62">
        <v>1</v>
      </c>
      <c r="B11" s="59" t="s">
        <v>21</v>
      </c>
      <c r="C11" s="62"/>
      <c r="D11" s="62" t="s">
        <v>22</v>
      </c>
      <c r="E11" s="84" t="s">
        <v>22</v>
      </c>
      <c r="F11" s="71" t="s">
        <v>22</v>
      </c>
      <c r="G11" s="68"/>
      <c r="H11" s="63" t="s">
        <v>347</v>
      </c>
      <c r="I11" s="62"/>
    </row>
    <row r="12" ht="14.25" spans="1:9">
      <c r="A12" s="62">
        <v>2</v>
      </c>
      <c r="B12" s="59" t="s">
        <v>21</v>
      </c>
      <c r="C12" s="62"/>
      <c r="D12" s="62" t="s">
        <v>378</v>
      </c>
      <c r="E12" s="84" t="s">
        <v>1430</v>
      </c>
      <c r="F12" s="71" t="s">
        <v>379</v>
      </c>
      <c r="G12" s="68"/>
      <c r="H12" s="63" t="s">
        <v>1206</v>
      </c>
      <c r="I12" s="62"/>
    </row>
    <row r="13" ht="14.25" spans="1:9">
      <c r="A13" s="62">
        <v>3</v>
      </c>
      <c r="B13" s="59" t="s">
        <v>21</v>
      </c>
      <c r="C13" s="62"/>
      <c r="D13" s="62" t="s">
        <v>382</v>
      </c>
      <c r="E13" s="84" t="s">
        <v>1431</v>
      </c>
      <c r="F13" s="71" t="s">
        <v>383</v>
      </c>
      <c r="G13" s="68"/>
      <c r="H13" s="63" t="s">
        <v>411</v>
      </c>
      <c r="I13" s="62"/>
    </row>
    <row r="14" ht="33" customHeight="1" spans="1:11">
      <c r="A14" s="62">
        <v>4</v>
      </c>
      <c r="B14" s="59" t="s">
        <v>21</v>
      </c>
      <c r="C14" s="71"/>
      <c r="D14" s="71" t="s">
        <v>1421</v>
      </c>
      <c r="E14" s="72" t="s">
        <v>1432</v>
      </c>
      <c r="F14" s="71" t="s">
        <v>1423</v>
      </c>
      <c r="G14" s="68"/>
      <c r="H14" s="63" t="s">
        <v>24</v>
      </c>
      <c r="I14" s="62"/>
      <c r="J14" s="13" t="s">
        <v>1354</v>
      </c>
      <c r="K14" s="14" t="s">
        <v>26</v>
      </c>
    </row>
    <row r="15" ht="28.5" spans="1:9">
      <c r="A15" s="62">
        <v>5</v>
      </c>
      <c r="B15" s="59" t="s">
        <v>21</v>
      </c>
      <c r="C15" s="79"/>
      <c r="D15" s="79" t="s">
        <v>1419</v>
      </c>
      <c r="E15" s="72" t="s">
        <v>1419</v>
      </c>
      <c r="F15" s="71" t="s">
        <v>1433</v>
      </c>
      <c r="G15" s="76" t="s">
        <v>1420</v>
      </c>
      <c r="H15" s="63" t="s">
        <v>347</v>
      </c>
      <c r="I15" s="62"/>
    </row>
    <row r="16" ht="33" customHeight="1" spans="1:13">
      <c r="A16" s="62">
        <v>6</v>
      </c>
      <c r="B16" s="59" t="s">
        <v>21</v>
      </c>
      <c r="C16" s="75"/>
      <c r="D16" s="75" t="s">
        <v>1434</v>
      </c>
      <c r="E16" s="72" t="s">
        <v>1435</v>
      </c>
      <c r="F16" s="71" t="s">
        <v>1436</v>
      </c>
      <c r="G16" s="77" t="s">
        <v>1437</v>
      </c>
      <c r="H16" s="63" t="s">
        <v>347</v>
      </c>
      <c r="I16" s="62"/>
      <c r="J16" s="5" t="s">
        <v>1416</v>
      </c>
      <c r="K16" s="5" t="s">
        <v>22</v>
      </c>
      <c r="L16" s="5"/>
      <c r="M16" s="5"/>
    </row>
    <row r="17" ht="17.25" spans="1:11">
      <c r="A17" s="62">
        <v>7</v>
      </c>
      <c r="B17" s="59" t="s">
        <v>21</v>
      </c>
      <c r="C17" s="79"/>
      <c r="D17" s="79" t="s">
        <v>1017</v>
      </c>
      <c r="E17" s="72" t="s">
        <v>1438</v>
      </c>
      <c r="F17" s="71" t="s">
        <v>1019</v>
      </c>
      <c r="G17" s="62"/>
      <c r="H17" s="63" t="s">
        <v>24</v>
      </c>
      <c r="I17" s="62"/>
      <c r="J17" s="37" t="s">
        <v>1021</v>
      </c>
      <c r="K17" s="46" t="s">
        <v>1019</v>
      </c>
    </row>
    <row r="18" ht="14.25" spans="1:9">
      <c r="A18" s="62">
        <v>8</v>
      </c>
      <c r="B18" s="59" t="s">
        <v>21</v>
      </c>
      <c r="C18" s="66" t="s">
        <v>224</v>
      </c>
      <c r="D18" s="66" t="s">
        <v>40</v>
      </c>
      <c r="E18" s="61" t="s">
        <v>40</v>
      </c>
      <c r="F18" s="71" t="s">
        <v>41</v>
      </c>
      <c r="G18" s="62"/>
      <c r="H18" s="63" t="s">
        <v>42</v>
      </c>
      <c r="I18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15" zoomScaleNormal="115" workbookViewId="0">
      <selection activeCell="F4" sqref="F4:I4"/>
    </sheetView>
  </sheetViews>
  <sheetFormatPr defaultColWidth="9" defaultRowHeight="13.5"/>
  <cols>
    <col min="3" max="5" width="12" customWidth="1"/>
    <col min="6" max="6" width="13.8333333333333" customWidth="1"/>
    <col min="7" max="7" width="35.1666666666667" customWidth="1"/>
    <col min="8" max="8" width="13.1666666666667" customWidth="1"/>
    <col min="10" max="10" width="26.85" customWidth="1"/>
    <col min="11" max="11" width="11.625" customWidth="1"/>
  </cols>
  <sheetData>
    <row r="1" ht="14.25" spans="1:9">
      <c r="A1" s="27" t="s">
        <v>0</v>
      </c>
      <c r="B1" s="30" t="s">
        <v>1439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58" t="s">
        <v>2</v>
      </c>
      <c r="B3" s="58"/>
      <c r="C3" s="58"/>
      <c r="D3" s="58"/>
      <c r="E3" s="58"/>
      <c r="F3" s="58"/>
      <c r="G3" s="58"/>
      <c r="H3" s="58"/>
      <c r="I3" s="58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1440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1417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58" t="s">
        <v>12</v>
      </c>
      <c r="B9" s="58"/>
      <c r="C9" s="58"/>
      <c r="D9" s="58"/>
      <c r="E9" s="58"/>
      <c r="F9" s="58"/>
      <c r="G9" s="58"/>
      <c r="H9" s="58"/>
      <c r="I9" s="58"/>
    </row>
    <row r="10" ht="34" customHeight="1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7.25" spans="1:9">
      <c r="A11" s="36">
        <v>1</v>
      </c>
      <c r="B11" s="59" t="s">
        <v>21</v>
      </c>
      <c r="C11" s="60"/>
      <c r="D11" s="60" t="s">
        <v>22</v>
      </c>
      <c r="E11" s="61" t="s">
        <v>22</v>
      </c>
      <c r="F11" s="60" t="s">
        <v>22</v>
      </c>
      <c r="G11" s="62"/>
      <c r="H11" s="63" t="s">
        <v>30</v>
      </c>
      <c r="I11" s="62"/>
    </row>
    <row r="12" ht="17.25" spans="1:9">
      <c r="A12" s="36">
        <v>2</v>
      </c>
      <c r="B12" s="59" t="s">
        <v>21</v>
      </c>
      <c r="C12" s="60"/>
      <c r="D12" s="60" t="s">
        <v>378</v>
      </c>
      <c r="E12" s="61" t="s">
        <v>1441</v>
      </c>
      <c r="F12" s="60" t="s">
        <v>379</v>
      </c>
      <c r="G12" s="62"/>
      <c r="H12" s="63" t="s">
        <v>1206</v>
      </c>
      <c r="I12" s="62"/>
    </row>
    <row r="13" ht="17.25" spans="1:9">
      <c r="A13" s="36">
        <v>3</v>
      </c>
      <c r="B13" s="59" t="s">
        <v>21</v>
      </c>
      <c r="C13" s="60"/>
      <c r="D13" s="60" t="s">
        <v>382</v>
      </c>
      <c r="E13" s="61" t="s">
        <v>1442</v>
      </c>
      <c r="F13" s="60" t="s">
        <v>383</v>
      </c>
      <c r="G13" s="62"/>
      <c r="H13" s="63" t="s">
        <v>1426</v>
      </c>
      <c r="I13" s="62"/>
    </row>
    <row r="14" ht="20" customHeight="1" spans="1:11">
      <c r="A14" s="36">
        <v>4</v>
      </c>
      <c r="B14" s="59" t="s">
        <v>21</v>
      </c>
      <c r="C14" s="60"/>
      <c r="D14" s="60" t="s">
        <v>1421</v>
      </c>
      <c r="E14" s="61" t="s">
        <v>1443</v>
      </c>
      <c r="F14" s="60" t="s">
        <v>1423</v>
      </c>
      <c r="G14" s="68"/>
      <c r="H14" s="63" t="s">
        <v>24</v>
      </c>
      <c r="I14" s="62"/>
      <c r="J14" s="13" t="s">
        <v>1354</v>
      </c>
      <c r="K14" s="14" t="s">
        <v>26</v>
      </c>
    </row>
    <row r="15" ht="28.5" spans="1:9">
      <c r="A15" s="36">
        <v>5</v>
      </c>
      <c r="B15" s="59" t="s">
        <v>21</v>
      </c>
      <c r="C15" s="64"/>
      <c r="D15" s="64" t="s">
        <v>1419</v>
      </c>
      <c r="E15" s="61" t="s">
        <v>1419</v>
      </c>
      <c r="F15" s="60" t="s">
        <v>1433</v>
      </c>
      <c r="G15" s="76" t="s">
        <v>1420</v>
      </c>
      <c r="H15" s="63" t="s">
        <v>347</v>
      </c>
      <c r="I15" s="62"/>
    </row>
    <row r="16" ht="20" customHeight="1" spans="1:11">
      <c r="A16" s="36">
        <v>6</v>
      </c>
      <c r="B16" s="59" t="s">
        <v>21</v>
      </c>
      <c r="C16" s="83"/>
      <c r="D16" s="83" t="s">
        <v>1434</v>
      </c>
      <c r="E16" s="61" t="s">
        <v>1435</v>
      </c>
      <c r="F16" s="60" t="s">
        <v>1436</v>
      </c>
      <c r="G16" s="77" t="s">
        <v>1437</v>
      </c>
      <c r="H16" s="63" t="s">
        <v>347</v>
      </c>
      <c r="I16" s="62"/>
      <c r="J16" s="5" t="s">
        <v>1416</v>
      </c>
      <c r="K16" s="5" t="s">
        <v>22</v>
      </c>
    </row>
    <row r="17" ht="17.25" spans="1:11">
      <c r="A17" s="36">
        <v>7</v>
      </c>
      <c r="B17" s="59" t="s">
        <v>21</v>
      </c>
      <c r="C17" s="60"/>
      <c r="D17" s="60" t="s">
        <v>281</v>
      </c>
      <c r="E17" s="61" t="s">
        <v>1444</v>
      </c>
      <c r="F17" s="60" t="s">
        <v>162</v>
      </c>
      <c r="G17" s="62"/>
      <c r="H17" s="63" t="s">
        <v>24</v>
      </c>
      <c r="I17" s="62"/>
      <c r="J17" s="37" t="s">
        <v>161</v>
      </c>
      <c r="K17" s="37" t="s">
        <v>162</v>
      </c>
    </row>
    <row r="18" ht="17.25" spans="1:9">
      <c r="A18" s="36">
        <v>8</v>
      </c>
      <c r="B18" s="65" t="s">
        <v>21</v>
      </c>
      <c r="C18" s="20" t="s">
        <v>224</v>
      </c>
      <c r="D18" s="66" t="s">
        <v>40</v>
      </c>
      <c r="E18" s="61" t="s">
        <v>40</v>
      </c>
      <c r="F18" s="60" t="s">
        <v>41</v>
      </c>
      <c r="G18" s="62"/>
      <c r="H18" s="63" t="s">
        <v>42</v>
      </c>
      <c r="I18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89" zoomScaleNormal="89" workbookViewId="0">
      <selection activeCell="D23" sqref="D23"/>
    </sheetView>
  </sheetViews>
  <sheetFormatPr defaultColWidth="9" defaultRowHeight="13.5"/>
  <cols>
    <col min="3" max="5" width="19.6666666666667" customWidth="1"/>
    <col min="6" max="6" width="20.3333333333333" customWidth="1"/>
    <col min="7" max="7" width="35.1666666666667" customWidth="1"/>
    <col min="8" max="8" width="21.1666666666667" customWidth="1"/>
    <col min="9" max="9" width="18.3333333333333" customWidth="1"/>
    <col min="10" max="10" width="26.325" customWidth="1"/>
    <col min="12" max="12" width="27.2" customWidth="1"/>
  </cols>
  <sheetData>
    <row r="1" ht="14.25" spans="1:9">
      <c r="A1" s="27" t="s">
        <v>0</v>
      </c>
      <c r="B1" s="30" t="s">
        <v>1445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67" t="s">
        <v>2</v>
      </c>
      <c r="B3" s="67"/>
      <c r="C3" s="67"/>
      <c r="D3" s="67"/>
      <c r="E3" s="67"/>
      <c r="F3" s="67"/>
      <c r="G3" s="67"/>
      <c r="H3" s="67"/>
      <c r="I3" s="67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1446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1447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67" t="s">
        <v>12</v>
      </c>
      <c r="B9" s="67"/>
      <c r="C9" s="67"/>
      <c r="D9" s="67"/>
      <c r="E9" s="67"/>
      <c r="F9" s="67"/>
      <c r="G9" s="67"/>
      <c r="H9" s="67"/>
      <c r="I9" s="67"/>
    </row>
    <row r="10" ht="18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27.75" spans="1:9">
      <c r="A11" s="68">
        <v>1</v>
      </c>
      <c r="B11" s="69" t="s">
        <v>21</v>
      </c>
      <c r="C11" s="70"/>
      <c r="D11" s="71" t="s">
        <v>22</v>
      </c>
      <c r="E11" s="72" t="s">
        <v>22</v>
      </c>
      <c r="F11" s="71" t="s">
        <v>22</v>
      </c>
      <c r="G11" s="73" t="s">
        <v>1232</v>
      </c>
      <c r="H11" s="63" t="s">
        <v>347</v>
      </c>
      <c r="I11" s="68"/>
    </row>
    <row r="12" ht="27.75" spans="1:9">
      <c r="A12" s="68">
        <v>2</v>
      </c>
      <c r="B12" s="69" t="s">
        <v>21</v>
      </c>
      <c r="C12" s="70"/>
      <c r="D12" s="71" t="s">
        <v>378</v>
      </c>
      <c r="E12" s="72" t="s">
        <v>378</v>
      </c>
      <c r="F12" s="71" t="s">
        <v>379</v>
      </c>
      <c r="G12" s="73"/>
      <c r="H12" s="63" t="s">
        <v>1206</v>
      </c>
      <c r="I12" s="68"/>
    </row>
    <row r="13" ht="27.75" spans="1:9">
      <c r="A13" s="68">
        <v>3</v>
      </c>
      <c r="B13" s="69" t="s">
        <v>21</v>
      </c>
      <c r="C13" s="70"/>
      <c r="D13" s="71" t="s">
        <v>382</v>
      </c>
      <c r="E13" s="72" t="s">
        <v>382</v>
      </c>
      <c r="F13" s="71" t="s">
        <v>383</v>
      </c>
      <c r="G13" s="73"/>
      <c r="H13" s="63" t="s">
        <v>411</v>
      </c>
      <c r="I13" s="68"/>
    </row>
    <row r="14" ht="27.75" spans="1:12">
      <c r="A14" s="68">
        <v>4</v>
      </c>
      <c r="B14" s="69" t="s">
        <v>21</v>
      </c>
      <c r="C14" s="70"/>
      <c r="D14" s="71" t="s">
        <v>1421</v>
      </c>
      <c r="E14" s="72" t="s">
        <v>1422</v>
      </c>
      <c r="F14" s="71" t="s">
        <v>1423</v>
      </c>
      <c r="G14" s="73"/>
      <c r="H14" s="63" t="s">
        <v>24</v>
      </c>
      <c r="I14" s="68"/>
      <c r="J14" s="71" t="s">
        <v>1354</v>
      </c>
      <c r="K14" s="71" t="s">
        <v>26</v>
      </c>
      <c r="L14" s="71"/>
    </row>
    <row r="15" ht="28.5" spans="1:12">
      <c r="A15" s="68">
        <v>5</v>
      </c>
      <c r="B15" s="69" t="s">
        <v>21</v>
      </c>
      <c r="C15" s="78"/>
      <c r="D15" s="79" t="s">
        <v>1419</v>
      </c>
      <c r="E15" s="72" t="s">
        <v>1419</v>
      </c>
      <c r="F15" s="71" t="s">
        <v>1433</v>
      </c>
      <c r="G15" s="76" t="s">
        <v>1420</v>
      </c>
      <c r="H15" s="63" t="s">
        <v>347</v>
      </c>
      <c r="I15" s="68"/>
      <c r="J15" s="71"/>
      <c r="K15" s="71"/>
      <c r="L15" s="71"/>
    </row>
    <row r="16" ht="28.5" spans="1:12">
      <c r="A16" s="68">
        <v>6</v>
      </c>
      <c r="B16" s="69" t="s">
        <v>21</v>
      </c>
      <c r="C16" s="74"/>
      <c r="D16" s="75" t="s">
        <v>1434</v>
      </c>
      <c r="E16" s="72" t="s">
        <v>1435</v>
      </c>
      <c r="F16" s="71" t="s">
        <v>1436</v>
      </c>
      <c r="G16" s="77" t="s">
        <v>1437</v>
      </c>
      <c r="H16" s="63" t="s">
        <v>347</v>
      </c>
      <c r="I16" s="68"/>
      <c r="J16" s="71" t="s">
        <v>1416</v>
      </c>
      <c r="K16" s="71" t="s">
        <v>22</v>
      </c>
      <c r="L16" s="71"/>
    </row>
    <row r="17" ht="27.75" spans="1:12">
      <c r="A17" s="68">
        <v>7</v>
      </c>
      <c r="B17" s="69" t="s">
        <v>21</v>
      </c>
      <c r="C17" s="70"/>
      <c r="D17" s="71" t="s">
        <v>1321</v>
      </c>
      <c r="E17" s="72" t="s">
        <v>1322</v>
      </c>
      <c r="F17" s="71" t="s">
        <v>267</v>
      </c>
      <c r="G17" s="77"/>
      <c r="H17" s="63" t="s">
        <v>24</v>
      </c>
      <c r="I17" s="68"/>
      <c r="J17" s="71" t="s">
        <v>212</v>
      </c>
      <c r="K17" s="71" t="s">
        <v>22</v>
      </c>
      <c r="L17" s="71"/>
    </row>
    <row r="18" ht="27.75" spans="1:12">
      <c r="A18" s="68">
        <v>8</v>
      </c>
      <c r="B18" s="69" t="s">
        <v>21</v>
      </c>
      <c r="C18" s="78"/>
      <c r="D18" s="79" t="s">
        <v>1448</v>
      </c>
      <c r="E18" s="72" t="s">
        <v>1449</v>
      </c>
      <c r="F18" s="71" t="s">
        <v>1450</v>
      </c>
      <c r="G18" s="73"/>
      <c r="H18" s="63" t="s">
        <v>219</v>
      </c>
      <c r="I18" s="68"/>
      <c r="J18" s="71"/>
      <c r="K18" s="71"/>
      <c r="L18" s="71"/>
    </row>
    <row r="19" ht="27.75" spans="1:12">
      <c r="A19" s="68">
        <v>9</v>
      </c>
      <c r="B19" s="69" t="s">
        <v>21</v>
      </c>
      <c r="C19" s="70"/>
      <c r="D19" s="71" t="s">
        <v>1451</v>
      </c>
      <c r="E19" s="72" t="s">
        <v>1452</v>
      </c>
      <c r="F19" s="71" t="s">
        <v>1384</v>
      </c>
      <c r="G19" s="73">
        <v>1</v>
      </c>
      <c r="H19" s="63" t="s">
        <v>42</v>
      </c>
      <c r="I19" s="68"/>
      <c r="J19" s="71"/>
      <c r="K19" s="71"/>
      <c r="L19" s="71"/>
    </row>
    <row r="20" ht="27.75" spans="1:12">
      <c r="A20" s="68">
        <v>10</v>
      </c>
      <c r="B20" s="69" t="s">
        <v>21</v>
      </c>
      <c r="C20" s="70"/>
      <c r="D20" s="71" t="s">
        <v>1453</v>
      </c>
      <c r="E20" s="72" t="s">
        <v>1454</v>
      </c>
      <c r="F20" s="71" t="s">
        <v>1392</v>
      </c>
      <c r="G20" s="197" t="s">
        <v>1455</v>
      </c>
      <c r="H20" s="63" t="s">
        <v>411</v>
      </c>
      <c r="I20" s="68"/>
      <c r="J20" s="71"/>
      <c r="K20" s="71"/>
      <c r="L20" s="71"/>
    </row>
    <row r="21" ht="27.75" spans="1:12">
      <c r="A21" s="68">
        <v>11</v>
      </c>
      <c r="B21" s="69" t="s">
        <v>21</v>
      </c>
      <c r="C21" s="70"/>
      <c r="D21" s="71" t="s">
        <v>1456</v>
      </c>
      <c r="E21" s="72" t="s">
        <v>1457</v>
      </c>
      <c r="F21" s="71" t="s">
        <v>1458</v>
      </c>
      <c r="G21" s="73">
        <v>1</v>
      </c>
      <c r="H21" s="63" t="s">
        <v>234</v>
      </c>
      <c r="I21" s="68"/>
      <c r="J21" s="71"/>
      <c r="K21" s="71"/>
      <c r="L21" s="71"/>
    </row>
    <row r="22" ht="27.75" spans="1:12">
      <c r="A22" s="68">
        <v>12</v>
      </c>
      <c r="B22" s="69" t="s">
        <v>21</v>
      </c>
      <c r="C22" s="70"/>
      <c r="D22" s="71" t="s">
        <v>1459</v>
      </c>
      <c r="E22" s="72" t="s">
        <v>1460</v>
      </c>
      <c r="F22" s="71" t="s">
        <v>1461</v>
      </c>
      <c r="G22" s="73">
        <v>2</v>
      </c>
      <c r="H22" s="63" t="s">
        <v>234</v>
      </c>
      <c r="I22" s="68"/>
      <c r="J22" s="71"/>
      <c r="K22" s="71"/>
      <c r="L22" s="71"/>
    </row>
    <row r="23" ht="27.75" spans="1:12">
      <c r="A23" s="68">
        <v>13</v>
      </c>
      <c r="B23" s="69" t="s">
        <v>21</v>
      </c>
      <c r="C23" s="70"/>
      <c r="D23" s="71" t="s">
        <v>1462</v>
      </c>
      <c r="E23" s="72" t="s">
        <v>1463</v>
      </c>
      <c r="F23" s="71" t="s">
        <v>1464</v>
      </c>
      <c r="G23" s="73"/>
      <c r="H23" s="63" t="s">
        <v>27</v>
      </c>
      <c r="I23" s="68"/>
      <c r="J23" s="71" t="s">
        <v>4</v>
      </c>
      <c r="K23" s="71" t="s">
        <v>26</v>
      </c>
      <c r="L23" s="71" t="s">
        <v>1464</v>
      </c>
    </row>
    <row r="24" ht="27.75" spans="1:12">
      <c r="A24" s="68">
        <v>14</v>
      </c>
      <c r="B24" s="69" t="s">
        <v>21</v>
      </c>
      <c r="C24" s="70"/>
      <c r="D24" s="71" t="s">
        <v>1465</v>
      </c>
      <c r="E24" s="72" t="s">
        <v>1465</v>
      </c>
      <c r="F24" s="71" t="s">
        <v>346</v>
      </c>
      <c r="G24" s="73"/>
      <c r="H24" s="63" t="s">
        <v>347</v>
      </c>
      <c r="I24" s="68"/>
      <c r="J24" s="71" t="s">
        <v>349</v>
      </c>
      <c r="K24" s="71" t="s">
        <v>22</v>
      </c>
      <c r="L24" s="71"/>
    </row>
    <row r="25" ht="27.75" spans="1:12">
      <c r="A25" s="68">
        <v>15</v>
      </c>
      <c r="B25" s="69"/>
      <c r="C25" s="78"/>
      <c r="D25" s="79" t="s">
        <v>1466</v>
      </c>
      <c r="E25" s="72" t="s">
        <v>1291</v>
      </c>
      <c r="F25" s="71" t="s">
        <v>1292</v>
      </c>
      <c r="G25" s="73"/>
      <c r="H25" s="63" t="s">
        <v>27</v>
      </c>
      <c r="I25" s="68"/>
      <c r="J25" s="71" t="s">
        <v>4</v>
      </c>
      <c r="K25" s="71" t="s">
        <v>26</v>
      </c>
      <c r="L25" s="71" t="s">
        <v>1292</v>
      </c>
    </row>
    <row r="26" ht="27.75" spans="1:12">
      <c r="A26" s="68">
        <v>16</v>
      </c>
      <c r="B26" s="69"/>
      <c r="C26" s="78"/>
      <c r="D26" s="79" t="s">
        <v>1467</v>
      </c>
      <c r="E26" s="72" t="s">
        <v>1295</v>
      </c>
      <c r="F26" s="71" t="s">
        <v>1296</v>
      </c>
      <c r="G26" s="73"/>
      <c r="H26" s="63" t="s">
        <v>27</v>
      </c>
      <c r="I26" s="68"/>
      <c r="J26" s="71" t="s">
        <v>4</v>
      </c>
      <c r="K26" s="71" t="s">
        <v>26</v>
      </c>
      <c r="L26" s="71" t="s">
        <v>1296</v>
      </c>
    </row>
    <row r="27" ht="27.75" spans="1:12">
      <c r="A27" s="68">
        <v>17</v>
      </c>
      <c r="B27" s="69"/>
      <c r="C27" s="78"/>
      <c r="D27" s="79" t="s">
        <v>1468</v>
      </c>
      <c r="E27" s="72" t="s">
        <v>1299</v>
      </c>
      <c r="F27" s="71" t="s">
        <v>1300</v>
      </c>
      <c r="G27" s="73"/>
      <c r="H27" s="63" t="s">
        <v>27</v>
      </c>
      <c r="I27" s="68"/>
      <c r="J27" s="71" t="s">
        <v>4</v>
      </c>
      <c r="K27" s="71" t="s">
        <v>26</v>
      </c>
      <c r="L27" s="71" t="s">
        <v>1300</v>
      </c>
    </row>
    <row r="28" ht="27.75" spans="1:9">
      <c r="A28" s="68">
        <v>18</v>
      </c>
      <c r="B28" s="69" t="s">
        <v>21</v>
      </c>
      <c r="C28" s="70"/>
      <c r="D28" s="71" t="s">
        <v>1469</v>
      </c>
      <c r="E28" s="72" t="s">
        <v>1470</v>
      </c>
      <c r="F28" s="71" t="s">
        <v>1471</v>
      </c>
      <c r="G28" s="73"/>
      <c r="H28" s="63" t="s">
        <v>243</v>
      </c>
      <c r="I28" s="68"/>
    </row>
    <row r="29" ht="27.75" spans="1:9">
      <c r="A29" s="68">
        <v>19</v>
      </c>
      <c r="B29" s="69" t="s">
        <v>21</v>
      </c>
      <c r="C29" s="70"/>
      <c r="D29" s="71" t="s">
        <v>1472</v>
      </c>
      <c r="E29" s="72" t="s">
        <v>1473</v>
      </c>
      <c r="F29" s="71" t="s">
        <v>1474</v>
      </c>
      <c r="G29" s="73">
        <v>2</v>
      </c>
      <c r="H29" s="63" t="s">
        <v>243</v>
      </c>
      <c r="I29" s="68"/>
    </row>
    <row r="30" ht="27.75" spans="1:9">
      <c r="A30" s="68">
        <v>20</v>
      </c>
      <c r="B30" s="69" t="s">
        <v>21</v>
      </c>
      <c r="C30" s="70"/>
      <c r="D30" s="71" t="s">
        <v>1475</v>
      </c>
      <c r="E30" s="72" t="s">
        <v>1476</v>
      </c>
      <c r="F30" s="71" t="s">
        <v>1305</v>
      </c>
      <c r="G30" s="73"/>
      <c r="H30" s="63" t="s">
        <v>243</v>
      </c>
      <c r="I30" s="68"/>
    </row>
    <row r="31" ht="27.75" spans="1:9">
      <c r="A31" s="68">
        <v>21</v>
      </c>
      <c r="B31" s="69" t="s">
        <v>21</v>
      </c>
      <c r="C31" s="70"/>
      <c r="D31" s="71" t="s">
        <v>1477</v>
      </c>
      <c r="E31" s="72" t="s">
        <v>1478</v>
      </c>
      <c r="F31" s="71" t="s">
        <v>1479</v>
      </c>
      <c r="G31" s="73"/>
      <c r="H31" s="63" t="s">
        <v>243</v>
      </c>
      <c r="I31" s="68"/>
    </row>
    <row r="32" ht="27.75" spans="1:9">
      <c r="A32" s="68">
        <v>22</v>
      </c>
      <c r="B32" s="81" t="s">
        <v>21</v>
      </c>
      <c r="C32" s="20" t="s">
        <v>224</v>
      </c>
      <c r="D32" s="82" t="s">
        <v>40</v>
      </c>
      <c r="E32" s="72" t="s">
        <v>40</v>
      </c>
      <c r="F32" s="71" t="s">
        <v>41</v>
      </c>
      <c r="G32" s="73"/>
      <c r="H32" s="63" t="s">
        <v>42</v>
      </c>
      <c r="I32" s="6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selection activeCell="D12" sqref="D12:L13"/>
    </sheetView>
  </sheetViews>
  <sheetFormatPr defaultColWidth="9" defaultRowHeight="13.5"/>
  <cols>
    <col min="5" max="5" width="13.8333333333333" customWidth="1"/>
    <col min="6" max="6" width="12.8333333333333" customWidth="1"/>
    <col min="8" max="8" width="16.1666666666667" customWidth="1"/>
    <col min="10" max="10" width="19.9916666666667" customWidth="1"/>
  </cols>
  <sheetData>
    <row r="1" ht="14.25" spans="1:9">
      <c r="A1" s="27" t="s">
        <v>0</v>
      </c>
      <c r="B1" s="30" t="s">
        <v>1480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58" t="s">
        <v>2</v>
      </c>
      <c r="B3" s="58"/>
      <c r="C3" s="58"/>
      <c r="D3" s="58"/>
      <c r="E3" s="58"/>
      <c r="F3" s="58"/>
      <c r="G3" s="58"/>
      <c r="H3" s="58"/>
      <c r="I3" s="58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1481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1482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58" t="s">
        <v>12</v>
      </c>
      <c r="B9" s="58"/>
      <c r="C9" s="58"/>
      <c r="D9" s="58"/>
      <c r="E9" s="58"/>
      <c r="F9" s="58"/>
      <c r="G9" s="58"/>
      <c r="H9" s="58"/>
      <c r="I9" s="58"/>
    </row>
    <row r="10" ht="34.5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7.25" spans="1:9">
      <c r="A11" s="36">
        <v>1</v>
      </c>
      <c r="B11" s="59" t="s">
        <v>21</v>
      </c>
      <c r="C11" s="60"/>
      <c r="D11" s="60" t="s">
        <v>22</v>
      </c>
      <c r="E11" s="61" t="s">
        <v>22</v>
      </c>
      <c r="F11" s="60" t="s">
        <v>22</v>
      </c>
      <c r="G11" s="62"/>
      <c r="H11" s="63" t="s">
        <v>347</v>
      </c>
      <c r="I11" s="62"/>
    </row>
    <row r="12" ht="17.25" spans="1:13">
      <c r="A12" s="36">
        <v>2</v>
      </c>
      <c r="B12" s="59" t="s">
        <v>21</v>
      </c>
      <c r="C12" s="60"/>
      <c r="D12" s="60" t="s">
        <v>1483</v>
      </c>
      <c r="E12" s="61" t="s">
        <v>1445</v>
      </c>
      <c r="F12" s="60" t="s">
        <v>1484</v>
      </c>
      <c r="G12" s="62"/>
      <c r="H12" s="63" t="s">
        <v>347</v>
      </c>
      <c r="I12" s="62" t="s">
        <v>1445</v>
      </c>
      <c r="J12" s="31" t="s">
        <v>1446</v>
      </c>
      <c r="K12" s="31" t="s">
        <v>22</v>
      </c>
      <c r="L12" s="31"/>
      <c r="M12" s="31"/>
    </row>
    <row r="13" ht="17.25" spans="1:11">
      <c r="A13" s="36">
        <v>3</v>
      </c>
      <c r="B13" s="59" t="s">
        <v>21</v>
      </c>
      <c r="C13" s="60"/>
      <c r="D13" s="60" t="s">
        <v>1485</v>
      </c>
      <c r="E13" s="61" t="s">
        <v>1486</v>
      </c>
      <c r="F13" s="60" t="s">
        <v>162</v>
      </c>
      <c r="G13" s="62"/>
      <c r="H13" s="63" t="s">
        <v>24</v>
      </c>
      <c r="I13" s="62" t="s">
        <v>1487</v>
      </c>
      <c r="J13" s="37" t="s">
        <v>161</v>
      </c>
      <c r="K13" s="37" t="s">
        <v>162</v>
      </c>
    </row>
    <row r="14" ht="17.25" spans="1:9">
      <c r="A14" s="36">
        <v>4</v>
      </c>
      <c r="B14" s="59" t="s">
        <v>21</v>
      </c>
      <c r="C14" s="60"/>
      <c r="D14" s="60" t="s">
        <v>378</v>
      </c>
      <c r="E14" s="61" t="s">
        <v>1325</v>
      </c>
      <c r="F14" s="60" t="s">
        <v>379</v>
      </c>
      <c r="G14" s="62"/>
      <c r="H14" s="63" t="s">
        <v>1206</v>
      </c>
      <c r="I14" s="62"/>
    </row>
    <row r="15" ht="17.25" spans="1:9">
      <c r="A15" s="36">
        <v>5</v>
      </c>
      <c r="B15" s="59" t="s">
        <v>21</v>
      </c>
      <c r="C15" s="60"/>
      <c r="D15" s="60" t="s">
        <v>382</v>
      </c>
      <c r="E15" s="61" t="s">
        <v>1326</v>
      </c>
      <c r="F15" s="60" t="s">
        <v>383</v>
      </c>
      <c r="G15" s="62"/>
      <c r="H15" s="63" t="s">
        <v>411</v>
      </c>
      <c r="I15" s="62"/>
    </row>
    <row r="16" ht="17.25" spans="1:9">
      <c r="A16" s="36">
        <v>6</v>
      </c>
      <c r="B16" s="59" t="s">
        <v>21</v>
      </c>
      <c r="C16" s="20" t="s">
        <v>224</v>
      </c>
      <c r="D16" s="66" t="s">
        <v>40</v>
      </c>
      <c r="E16" s="61" t="s">
        <v>40</v>
      </c>
      <c r="F16" s="60" t="s">
        <v>41</v>
      </c>
      <c r="G16" s="62"/>
      <c r="H16" s="63" t="s">
        <v>42</v>
      </c>
      <c r="I16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zoomScale="85" zoomScaleNormal="85" topLeftCell="A16" workbookViewId="0">
      <selection activeCell="F24" sqref="F24"/>
    </sheetView>
  </sheetViews>
  <sheetFormatPr defaultColWidth="9" defaultRowHeight="13.5"/>
  <cols>
    <col min="3" max="5" width="19.6666666666667" customWidth="1"/>
    <col min="6" max="6" width="20.3333333333333" customWidth="1"/>
    <col min="7" max="7" width="35.1666666666667" customWidth="1"/>
    <col min="8" max="8" width="21.1666666666667" customWidth="1"/>
    <col min="9" max="9" width="36.8333333333333" customWidth="1"/>
    <col min="10" max="10" width="17.6333333333333" customWidth="1"/>
    <col min="11" max="11" width="12.35" customWidth="1"/>
    <col min="12" max="12" width="21.175" customWidth="1"/>
  </cols>
  <sheetData>
    <row r="1" ht="14.25" spans="1:9">
      <c r="A1" s="27" t="s">
        <v>0</v>
      </c>
      <c r="B1" s="30" t="s">
        <v>1488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67" t="s">
        <v>2</v>
      </c>
      <c r="B3" s="67"/>
      <c r="C3" s="67"/>
      <c r="D3" s="67"/>
      <c r="E3" s="67"/>
      <c r="F3" s="67"/>
      <c r="G3" s="67"/>
      <c r="H3" s="67"/>
      <c r="I3" s="67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1489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1490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67" t="s">
        <v>12</v>
      </c>
      <c r="B9" s="67"/>
      <c r="C9" s="67"/>
      <c r="D9" s="67"/>
      <c r="E9" s="67"/>
      <c r="F9" s="67"/>
      <c r="G9" s="67"/>
      <c r="H9" s="67"/>
      <c r="I9" s="67"/>
    </row>
    <row r="10" ht="18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27.75" spans="1:9">
      <c r="A11" s="68">
        <v>1</v>
      </c>
      <c r="B11" s="69" t="s">
        <v>21</v>
      </c>
      <c r="C11" s="70"/>
      <c r="D11" s="71" t="s">
        <v>22</v>
      </c>
      <c r="E11" s="72" t="s">
        <v>22</v>
      </c>
      <c r="F11" s="71" t="s">
        <v>22</v>
      </c>
      <c r="G11" s="73" t="s">
        <v>1232</v>
      </c>
      <c r="H11" s="63" t="s">
        <v>347</v>
      </c>
      <c r="I11" s="68"/>
    </row>
    <row r="12" ht="27.75" spans="1:9">
      <c r="A12" s="68">
        <v>2</v>
      </c>
      <c r="B12" s="69" t="s">
        <v>21</v>
      </c>
      <c r="C12" s="70"/>
      <c r="D12" s="71" t="s">
        <v>378</v>
      </c>
      <c r="E12" s="72" t="s">
        <v>378</v>
      </c>
      <c r="F12" s="71" t="s">
        <v>379</v>
      </c>
      <c r="G12" s="73"/>
      <c r="H12" s="63" t="s">
        <v>1206</v>
      </c>
      <c r="I12" s="68"/>
    </row>
    <row r="13" ht="27.75" spans="1:9">
      <c r="A13" s="68">
        <v>3</v>
      </c>
      <c r="B13" s="69" t="s">
        <v>21</v>
      </c>
      <c r="C13" s="70"/>
      <c r="D13" s="71" t="s">
        <v>382</v>
      </c>
      <c r="E13" s="72" t="s">
        <v>382</v>
      </c>
      <c r="F13" s="71" t="s">
        <v>383</v>
      </c>
      <c r="G13" s="73"/>
      <c r="H13" s="63" t="s">
        <v>411</v>
      </c>
      <c r="I13" s="68"/>
    </row>
    <row r="14" ht="27.75" spans="1:13">
      <c r="A14" s="68">
        <v>4</v>
      </c>
      <c r="B14" s="69" t="s">
        <v>21</v>
      </c>
      <c r="C14" s="70"/>
      <c r="D14" s="71" t="s">
        <v>1421</v>
      </c>
      <c r="E14" s="72" t="s">
        <v>1491</v>
      </c>
      <c r="F14" s="71" t="s">
        <v>1423</v>
      </c>
      <c r="G14" s="73"/>
      <c r="H14" s="63" t="s">
        <v>24</v>
      </c>
      <c r="I14" s="68"/>
      <c r="J14" s="71" t="s">
        <v>1354</v>
      </c>
      <c r="K14" s="71" t="s">
        <v>26</v>
      </c>
      <c r="L14" s="71"/>
      <c r="M14" s="71"/>
    </row>
    <row r="15" ht="28.5" spans="1:13">
      <c r="A15" s="68">
        <v>5</v>
      </c>
      <c r="B15" s="69" t="s">
        <v>21</v>
      </c>
      <c r="C15" s="74"/>
      <c r="D15" s="75" t="s">
        <v>1419</v>
      </c>
      <c r="E15" s="72" t="s">
        <v>1419</v>
      </c>
      <c r="F15" s="71" t="s">
        <v>1433</v>
      </c>
      <c r="G15" s="76" t="s">
        <v>1420</v>
      </c>
      <c r="H15" s="63" t="s">
        <v>347</v>
      </c>
      <c r="I15" s="68"/>
      <c r="J15" s="71"/>
      <c r="K15" s="71"/>
      <c r="L15" s="71"/>
      <c r="M15" s="71"/>
    </row>
    <row r="16" ht="28.5" spans="1:13">
      <c r="A16" s="68">
        <v>6</v>
      </c>
      <c r="B16" s="69" t="s">
        <v>21</v>
      </c>
      <c r="C16" s="74"/>
      <c r="D16" s="75" t="s">
        <v>1434</v>
      </c>
      <c r="E16" s="72" t="s">
        <v>1435</v>
      </c>
      <c r="F16" s="71" t="s">
        <v>1436</v>
      </c>
      <c r="G16" s="77" t="s">
        <v>1437</v>
      </c>
      <c r="H16" s="63" t="s">
        <v>347</v>
      </c>
      <c r="I16" s="68"/>
      <c r="J16" s="71" t="s">
        <v>1416</v>
      </c>
      <c r="K16" s="71" t="s">
        <v>22</v>
      </c>
      <c r="L16" s="71"/>
      <c r="M16" s="71"/>
    </row>
    <row r="17" ht="27.75" spans="1:13">
      <c r="A17" s="68">
        <v>7</v>
      </c>
      <c r="B17" s="69" t="s">
        <v>21</v>
      </c>
      <c r="C17" s="70"/>
      <c r="D17" s="71" t="s">
        <v>1321</v>
      </c>
      <c r="E17" s="72" t="s">
        <v>1322</v>
      </c>
      <c r="F17" s="71" t="s">
        <v>267</v>
      </c>
      <c r="G17" s="77"/>
      <c r="H17" s="63" t="s">
        <v>24</v>
      </c>
      <c r="I17" s="68"/>
      <c r="J17" s="71" t="s">
        <v>212</v>
      </c>
      <c r="K17" s="71" t="s">
        <v>22</v>
      </c>
      <c r="L17" s="71"/>
      <c r="M17" s="71"/>
    </row>
    <row r="18" ht="27.75" spans="1:13">
      <c r="A18" s="68">
        <v>8</v>
      </c>
      <c r="B18" s="69" t="s">
        <v>21</v>
      </c>
      <c r="C18" s="78"/>
      <c r="D18" s="79" t="s">
        <v>1492</v>
      </c>
      <c r="E18" s="72" t="s">
        <v>1493</v>
      </c>
      <c r="F18" s="71" t="s">
        <v>1450</v>
      </c>
      <c r="G18" s="73"/>
      <c r="H18" s="63" t="s">
        <v>219</v>
      </c>
      <c r="I18" s="68"/>
      <c r="J18" s="71"/>
      <c r="K18" s="71"/>
      <c r="L18" s="71"/>
      <c r="M18" s="71"/>
    </row>
    <row r="19" ht="27.75" spans="1:13">
      <c r="A19" s="68">
        <v>9</v>
      </c>
      <c r="B19" s="69" t="s">
        <v>21</v>
      </c>
      <c r="C19" s="70"/>
      <c r="D19" s="71" t="s">
        <v>1451</v>
      </c>
      <c r="E19" s="72" t="s">
        <v>1452</v>
      </c>
      <c r="F19" s="71" t="s">
        <v>1384</v>
      </c>
      <c r="G19" s="73">
        <v>1</v>
      </c>
      <c r="H19" s="63" t="s">
        <v>42</v>
      </c>
      <c r="I19" s="68"/>
      <c r="J19" s="71"/>
      <c r="K19" s="71"/>
      <c r="L19" s="71"/>
      <c r="M19" s="71"/>
    </row>
    <row r="20" ht="27.75" spans="1:13">
      <c r="A20" s="68">
        <v>10</v>
      </c>
      <c r="B20" s="69" t="s">
        <v>21</v>
      </c>
      <c r="C20" s="70"/>
      <c r="D20" s="71" t="s">
        <v>1453</v>
      </c>
      <c r="E20" s="72" t="s">
        <v>1454</v>
      </c>
      <c r="F20" s="71" t="s">
        <v>1392</v>
      </c>
      <c r="G20" s="197" t="s">
        <v>1455</v>
      </c>
      <c r="H20" s="63" t="s">
        <v>411</v>
      </c>
      <c r="I20" s="68"/>
      <c r="J20" s="71"/>
      <c r="K20" s="71"/>
      <c r="L20" s="71"/>
      <c r="M20" s="71"/>
    </row>
    <row r="21" ht="27.75" spans="1:13">
      <c r="A21" s="68">
        <v>11</v>
      </c>
      <c r="B21" s="69" t="s">
        <v>21</v>
      </c>
      <c r="C21" s="70"/>
      <c r="D21" s="71" t="s">
        <v>1456</v>
      </c>
      <c r="E21" s="72" t="s">
        <v>1457</v>
      </c>
      <c r="F21" s="71" t="s">
        <v>1458</v>
      </c>
      <c r="G21" s="73">
        <v>1</v>
      </c>
      <c r="H21" s="63" t="s">
        <v>234</v>
      </c>
      <c r="I21" s="68"/>
      <c r="J21" s="71"/>
      <c r="K21" s="71"/>
      <c r="L21" s="71"/>
      <c r="M21" s="71"/>
    </row>
    <row r="22" ht="27.75" spans="1:13">
      <c r="A22" s="68">
        <v>12</v>
      </c>
      <c r="B22" s="69" t="s">
        <v>21</v>
      </c>
      <c r="C22" s="70"/>
      <c r="D22" s="71" t="s">
        <v>1459</v>
      </c>
      <c r="E22" s="72" t="s">
        <v>1460</v>
      </c>
      <c r="F22" s="71" t="s">
        <v>1461</v>
      </c>
      <c r="G22" s="73">
        <v>2</v>
      </c>
      <c r="H22" s="63" t="s">
        <v>234</v>
      </c>
      <c r="I22" s="68"/>
      <c r="J22" s="71"/>
      <c r="K22" s="71"/>
      <c r="L22" s="71"/>
      <c r="M22" s="71"/>
    </row>
    <row r="23" ht="27.75" spans="1:13">
      <c r="A23" s="68">
        <v>13</v>
      </c>
      <c r="B23" s="69" t="s">
        <v>21</v>
      </c>
      <c r="C23" s="70"/>
      <c r="D23" s="71" t="s">
        <v>1462</v>
      </c>
      <c r="E23" s="72" t="s">
        <v>1463</v>
      </c>
      <c r="F23" s="71" t="s">
        <v>1464</v>
      </c>
      <c r="G23" s="73"/>
      <c r="H23" s="63" t="s">
        <v>27</v>
      </c>
      <c r="I23" s="68"/>
      <c r="J23" s="71" t="s">
        <v>4</v>
      </c>
      <c r="K23" s="71" t="s">
        <v>26</v>
      </c>
      <c r="L23" s="71" t="s">
        <v>1464</v>
      </c>
      <c r="M23" s="71"/>
    </row>
    <row r="24" ht="27.75" spans="1:13">
      <c r="A24" s="68">
        <v>14</v>
      </c>
      <c r="B24" s="69" t="s">
        <v>21</v>
      </c>
      <c r="C24" s="70"/>
      <c r="D24" s="71" t="s">
        <v>1465</v>
      </c>
      <c r="E24" s="72" t="s">
        <v>1465</v>
      </c>
      <c r="F24" s="71" t="s">
        <v>346</v>
      </c>
      <c r="G24" s="73"/>
      <c r="H24" s="63" t="s">
        <v>347</v>
      </c>
      <c r="I24" s="68"/>
      <c r="J24" s="71" t="s">
        <v>349</v>
      </c>
      <c r="K24" s="71" t="s">
        <v>22</v>
      </c>
      <c r="L24" s="71"/>
      <c r="M24" s="71"/>
    </row>
    <row r="25" ht="27.75" spans="1:13">
      <c r="A25" s="68">
        <v>15</v>
      </c>
      <c r="B25" s="69"/>
      <c r="C25" s="78"/>
      <c r="D25" s="79" t="s">
        <v>1466</v>
      </c>
      <c r="E25" s="72" t="s">
        <v>1291</v>
      </c>
      <c r="F25" s="71" t="s">
        <v>1292</v>
      </c>
      <c r="G25" s="73"/>
      <c r="H25" s="63" t="s">
        <v>27</v>
      </c>
      <c r="I25" s="68"/>
      <c r="J25" s="71" t="s">
        <v>4</v>
      </c>
      <c r="K25" s="71" t="s">
        <v>26</v>
      </c>
      <c r="L25" s="71" t="s">
        <v>1292</v>
      </c>
      <c r="M25" s="71"/>
    </row>
    <row r="26" ht="27.75" spans="1:13">
      <c r="A26" s="68">
        <v>16</v>
      </c>
      <c r="B26" s="69"/>
      <c r="C26" s="78"/>
      <c r="D26" s="79" t="s">
        <v>1467</v>
      </c>
      <c r="E26" s="72" t="s">
        <v>1295</v>
      </c>
      <c r="F26" s="71" t="s">
        <v>1296</v>
      </c>
      <c r="G26" s="73"/>
      <c r="H26" s="63" t="s">
        <v>27</v>
      </c>
      <c r="I26" s="68"/>
      <c r="J26" s="71" t="s">
        <v>4</v>
      </c>
      <c r="K26" s="71" t="s">
        <v>26</v>
      </c>
      <c r="L26" s="71" t="s">
        <v>1296</v>
      </c>
      <c r="M26" s="71"/>
    </row>
    <row r="27" ht="27.75" spans="1:13">
      <c r="A27" s="68">
        <v>17</v>
      </c>
      <c r="B27" s="69"/>
      <c r="C27" s="78"/>
      <c r="D27" s="79" t="s">
        <v>1468</v>
      </c>
      <c r="E27" s="72" t="s">
        <v>1299</v>
      </c>
      <c r="F27" s="71" t="s">
        <v>1300</v>
      </c>
      <c r="G27" s="73"/>
      <c r="H27" s="63" t="s">
        <v>27</v>
      </c>
      <c r="I27" s="68"/>
      <c r="J27" s="71" t="s">
        <v>4</v>
      </c>
      <c r="K27" s="71" t="s">
        <v>26</v>
      </c>
      <c r="L27" s="71" t="s">
        <v>1300</v>
      </c>
      <c r="M27" s="71"/>
    </row>
    <row r="28" ht="27.75" spans="1:13">
      <c r="A28" s="68">
        <v>18</v>
      </c>
      <c r="B28" s="69" t="s">
        <v>21</v>
      </c>
      <c r="C28" s="78"/>
      <c r="D28" s="79" t="s">
        <v>1469</v>
      </c>
      <c r="E28" s="72" t="s">
        <v>1470</v>
      </c>
      <c r="F28" s="71" t="s">
        <v>1471</v>
      </c>
      <c r="G28" s="73"/>
      <c r="H28" s="63" t="s">
        <v>243</v>
      </c>
      <c r="I28" s="68"/>
      <c r="J28" s="71"/>
      <c r="K28" s="71"/>
      <c r="L28" s="71"/>
      <c r="M28" s="71"/>
    </row>
    <row r="29" ht="27.75" spans="1:13">
      <c r="A29" s="68">
        <v>19</v>
      </c>
      <c r="B29" s="69" t="s">
        <v>21</v>
      </c>
      <c r="C29" s="70"/>
      <c r="D29" s="71" t="s">
        <v>1472</v>
      </c>
      <c r="E29" s="72" t="s">
        <v>1494</v>
      </c>
      <c r="F29" s="71" t="s">
        <v>1474</v>
      </c>
      <c r="G29" s="73">
        <v>2</v>
      </c>
      <c r="H29" s="63" t="s">
        <v>243</v>
      </c>
      <c r="I29" s="68"/>
      <c r="J29" s="71"/>
      <c r="K29" s="71"/>
      <c r="L29" s="71"/>
      <c r="M29" s="71"/>
    </row>
    <row r="30" ht="27.75" spans="1:13">
      <c r="A30" s="68">
        <v>20</v>
      </c>
      <c r="B30" s="69" t="s">
        <v>21</v>
      </c>
      <c r="C30" s="70"/>
      <c r="D30" s="71" t="s">
        <v>1475</v>
      </c>
      <c r="E30" s="72" t="s">
        <v>1476</v>
      </c>
      <c r="F30" s="71" t="s">
        <v>1305</v>
      </c>
      <c r="G30" s="73"/>
      <c r="H30" s="63" t="s">
        <v>243</v>
      </c>
      <c r="I30" s="68"/>
      <c r="J30" s="71"/>
      <c r="K30" s="71"/>
      <c r="L30" s="71"/>
      <c r="M30" s="71"/>
    </row>
    <row r="31" ht="27.75" spans="1:13">
      <c r="A31" s="68">
        <v>21</v>
      </c>
      <c r="B31" s="69" t="s">
        <v>21</v>
      </c>
      <c r="C31" s="70"/>
      <c r="D31" s="71" t="s">
        <v>1477</v>
      </c>
      <c r="E31" s="72" t="s">
        <v>1478</v>
      </c>
      <c r="F31" s="71" t="s">
        <v>1479</v>
      </c>
      <c r="G31" s="73"/>
      <c r="H31" s="63" t="s">
        <v>243</v>
      </c>
      <c r="I31" s="68"/>
      <c r="J31" s="71"/>
      <c r="K31" s="71"/>
      <c r="L31" s="71"/>
      <c r="M31" s="71"/>
    </row>
    <row r="32" ht="27.75" spans="1:13">
      <c r="A32" s="68">
        <v>22</v>
      </c>
      <c r="B32" s="81" t="s">
        <v>21</v>
      </c>
      <c r="C32" s="20" t="s">
        <v>224</v>
      </c>
      <c r="D32" s="82" t="s">
        <v>40</v>
      </c>
      <c r="E32" s="61" t="s">
        <v>40</v>
      </c>
      <c r="F32" s="71" t="s">
        <v>41</v>
      </c>
      <c r="G32" s="73"/>
      <c r="H32" s="63" t="s">
        <v>42</v>
      </c>
      <c r="I32" s="68"/>
      <c r="J32" s="71"/>
      <c r="K32" s="71"/>
      <c r="L32" s="71"/>
      <c r="M32" s="71"/>
    </row>
    <row r="33" ht="27.75" spans="1:13">
      <c r="A33" s="68">
        <v>23</v>
      </c>
      <c r="B33" s="81" t="s">
        <v>21</v>
      </c>
      <c r="C33" s="71"/>
      <c r="D33" s="71" t="s">
        <v>1495</v>
      </c>
      <c r="E33" s="72" t="s">
        <v>1495</v>
      </c>
      <c r="F33" s="71" t="s">
        <v>1496</v>
      </c>
      <c r="G33" s="73" t="s">
        <v>1497</v>
      </c>
      <c r="H33" s="63" t="s">
        <v>27</v>
      </c>
      <c r="I33" s="68"/>
      <c r="J33" s="71"/>
      <c r="K33" s="71"/>
      <c r="L33" s="71"/>
      <c r="M33" s="71"/>
    </row>
    <row r="34" ht="27.75" spans="1:13">
      <c r="A34" s="68">
        <v>24</v>
      </c>
      <c r="B34" s="69" t="s">
        <v>21</v>
      </c>
      <c r="C34" s="70"/>
      <c r="D34" s="71" t="s">
        <v>1498</v>
      </c>
      <c r="E34" s="72" t="s">
        <v>1498</v>
      </c>
      <c r="F34" s="71" t="s">
        <v>1499</v>
      </c>
      <c r="G34" s="73" t="s">
        <v>1497</v>
      </c>
      <c r="H34" s="63" t="s">
        <v>27</v>
      </c>
      <c r="I34" s="68"/>
      <c r="J34" s="71"/>
      <c r="K34" s="71"/>
      <c r="L34" s="71"/>
      <c r="M34" s="71"/>
    </row>
    <row r="35" ht="27.75" spans="1:13">
      <c r="A35" s="68">
        <v>25</v>
      </c>
      <c r="B35" s="81" t="s">
        <v>21</v>
      </c>
      <c r="C35" s="71"/>
      <c r="D35" s="71" t="s">
        <v>1500</v>
      </c>
      <c r="E35" s="72" t="s">
        <v>1500</v>
      </c>
      <c r="F35" s="71" t="s">
        <v>839</v>
      </c>
      <c r="G35" s="73" t="s">
        <v>1501</v>
      </c>
      <c r="H35" s="63" t="s">
        <v>27</v>
      </c>
      <c r="I35" s="68"/>
      <c r="J35" s="71"/>
      <c r="K35" s="71"/>
      <c r="L35" s="71"/>
      <c r="M35" s="71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30" zoomScaleNormal="130" topLeftCell="A2" workbookViewId="0">
      <selection activeCell="F4" sqref="F4:I4"/>
    </sheetView>
  </sheetViews>
  <sheetFormatPr defaultColWidth="9" defaultRowHeight="13.5"/>
  <cols>
    <col min="5" max="5" width="14.3333333333333" customWidth="1"/>
    <col min="6" max="6" width="15.6666666666667" customWidth="1"/>
    <col min="8" max="8" width="16.1666666666667" customWidth="1"/>
    <col min="9" max="9" width="32.1666666666667" customWidth="1"/>
    <col min="10" max="10" width="17.0166666666667" customWidth="1"/>
  </cols>
  <sheetData>
    <row r="1" ht="14.25" spans="1:9">
      <c r="A1" s="27" t="s">
        <v>0</v>
      </c>
      <c r="B1" s="30" t="s">
        <v>1502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58" t="s">
        <v>2</v>
      </c>
      <c r="B3" s="58"/>
      <c r="C3" s="58"/>
      <c r="D3" s="58"/>
      <c r="E3" s="58"/>
      <c r="F3" s="58"/>
      <c r="G3" s="58"/>
      <c r="H3" s="58"/>
      <c r="I3" s="58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1503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1504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58" t="s">
        <v>12</v>
      </c>
      <c r="B9" s="58"/>
      <c r="C9" s="58"/>
      <c r="D9" s="58"/>
      <c r="E9" s="58"/>
      <c r="F9" s="58"/>
      <c r="G9" s="58"/>
      <c r="H9" s="58"/>
      <c r="I9" s="58"/>
    </row>
    <row r="10" ht="34.5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7.25" spans="1:9">
      <c r="A11" s="36">
        <v>1</v>
      </c>
      <c r="B11" s="59" t="s">
        <v>21</v>
      </c>
      <c r="C11" s="60"/>
      <c r="D11" s="60" t="s">
        <v>22</v>
      </c>
      <c r="E11" s="61" t="s">
        <v>22</v>
      </c>
      <c r="F11" s="60" t="s">
        <v>22</v>
      </c>
      <c r="G11" s="62"/>
      <c r="H11" s="63" t="s">
        <v>347</v>
      </c>
      <c r="I11" s="62"/>
    </row>
    <row r="12" ht="17.25" spans="1:11">
      <c r="A12" s="36">
        <v>2</v>
      </c>
      <c r="B12" s="59" t="s">
        <v>21</v>
      </c>
      <c r="C12" s="60"/>
      <c r="D12" s="60" t="s">
        <v>1505</v>
      </c>
      <c r="E12" s="61" t="s">
        <v>1506</v>
      </c>
      <c r="F12" s="60" t="s">
        <v>1507</v>
      </c>
      <c r="G12" s="62"/>
      <c r="H12" s="63" t="s">
        <v>347</v>
      </c>
      <c r="I12" s="62"/>
      <c r="J12" t="s">
        <v>1489</v>
      </c>
      <c r="K12" t="s">
        <v>22</v>
      </c>
    </row>
    <row r="13" ht="17.25" spans="1:11">
      <c r="A13" s="36">
        <v>3</v>
      </c>
      <c r="B13" s="59" t="s">
        <v>21</v>
      </c>
      <c r="C13" s="60"/>
      <c r="D13" s="60" t="s">
        <v>1485</v>
      </c>
      <c r="E13" s="61" t="s">
        <v>731</v>
      </c>
      <c r="F13" s="60" t="s">
        <v>162</v>
      </c>
      <c r="G13" s="62"/>
      <c r="H13" s="63" t="s">
        <v>24</v>
      </c>
      <c r="I13" s="62"/>
      <c r="J13" s="37" t="s">
        <v>161</v>
      </c>
      <c r="K13" s="37" t="s">
        <v>162</v>
      </c>
    </row>
    <row r="14" ht="17.25" spans="1:9">
      <c r="A14" s="36">
        <v>4</v>
      </c>
      <c r="B14" s="59" t="s">
        <v>21</v>
      </c>
      <c r="C14" s="60"/>
      <c r="D14" s="60" t="s">
        <v>378</v>
      </c>
      <c r="E14" s="61" t="s">
        <v>1325</v>
      </c>
      <c r="F14" s="60" t="s">
        <v>379</v>
      </c>
      <c r="G14" s="62"/>
      <c r="H14" s="63" t="s">
        <v>1206</v>
      </c>
      <c r="I14" s="62"/>
    </row>
    <row r="15" ht="17.25" spans="1:9">
      <c r="A15" s="36">
        <v>5</v>
      </c>
      <c r="B15" s="59" t="s">
        <v>21</v>
      </c>
      <c r="C15" s="60"/>
      <c r="D15" s="60" t="s">
        <v>382</v>
      </c>
      <c r="E15" s="61" t="s">
        <v>1326</v>
      </c>
      <c r="F15" s="60" t="s">
        <v>383</v>
      </c>
      <c r="G15" s="62"/>
      <c r="H15" s="63" t="s">
        <v>411</v>
      </c>
      <c r="I15" s="62"/>
    </row>
    <row r="16" ht="17.25" spans="1:9">
      <c r="A16" s="36">
        <v>6</v>
      </c>
      <c r="B16" s="59" t="s">
        <v>21</v>
      </c>
      <c r="C16" s="20" t="s">
        <v>224</v>
      </c>
      <c r="D16" s="66" t="s">
        <v>40</v>
      </c>
      <c r="E16" s="61" t="s">
        <v>40</v>
      </c>
      <c r="F16" s="60" t="s">
        <v>41</v>
      </c>
      <c r="G16" s="62"/>
      <c r="H16" s="63" t="s">
        <v>42</v>
      </c>
      <c r="I16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30" zoomScaleNormal="130" topLeftCell="C1" workbookViewId="0">
      <selection activeCell="F16" sqref="F16"/>
    </sheetView>
  </sheetViews>
  <sheetFormatPr defaultColWidth="9" defaultRowHeight="13.5"/>
  <cols>
    <col min="5" max="5" width="12.5" customWidth="1"/>
    <col min="6" max="6" width="16.1666666666667" customWidth="1"/>
    <col min="8" max="8" width="14.6666666666667" customWidth="1"/>
    <col min="10" max="10" width="23.6416666666667" customWidth="1"/>
  </cols>
  <sheetData>
    <row r="1" ht="14.25" spans="1:9">
      <c r="A1" s="27" t="s">
        <v>0</v>
      </c>
      <c r="B1" s="30" t="s">
        <v>1508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58" t="s">
        <v>2</v>
      </c>
      <c r="B3" s="58"/>
      <c r="C3" s="58"/>
      <c r="D3" s="58"/>
      <c r="E3" s="58"/>
      <c r="F3" s="58"/>
      <c r="G3" s="58"/>
      <c r="H3" s="58"/>
      <c r="I3" s="58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1509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1417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58" t="s">
        <v>12</v>
      </c>
      <c r="B9" s="58"/>
      <c r="C9" s="58"/>
      <c r="D9" s="58"/>
      <c r="E9" s="58"/>
      <c r="F9" s="58"/>
      <c r="G9" s="58"/>
      <c r="H9" s="58"/>
      <c r="I9" s="58"/>
    </row>
    <row r="10" ht="34.5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7.25" spans="1:9">
      <c r="A11" s="36">
        <v>1</v>
      </c>
      <c r="B11" s="59" t="s">
        <v>21</v>
      </c>
      <c r="C11" s="60"/>
      <c r="D11" s="60" t="s">
        <v>22</v>
      </c>
      <c r="E11" s="61" t="s">
        <v>22</v>
      </c>
      <c r="F11" s="60" t="s">
        <v>22</v>
      </c>
      <c r="G11" s="62"/>
      <c r="H11" s="63" t="s">
        <v>30</v>
      </c>
      <c r="I11" s="62"/>
    </row>
    <row r="12" ht="21" customHeight="1" spans="1:11">
      <c r="A12" s="36">
        <v>2</v>
      </c>
      <c r="B12" s="59" t="s">
        <v>21</v>
      </c>
      <c r="C12" s="60"/>
      <c r="D12" s="60" t="s">
        <v>1434</v>
      </c>
      <c r="E12" s="61" t="s">
        <v>1510</v>
      </c>
      <c r="F12" s="60" t="s">
        <v>1436</v>
      </c>
      <c r="G12" s="62"/>
      <c r="H12" s="63" t="s">
        <v>30</v>
      </c>
      <c r="I12" s="62"/>
      <c r="J12" s="5" t="s">
        <v>1416</v>
      </c>
      <c r="K12" s="5" t="s">
        <v>22</v>
      </c>
    </row>
    <row r="13" ht="17.25" spans="1:11">
      <c r="A13" s="36">
        <v>3</v>
      </c>
      <c r="B13" s="59" t="s">
        <v>21</v>
      </c>
      <c r="C13" s="60"/>
      <c r="D13" s="60" t="s">
        <v>1269</v>
      </c>
      <c r="E13" s="61" t="s">
        <v>814</v>
      </c>
      <c r="F13" s="60" t="s">
        <v>304</v>
      </c>
      <c r="G13" s="62"/>
      <c r="H13" s="63" t="s">
        <v>24</v>
      </c>
      <c r="I13" s="62"/>
      <c r="J13" t="s">
        <v>307</v>
      </c>
      <c r="K13" t="s">
        <v>26</v>
      </c>
    </row>
    <row r="14" ht="17.25" spans="1:9">
      <c r="A14" s="36">
        <v>4</v>
      </c>
      <c r="B14" s="59" t="s">
        <v>21</v>
      </c>
      <c r="C14" s="60"/>
      <c r="D14" s="60" t="s">
        <v>378</v>
      </c>
      <c r="E14" s="61" t="s">
        <v>378</v>
      </c>
      <c r="F14" s="60" t="s">
        <v>379</v>
      </c>
      <c r="G14" s="62"/>
      <c r="H14" s="63" t="s">
        <v>1206</v>
      </c>
      <c r="I14" s="62"/>
    </row>
    <row r="15" ht="17.25" spans="1:9">
      <c r="A15" s="36">
        <v>5</v>
      </c>
      <c r="B15" s="59" t="s">
        <v>21</v>
      </c>
      <c r="C15" s="60"/>
      <c r="D15" s="60" t="s">
        <v>382</v>
      </c>
      <c r="E15" s="61" t="s">
        <v>382</v>
      </c>
      <c r="F15" s="60" t="s">
        <v>383</v>
      </c>
      <c r="G15" s="62"/>
      <c r="H15" s="63" t="s">
        <v>411</v>
      </c>
      <c r="I15" s="62"/>
    </row>
    <row r="16" ht="17.25" spans="1:9">
      <c r="A16" s="36">
        <v>6</v>
      </c>
      <c r="B16" s="59" t="s">
        <v>21</v>
      </c>
      <c r="C16" s="60"/>
      <c r="D16" s="60" t="s">
        <v>800</v>
      </c>
      <c r="E16" s="61" t="s">
        <v>801</v>
      </c>
      <c r="F16" s="60" t="s">
        <v>802</v>
      </c>
      <c r="G16" s="62"/>
      <c r="H16" s="63" t="s">
        <v>243</v>
      </c>
      <c r="I16" s="62"/>
    </row>
    <row r="17" ht="17.25" spans="1:9">
      <c r="A17" s="36">
        <v>7</v>
      </c>
      <c r="B17" s="65" t="s">
        <v>21</v>
      </c>
      <c r="C17" s="20" t="s">
        <v>224</v>
      </c>
      <c r="D17" s="66" t="s">
        <v>40</v>
      </c>
      <c r="E17" s="61" t="s">
        <v>40</v>
      </c>
      <c r="F17" s="60" t="s">
        <v>41</v>
      </c>
      <c r="G17" s="62"/>
      <c r="H17" s="63" t="s">
        <v>42</v>
      </c>
      <c r="I17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zoomScale="145" zoomScaleNormal="145" topLeftCell="A3" workbookViewId="0">
      <selection activeCell="F16" sqref="F16"/>
    </sheetView>
  </sheetViews>
  <sheetFormatPr defaultColWidth="9" defaultRowHeight="13.5"/>
  <cols>
    <col min="5" max="5" width="21.3333333333333" customWidth="1"/>
    <col min="6" max="6" width="16.1666666666667" customWidth="1"/>
    <col min="8" max="8" width="14.6666666666667" customWidth="1"/>
    <col min="10" max="10" width="22.2416666666667" customWidth="1"/>
  </cols>
  <sheetData>
    <row r="1" ht="14.25" spans="1:9">
      <c r="A1" s="27" t="s">
        <v>0</v>
      </c>
      <c r="B1" s="30" t="s">
        <v>1511</v>
      </c>
      <c r="C1" s="30"/>
      <c r="D1" s="30"/>
      <c r="E1" s="30"/>
      <c r="F1" s="30"/>
      <c r="G1" s="30"/>
      <c r="H1" s="30"/>
      <c r="I1" s="30"/>
    </row>
    <row r="2" ht="14.25" spans="1:9">
      <c r="A2" s="27"/>
      <c r="B2" s="30"/>
      <c r="C2" s="30"/>
      <c r="D2" s="30"/>
      <c r="E2" s="30"/>
      <c r="F2" s="30"/>
      <c r="G2" s="30"/>
      <c r="H2" s="30"/>
      <c r="I2" s="30"/>
    </row>
    <row r="3" ht="17.25" spans="1:9">
      <c r="A3" s="58" t="s">
        <v>2</v>
      </c>
      <c r="B3" s="58"/>
      <c r="C3" s="58"/>
      <c r="D3" s="58"/>
      <c r="E3" s="58"/>
      <c r="F3" s="58"/>
      <c r="G3" s="58"/>
      <c r="H3" s="58"/>
      <c r="I3" s="58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1512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1513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 t="s">
        <v>812</v>
      </c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58" t="s">
        <v>12</v>
      </c>
      <c r="B9" s="58"/>
      <c r="C9" s="58"/>
      <c r="D9" s="58"/>
      <c r="E9" s="58"/>
      <c r="F9" s="58"/>
      <c r="G9" s="58"/>
      <c r="H9" s="58"/>
      <c r="I9" s="58"/>
    </row>
    <row r="10" ht="34.5" spans="1:9">
      <c r="A10" s="32" t="s">
        <v>37</v>
      </c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17.25" spans="1:9">
      <c r="A11" s="36">
        <v>1</v>
      </c>
      <c r="B11" s="59" t="s">
        <v>21</v>
      </c>
      <c r="C11" s="60"/>
      <c r="D11" s="60" t="s">
        <v>22</v>
      </c>
      <c r="E11" s="61" t="s">
        <v>22</v>
      </c>
      <c r="F11" s="60" t="s">
        <v>22</v>
      </c>
      <c r="G11" s="62"/>
      <c r="H11" s="63" t="s">
        <v>30</v>
      </c>
      <c r="I11" s="62"/>
    </row>
    <row r="12" ht="17.25" spans="1:11">
      <c r="A12" s="36">
        <v>2</v>
      </c>
      <c r="B12" s="59" t="s">
        <v>21</v>
      </c>
      <c r="C12" s="60"/>
      <c r="D12" s="60" t="s">
        <v>1434</v>
      </c>
      <c r="E12" s="61" t="s">
        <v>1510</v>
      </c>
      <c r="F12" s="60" t="s">
        <v>1436</v>
      </c>
      <c r="G12" s="62"/>
      <c r="H12" s="63" t="s">
        <v>30</v>
      </c>
      <c r="I12" s="62"/>
      <c r="J12" s="60" t="s">
        <v>1416</v>
      </c>
      <c r="K12" s="60" t="s">
        <v>22</v>
      </c>
    </row>
    <row r="13" ht="17.25" spans="1:11">
      <c r="A13" s="36">
        <v>3</v>
      </c>
      <c r="B13" s="59" t="s">
        <v>21</v>
      </c>
      <c r="C13" s="64"/>
      <c r="D13" s="64" t="s">
        <v>1514</v>
      </c>
      <c r="E13" s="61" t="s">
        <v>1515</v>
      </c>
      <c r="F13" s="60" t="s">
        <v>937</v>
      </c>
      <c r="G13" s="62"/>
      <c r="H13" s="63" t="s">
        <v>24</v>
      </c>
      <c r="I13" s="62"/>
      <c r="J13" s="60" t="s">
        <v>293</v>
      </c>
      <c r="K13" s="60" t="s">
        <v>22</v>
      </c>
    </row>
    <row r="14" ht="17.25" spans="1:9">
      <c r="A14" s="36">
        <v>4</v>
      </c>
      <c r="B14" s="59" t="s">
        <v>21</v>
      </c>
      <c r="C14" s="60"/>
      <c r="D14" s="60" t="s">
        <v>378</v>
      </c>
      <c r="E14" s="61" t="s">
        <v>378</v>
      </c>
      <c r="F14" s="60" t="s">
        <v>379</v>
      </c>
      <c r="G14" s="62"/>
      <c r="H14" s="63" t="s">
        <v>1206</v>
      </c>
      <c r="I14" s="62"/>
    </row>
    <row r="15" ht="17.25" spans="1:9">
      <c r="A15" s="36">
        <v>5</v>
      </c>
      <c r="B15" s="59" t="s">
        <v>21</v>
      </c>
      <c r="C15" s="60"/>
      <c r="D15" s="60" t="s">
        <v>382</v>
      </c>
      <c r="E15" s="61" t="s">
        <v>382</v>
      </c>
      <c r="F15" s="60" t="s">
        <v>383</v>
      </c>
      <c r="G15" s="62"/>
      <c r="H15" s="63" t="s">
        <v>411</v>
      </c>
      <c r="I15" s="62"/>
    </row>
    <row r="16" ht="17.25" spans="1:9">
      <c r="A16" s="36">
        <v>6</v>
      </c>
      <c r="B16" s="59" t="s">
        <v>21</v>
      </c>
      <c r="C16" s="60"/>
      <c r="D16" s="60" t="s">
        <v>800</v>
      </c>
      <c r="E16" s="61" t="s">
        <v>801</v>
      </c>
      <c r="F16" s="60" t="s">
        <v>802</v>
      </c>
      <c r="G16" s="62"/>
      <c r="H16" s="63" t="s">
        <v>243</v>
      </c>
      <c r="I16" s="62"/>
    </row>
    <row r="17" ht="17.25" spans="1:9">
      <c r="A17" s="36">
        <v>7</v>
      </c>
      <c r="B17" s="65" t="s">
        <v>21</v>
      </c>
      <c r="C17" s="20" t="s">
        <v>224</v>
      </c>
      <c r="D17" s="66" t="s">
        <v>40</v>
      </c>
      <c r="E17" s="61" t="s">
        <v>40</v>
      </c>
      <c r="F17" s="60" t="s">
        <v>41</v>
      </c>
      <c r="G17" s="62"/>
      <c r="H17" s="63" t="s">
        <v>42</v>
      </c>
      <c r="I17" s="62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5"/>
  <sheetViews>
    <sheetView zoomScale="70" zoomScaleNormal="70" topLeftCell="A38" workbookViewId="0">
      <selection activeCell="A47" sqref="A47:M47"/>
    </sheetView>
  </sheetViews>
  <sheetFormatPr defaultColWidth="9" defaultRowHeight="13.5"/>
  <cols>
    <col min="1" max="2" width="6" customWidth="1"/>
    <col min="3" max="5" width="22.5" customWidth="1"/>
    <col min="6" max="6" width="23.1666666666667" customWidth="1"/>
    <col min="7" max="7" width="31.2416666666667" customWidth="1"/>
    <col min="8" max="8" width="19.1666666666667" customWidth="1"/>
    <col min="9" max="9" width="40.8666666666667" customWidth="1"/>
    <col min="10" max="10" width="29.35" customWidth="1"/>
    <col min="12" max="12" width="22.675" customWidth="1"/>
  </cols>
  <sheetData>
    <row r="1" ht="14.25" spans="1:9">
      <c r="A1" s="43" t="s">
        <v>0</v>
      </c>
      <c r="B1" s="3" t="s">
        <v>1516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1021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1517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34" customHeight="1" spans="1:9">
      <c r="A7" s="5">
        <v>4</v>
      </c>
      <c r="B7" s="10" t="s">
        <v>8</v>
      </c>
      <c r="C7" s="11"/>
      <c r="D7" s="12"/>
      <c r="E7" s="11"/>
      <c r="F7" s="13" t="s">
        <v>1518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f>ROW(A11)-10</f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1519</v>
      </c>
      <c r="H11" s="5" t="s">
        <v>27</v>
      </c>
      <c r="I11" s="18"/>
    </row>
    <row r="12" ht="17.25" spans="1:9">
      <c r="A12" s="5">
        <f t="shared" ref="A12:A56" si="0">ROW(A12)-10</f>
        <v>2</v>
      </c>
      <c r="B12" s="25" t="s">
        <v>21</v>
      </c>
      <c r="C12" s="5"/>
      <c r="D12" s="5" t="s">
        <v>1017</v>
      </c>
      <c r="E12" s="17" t="s">
        <v>1017</v>
      </c>
      <c r="F12" s="5" t="s">
        <v>1019</v>
      </c>
      <c r="G12" s="18" t="s">
        <v>1520</v>
      </c>
      <c r="H12" s="5" t="s">
        <v>24</v>
      </c>
      <c r="I12" s="18"/>
    </row>
    <row r="13" ht="17.25" spans="1:9">
      <c r="A13" s="5">
        <f t="shared" si="0"/>
        <v>3</v>
      </c>
      <c r="B13" s="25" t="s">
        <v>21</v>
      </c>
      <c r="C13" s="5"/>
      <c r="D13" s="5" t="s">
        <v>438</v>
      </c>
      <c r="E13" s="17" t="s">
        <v>1521</v>
      </c>
      <c r="F13" s="5" t="s">
        <v>29</v>
      </c>
      <c r="G13" s="18"/>
      <c r="H13" s="5" t="s">
        <v>24</v>
      </c>
      <c r="I13" s="18"/>
    </row>
    <row r="14" ht="17.25" spans="1:9">
      <c r="A14" s="5">
        <f t="shared" si="0"/>
        <v>4</v>
      </c>
      <c r="B14" s="18"/>
      <c r="C14" s="5"/>
      <c r="D14" s="5" t="s">
        <v>460</v>
      </c>
      <c r="E14" s="17" t="s">
        <v>1522</v>
      </c>
      <c r="F14" s="5" t="s">
        <v>462</v>
      </c>
      <c r="G14" s="18"/>
      <c r="H14" s="5" t="s">
        <v>24</v>
      </c>
      <c r="I14" s="18"/>
    </row>
    <row r="15" ht="17.25" spans="1:13">
      <c r="A15" s="5">
        <f t="shared" si="0"/>
        <v>5</v>
      </c>
      <c r="B15" s="25" t="s">
        <v>21</v>
      </c>
      <c r="C15" s="5"/>
      <c r="D15" s="5" t="s">
        <v>1523</v>
      </c>
      <c r="E15" s="17" t="s">
        <v>1524</v>
      </c>
      <c r="F15" s="5" t="s">
        <v>267</v>
      </c>
      <c r="G15" s="18" t="s">
        <v>1127</v>
      </c>
      <c r="H15" s="5" t="s">
        <v>24</v>
      </c>
      <c r="I15" s="18" t="s">
        <v>1525</v>
      </c>
      <c r="J15" s="5" t="s">
        <v>1526</v>
      </c>
      <c r="K15" s="5" t="s">
        <v>22</v>
      </c>
      <c r="L15" s="5"/>
      <c r="M15" s="5"/>
    </row>
    <row r="16" ht="17.25" spans="1:13">
      <c r="A16" s="5">
        <f t="shared" si="0"/>
        <v>6</v>
      </c>
      <c r="B16" s="25" t="s">
        <v>21</v>
      </c>
      <c r="C16" s="5"/>
      <c r="D16" s="5" t="s">
        <v>1351</v>
      </c>
      <c r="E16" s="17" t="s">
        <v>1527</v>
      </c>
      <c r="F16" s="5" t="s">
        <v>304</v>
      </c>
      <c r="G16" s="18" t="s">
        <v>1528</v>
      </c>
      <c r="H16" s="5" t="s">
        <v>24</v>
      </c>
      <c r="I16" s="18" t="s">
        <v>1529</v>
      </c>
      <c r="J16" s="5" t="s">
        <v>307</v>
      </c>
      <c r="K16" s="5" t="s">
        <v>26</v>
      </c>
      <c r="L16" s="5"/>
      <c r="M16" s="5"/>
    </row>
    <row r="17" ht="17.25" spans="1:13">
      <c r="A17" s="5">
        <f t="shared" si="0"/>
        <v>7</v>
      </c>
      <c r="B17" s="25" t="s">
        <v>21</v>
      </c>
      <c r="C17" s="5"/>
      <c r="D17" s="5" t="s">
        <v>935</v>
      </c>
      <c r="E17" s="17" t="s">
        <v>1530</v>
      </c>
      <c r="F17" s="5" t="s">
        <v>937</v>
      </c>
      <c r="G17" s="18" t="s">
        <v>1531</v>
      </c>
      <c r="H17" s="5" t="s">
        <v>30</v>
      </c>
      <c r="I17" s="18" t="s">
        <v>1532</v>
      </c>
      <c r="J17" s="5" t="s">
        <v>1533</v>
      </c>
      <c r="K17" s="5" t="s">
        <v>22</v>
      </c>
      <c r="L17" s="5"/>
      <c r="M17" s="5"/>
    </row>
    <row r="18" ht="17.25" spans="1:13">
      <c r="A18" s="5">
        <f t="shared" si="0"/>
        <v>8</v>
      </c>
      <c r="B18" s="18"/>
      <c r="C18" s="5"/>
      <c r="D18" s="5" t="s">
        <v>244</v>
      </c>
      <c r="E18" s="17" t="s">
        <v>1534</v>
      </c>
      <c r="F18" s="5" t="s">
        <v>245</v>
      </c>
      <c r="G18" s="18" t="s">
        <v>1535</v>
      </c>
      <c r="H18" s="5" t="s">
        <v>30</v>
      </c>
      <c r="I18" s="18"/>
      <c r="J18" s="5"/>
      <c r="K18" s="5"/>
      <c r="L18" s="5"/>
      <c r="M18" s="5"/>
    </row>
    <row r="19" ht="17.25" spans="1:13">
      <c r="A19" s="5">
        <f t="shared" si="0"/>
        <v>9</v>
      </c>
      <c r="B19" s="25" t="s">
        <v>21</v>
      </c>
      <c r="C19" s="5"/>
      <c r="D19" s="5" t="s">
        <v>506</v>
      </c>
      <c r="E19" s="17" t="s">
        <v>1536</v>
      </c>
      <c r="F19" s="5" t="s">
        <v>1537</v>
      </c>
      <c r="G19" s="18" t="s">
        <v>1538</v>
      </c>
      <c r="H19" s="5" t="s">
        <v>411</v>
      </c>
      <c r="I19" s="18"/>
      <c r="J19" s="5"/>
      <c r="K19" s="5"/>
      <c r="L19" s="5"/>
      <c r="M19" s="5"/>
    </row>
    <row r="20" ht="17.25" spans="1:13">
      <c r="A20" s="5">
        <f t="shared" si="0"/>
        <v>10</v>
      </c>
      <c r="B20" s="25" t="s">
        <v>21</v>
      </c>
      <c r="C20" s="5"/>
      <c r="D20" s="5" t="s">
        <v>502</v>
      </c>
      <c r="E20" s="17" t="s">
        <v>1539</v>
      </c>
      <c r="F20" s="5" t="s">
        <v>504</v>
      </c>
      <c r="G20" s="18"/>
      <c r="H20" s="5" t="s">
        <v>47</v>
      </c>
      <c r="I20" s="18"/>
      <c r="J20" s="5"/>
      <c r="K20" s="5"/>
      <c r="L20" s="5"/>
      <c r="M20" s="5"/>
    </row>
    <row r="21" ht="17.25" spans="1:13">
      <c r="A21" s="5">
        <f t="shared" si="0"/>
        <v>11</v>
      </c>
      <c r="B21" s="25" t="s">
        <v>21</v>
      </c>
      <c r="C21" s="5"/>
      <c r="D21" s="5" t="s">
        <v>1540</v>
      </c>
      <c r="E21" s="17" t="s">
        <v>1541</v>
      </c>
      <c r="F21" s="5" t="s">
        <v>465</v>
      </c>
      <c r="G21" s="18" t="s">
        <v>1542</v>
      </c>
      <c r="H21" s="5" t="s">
        <v>411</v>
      </c>
      <c r="I21" s="18" t="s">
        <v>1543</v>
      </c>
      <c r="J21" s="5" t="s">
        <v>4</v>
      </c>
      <c r="K21" s="5" t="s">
        <v>26</v>
      </c>
      <c r="L21" s="5" t="s">
        <v>465</v>
      </c>
      <c r="M21" s="5"/>
    </row>
    <row r="22" ht="17.25" spans="1:13">
      <c r="A22" s="5">
        <f t="shared" si="0"/>
        <v>12</v>
      </c>
      <c r="B22" s="25" t="s">
        <v>21</v>
      </c>
      <c r="C22" s="5"/>
      <c r="D22" s="5" t="s">
        <v>1544</v>
      </c>
      <c r="E22" s="17" t="s">
        <v>1545</v>
      </c>
      <c r="F22" s="5" t="s">
        <v>493</v>
      </c>
      <c r="G22" s="18" t="s">
        <v>1546</v>
      </c>
      <c r="H22" s="5" t="s">
        <v>411</v>
      </c>
      <c r="I22" s="18" t="s">
        <v>1547</v>
      </c>
      <c r="J22" s="5" t="s">
        <v>4</v>
      </c>
      <c r="K22" s="5" t="s">
        <v>26</v>
      </c>
      <c r="L22" s="5" t="s">
        <v>493</v>
      </c>
      <c r="M22" s="5"/>
    </row>
    <row r="23" ht="17.25" spans="1:13">
      <c r="A23" s="5">
        <f t="shared" si="0"/>
        <v>13</v>
      </c>
      <c r="B23" s="25" t="s">
        <v>21</v>
      </c>
      <c r="C23" s="5"/>
      <c r="D23" s="5" t="s">
        <v>1548</v>
      </c>
      <c r="E23" s="17" t="s">
        <v>1549</v>
      </c>
      <c r="F23" s="5" t="s">
        <v>497</v>
      </c>
      <c r="G23" s="18"/>
      <c r="H23" s="5" t="s">
        <v>411</v>
      </c>
      <c r="I23" s="18" t="s">
        <v>1550</v>
      </c>
      <c r="J23" s="5" t="s">
        <v>4</v>
      </c>
      <c r="K23" s="5" t="s">
        <v>26</v>
      </c>
      <c r="L23" s="5" t="s">
        <v>497</v>
      </c>
      <c r="M23" s="5"/>
    </row>
    <row r="24" ht="17.25" spans="1:13">
      <c r="A24" s="5">
        <f t="shared" si="0"/>
        <v>14</v>
      </c>
      <c r="B24" s="18"/>
      <c r="C24" s="26"/>
      <c r="D24" s="26" t="s">
        <v>1551</v>
      </c>
      <c r="E24" s="17" t="s">
        <v>1552</v>
      </c>
      <c r="F24" s="5" t="s">
        <v>695</v>
      </c>
      <c r="G24" s="18" t="s">
        <v>1553</v>
      </c>
      <c r="H24" s="5" t="s">
        <v>411</v>
      </c>
      <c r="I24" s="18" t="s">
        <v>1554</v>
      </c>
      <c r="J24" s="5" t="s">
        <v>4</v>
      </c>
      <c r="K24" s="5" t="s">
        <v>26</v>
      </c>
      <c r="L24" s="5" t="s">
        <v>695</v>
      </c>
      <c r="M24" s="5"/>
    </row>
    <row r="25" ht="34.5" spans="1:13">
      <c r="A25" s="5">
        <f t="shared" si="0"/>
        <v>15</v>
      </c>
      <c r="B25" s="25" t="s">
        <v>21</v>
      </c>
      <c r="C25" s="5"/>
      <c r="D25" s="5" t="s">
        <v>308</v>
      </c>
      <c r="E25" s="17" t="s">
        <v>1555</v>
      </c>
      <c r="F25" s="5" t="s">
        <v>310</v>
      </c>
      <c r="G25" s="18" t="s">
        <v>1556</v>
      </c>
      <c r="H25" s="5" t="s">
        <v>42</v>
      </c>
      <c r="I25" s="18"/>
      <c r="J25" s="5"/>
      <c r="K25" s="5"/>
      <c r="L25" s="5"/>
      <c r="M25" s="5"/>
    </row>
    <row r="26" ht="34.5" spans="1:13">
      <c r="A26" s="5">
        <f t="shared" si="0"/>
        <v>16</v>
      </c>
      <c r="B26" s="25" t="s">
        <v>21</v>
      </c>
      <c r="C26" s="57"/>
      <c r="D26" s="57" t="s">
        <v>312</v>
      </c>
      <c r="E26" s="48" t="s">
        <v>1557</v>
      </c>
      <c r="F26" s="49" t="s">
        <v>314</v>
      </c>
      <c r="G26" s="50" t="s">
        <v>315</v>
      </c>
      <c r="H26" s="51" t="s">
        <v>24</v>
      </c>
      <c r="I26" s="39" t="s">
        <v>316</v>
      </c>
      <c r="J26" s="5" t="s">
        <v>4</v>
      </c>
      <c r="K26" s="5" t="s">
        <v>26</v>
      </c>
      <c r="L26" s="5" t="s">
        <v>314</v>
      </c>
      <c r="M26" s="5"/>
    </row>
    <row r="27" ht="103.5" spans="1:13">
      <c r="A27" s="5">
        <f t="shared" si="0"/>
        <v>17</v>
      </c>
      <c r="B27" s="25" t="s">
        <v>21</v>
      </c>
      <c r="C27" s="26"/>
      <c r="D27" s="26" t="s">
        <v>1558</v>
      </c>
      <c r="E27" s="17" t="s">
        <v>1559</v>
      </c>
      <c r="F27" s="5" t="s">
        <v>1560</v>
      </c>
      <c r="G27" s="5" t="s">
        <v>1561</v>
      </c>
      <c r="H27" s="5" t="s">
        <v>411</v>
      </c>
      <c r="I27" s="18" t="s">
        <v>1562</v>
      </c>
      <c r="J27" s="5" t="s">
        <v>4</v>
      </c>
      <c r="K27" s="5" t="s">
        <v>26</v>
      </c>
      <c r="L27" s="5" t="s">
        <v>1560</v>
      </c>
      <c r="M27" s="5"/>
    </row>
    <row r="28" ht="138" spans="1:13">
      <c r="A28" s="5">
        <f t="shared" si="0"/>
        <v>18</v>
      </c>
      <c r="B28" s="18"/>
      <c r="C28" s="26"/>
      <c r="D28" s="26" t="s">
        <v>1563</v>
      </c>
      <c r="E28" s="17" t="s">
        <v>1564</v>
      </c>
      <c r="F28" s="5" t="s">
        <v>1565</v>
      </c>
      <c r="G28" s="5" t="s">
        <v>1566</v>
      </c>
      <c r="H28" s="5" t="s">
        <v>411</v>
      </c>
      <c r="I28" s="18" t="s">
        <v>1567</v>
      </c>
      <c r="J28" s="5" t="s">
        <v>4</v>
      </c>
      <c r="K28" s="5" t="s">
        <v>26</v>
      </c>
      <c r="L28" s="5" t="s">
        <v>1565</v>
      </c>
      <c r="M28" s="5"/>
    </row>
    <row r="29" ht="17.25" spans="1:13">
      <c r="A29" s="5">
        <f t="shared" si="0"/>
        <v>19</v>
      </c>
      <c r="B29" s="25" t="s">
        <v>21</v>
      </c>
      <c r="C29" s="5"/>
      <c r="D29" s="5" t="s">
        <v>1568</v>
      </c>
      <c r="E29" s="17" t="s">
        <v>1569</v>
      </c>
      <c r="F29" s="5" t="s">
        <v>1570</v>
      </c>
      <c r="G29" s="18" t="s">
        <v>1571</v>
      </c>
      <c r="H29" s="5" t="s">
        <v>411</v>
      </c>
      <c r="I29" s="18"/>
      <c r="J29" s="5"/>
      <c r="K29" s="5"/>
      <c r="L29" s="5"/>
      <c r="M29" s="5"/>
    </row>
    <row r="30" ht="34.5" spans="1:13">
      <c r="A30" s="5">
        <f t="shared" si="0"/>
        <v>20</v>
      </c>
      <c r="B30" s="25" t="s">
        <v>21</v>
      </c>
      <c r="C30" s="26"/>
      <c r="D30" s="26" t="s">
        <v>317</v>
      </c>
      <c r="E30" s="17" t="s">
        <v>1572</v>
      </c>
      <c r="F30" s="5" t="s">
        <v>1573</v>
      </c>
      <c r="G30" s="18" t="s">
        <v>1574</v>
      </c>
      <c r="H30" s="5" t="s">
        <v>243</v>
      </c>
      <c r="I30" s="18"/>
      <c r="J30" s="5"/>
      <c r="K30" s="5"/>
      <c r="L30" s="5"/>
      <c r="M30" s="5"/>
    </row>
    <row r="31" ht="86.25" spans="1:13">
      <c r="A31" s="5">
        <f t="shared" si="0"/>
        <v>21</v>
      </c>
      <c r="B31" s="25" t="s">
        <v>21</v>
      </c>
      <c r="C31" s="26"/>
      <c r="D31" s="26" t="s">
        <v>1575</v>
      </c>
      <c r="E31" s="17" t="s">
        <v>1576</v>
      </c>
      <c r="F31" s="5" t="s">
        <v>1577</v>
      </c>
      <c r="G31" s="5" t="s">
        <v>1578</v>
      </c>
      <c r="H31" s="5" t="s">
        <v>411</v>
      </c>
      <c r="I31" s="18" t="s">
        <v>1579</v>
      </c>
      <c r="J31" s="5" t="s">
        <v>4</v>
      </c>
      <c r="K31" s="5" t="s">
        <v>26</v>
      </c>
      <c r="L31" s="5" t="s">
        <v>1577</v>
      </c>
      <c r="M31" s="5"/>
    </row>
    <row r="32" ht="34.5" spans="1:13">
      <c r="A32" s="5">
        <f t="shared" si="0"/>
        <v>22</v>
      </c>
      <c r="B32" s="25" t="s">
        <v>21</v>
      </c>
      <c r="C32" s="26"/>
      <c r="D32" s="26" t="s">
        <v>1580</v>
      </c>
      <c r="E32" s="17" t="s">
        <v>1581</v>
      </c>
      <c r="F32" s="5" t="s">
        <v>1582</v>
      </c>
      <c r="G32" s="5" t="s">
        <v>1583</v>
      </c>
      <c r="H32" s="5" t="s">
        <v>411</v>
      </c>
      <c r="I32" s="18" t="s">
        <v>1584</v>
      </c>
      <c r="J32" s="5" t="s">
        <v>4</v>
      </c>
      <c r="K32" s="5" t="s">
        <v>26</v>
      </c>
      <c r="L32" s="5" t="s">
        <v>1582</v>
      </c>
      <c r="M32" s="5"/>
    </row>
    <row r="33" ht="17.25" spans="1:13">
      <c r="A33" s="5">
        <f t="shared" si="0"/>
        <v>23</v>
      </c>
      <c r="B33" s="25" t="s">
        <v>21</v>
      </c>
      <c r="C33" s="5"/>
      <c r="D33" s="5" t="s">
        <v>1585</v>
      </c>
      <c r="E33" s="17" t="s">
        <v>1586</v>
      </c>
      <c r="F33" s="5" t="s">
        <v>1587</v>
      </c>
      <c r="G33" s="18" t="s">
        <v>1588</v>
      </c>
      <c r="H33" s="5" t="s">
        <v>27</v>
      </c>
      <c r="I33" s="18" t="s">
        <v>1589</v>
      </c>
      <c r="J33" s="5" t="s">
        <v>1590</v>
      </c>
      <c r="K33" s="5" t="s">
        <v>22</v>
      </c>
      <c r="L33" s="5"/>
      <c r="M33" s="5"/>
    </row>
    <row r="34" ht="17.25" spans="1:13">
      <c r="A34" s="5">
        <f t="shared" si="0"/>
        <v>24</v>
      </c>
      <c r="B34" s="18"/>
      <c r="C34" s="5"/>
      <c r="D34" s="5" t="s">
        <v>1591</v>
      </c>
      <c r="E34" s="17" t="s">
        <v>1592</v>
      </c>
      <c r="F34" s="5" t="s">
        <v>1593</v>
      </c>
      <c r="G34" s="18" t="s">
        <v>1594</v>
      </c>
      <c r="H34" s="5" t="s">
        <v>1595</v>
      </c>
      <c r="I34" s="18"/>
      <c r="J34" s="5"/>
      <c r="K34" s="5"/>
      <c r="L34" s="5"/>
      <c r="M34" s="5"/>
    </row>
    <row r="35" ht="69" spans="1:13">
      <c r="A35" s="5">
        <f t="shared" si="0"/>
        <v>25</v>
      </c>
      <c r="B35" s="25" t="s">
        <v>21</v>
      </c>
      <c r="C35" s="5"/>
      <c r="D35" s="5" t="s">
        <v>325</v>
      </c>
      <c r="E35" s="17" t="s">
        <v>1596</v>
      </c>
      <c r="F35" s="5" t="s">
        <v>327</v>
      </c>
      <c r="G35" s="5" t="s">
        <v>1597</v>
      </c>
      <c r="H35" s="5" t="s">
        <v>411</v>
      </c>
      <c r="I35" s="18"/>
      <c r="J35" s="5"/>
      <c r="K35" s="5"/>
      <c r="L35" s="5"/>
      <c r="M35" s="5"/>
    </row>
    <row r="36" ht="51.75" spans="1:13">
      <c r="A36" s="5">
        <f t="shared" si="0"/>
        <v>26</v>
      </c>
      <c r="B36" s="25" t="s">
        <v>21</v>
      </c>
      <c r="C36" s="5"/>
      <c r="D36" s="5" t="s">
        <v>330</v>
      </c>
      <c r="E36" s="17" t="s">
        <v>1598</v>
      </c>
      <c r="F36" s="5" t="s">
        <v>332</v>
      </c>
      <c r="G36" s="5" t="s">
        <v>1599</v>
      </c>
      <c r="H36" s="5" t="s">
        <v>411</v>
      </c>
      <c r="I36" s="18"/>
      <c r="J36" s="5"/>
      <c r="K36" s="5"/>
      <c r="L36" s="5"/>
      <c r="M36" s="5"/>
    </row>
    <row r="37" ht="51.75" spans="1:13">
      <c r="A37" s="5">
        <f t="shared" si="0"/>
        <v>27</v>
      </c>
      <c r="B37" s="25" t="s">
        <v>21</v>
      </c>
      <c r="C37" s="5"/>
      <c r="D37" s="5" t="s">
        <v>321</v>
      </c>
      <c r="E37" s="17" t="s">
        <v>1600</v>
      </c>
      <c r="F37" s="5" t="s">
        <v>323</v>
      </c>
      <c r="G37" s="5" t="s">
        <v>1601</v>
      </c>
      <c r="H37" s="5" t="s">
        <v>243</v>
      </c>
      <c r="I37" s="18"/>
      <c r="J37" s="5"/>
      <c r="K37" s="5"/>
      <c r="L37" s="5"/>
      <c r="M37" s="5"/>
    </row>
    <row r="38" ht="138" spans="1:13">
      <c r="A38" s="5">
        <f t="shared" si="0"/>
        <v>28</v>
      </c>
      <c r="B38" s="18"/>
      <c r="C38" s="26"/>
      <c r="D38" s="26" t="s">
        <v>1602</v>
      </c>
      <c r="E38" s="17" t="s">
        <v>1603</v>
      </c>
      <c r="F38" s="5" t="s">
        <v>1604</v>
      </c>
      <c r="G38" s="5" t="s">
        <v>1605</v>
      </c>
      <c r="H38" s="5" t="s">
        <v>411</v>
      </c>
      <c r="I38" s="18" t="s">
        <v>1606</v>
      </c>
      <c r="J38" s="5" t="s">
        <v>4</v>
      </c>
      <c r="K38" s="5" t="s">
        <v>26</v>
      </c>
      <c r="L38" s="5" t="s">
        <v>1604</v>
      </c>
      <c r="M38" s="5"/>
    </row>
    <row r="39" ht="17.25" spans="1:13">
      <c r="A39" s="5">
        <f t="shared" si="0"/>
        <v>29</v>
      </c>
      <c r="B39" s="18"/>
      <c r="C39" s="5"/>
      <c r="D39" s="5" t="s">
        <v>1607</v>
      </c>
      <c r="E39" s="17" t="s">
        <v>1608</v>
      </c>
      <c r="F39" s="5" t="s">
        <v>1609</v>
      </c>
      <c r="G39" s="18" t="s">
        <v>1610</v>
      </c>
      <c r="H39" s="5" t="s">
        <v>1595</v>
      </c>
      <c r="I39" s="18"/>
      <c r="J39" s="5"/>
      <c r="K39" s="5"/>
      <c r="L39" s="5"/>
      <c r="M39" s="5"/>
    </row>
    <row r="40" ht="34.5" spans="1:13">
      <c r="A40" s="5">
        <f t="shared" si="0"/>
        <v>30</v>
      </c>
      <c r="B40" s="52" t="s">
        <v>21</v>
      </c>
      <c r="C40" s="26"/>
      <c r="D40" s="26" t="s">
        <v>1611</v>
      </c>
      <c r="E40" s="17" t="s">
        <v>1612</v>
      </c>
      <c r="F40" s="26" t="s">
        <v>647</v>
      </c>
      <c r="G40" s="26" t="s">
        <v>1613</v>
      </c>
      <c r="H40" s="26" t="s">
        <v>42</v>
      </c>
      <c r="I40" s="42"/>
      <c r="J40" s="5"/>
      <c r="K40" s="5"/>
      <c r="L40" s="5"/>
      <c r="M40" s="5"/>
    </row>
    <row r="41" ht="17.25" spans="1:13">
      <c r="A41" s="5">
        <f t="shared" si="0"/>
        <v>31</v>
      </c>
      <c r="B41" s="52" t="s">
        <v>21</v>
      </c>
      <c r="C41" s="26"/>
      <c r="D41" s="26" t="s">
        <v>1614</v>
      </c>
      <c r="E41" s="17" t="s">
        <v>1615</v>
      </c>
      <c r="F41" s="26" t="s">
        <v>1616</v>
      </c>
      <c r="G41" s="26"/>
      <c r="H41" s="26" t="s">
        <v>27</v>
      </c>
      <c r="I41" s="42"/>
      <c r="J41" s="5" t="s">
        <v>1617</v>
      </c>
      <c r="K41" s="5" t="s">
        <v>22</v>
      </c>
      <c r="L41" s="5"/>
      <c r="M41" s="5"/>
    </row>
    <row r="42" ht="17.25" spans="1:13">
      <c r="A42" s="5">
        <f t="shared" si="0"/>
        <v>32</v>
      </c>
      <c r="B42" s="52" t="s">
        <v>21</v>
      </c>
      <c r="C42" s="26"/>
      <c r="D42" s="26" t="s">
        <v>1618</v>
      </c>
      <c r="E42" s="17" t="s">
        <v>1618</v>
      </c>
      <c r="F42" s="26" t="s">
        <v>1619</v>
      </c>
      <c r="G42" s="26"/>
      <c r="H42" s="26" t="s">
        <v>27</v>
      </c>
      <c r="I42" s="42"/>
      <c r="J42" s="5" t="s">
        <v>1620</v>
      </c>
      <c r="K42" s="5" t="s">
        <v>22</v>
      </c>
      <c r="L42" s="5"/>
      <c r="M42" s="5"/>
    </row>
    <row r="43" ht="17.25" spans="1:13">
      <c r="A43" s="5">
        <f t="shared" si="0"/>
        <v>33</v>
      </c>
      <c r="B43" s="52" t="s">
        <v>21</v>
      </c>
      <c r="C43" s="26"/>
      <c r="D43" s="26" t="s">
        <v>1621</v>
      </c>
      <c r="E43" s="17" t="s">
        <v>1622</v>
      </c>
      <c r="F43" s="26" t="s">
        <v>1623</v>
      </c>
      <c r="G43" s="26"/>
      <c r="H43" s="26" t="s">
        <v>27</v>
      </c>
      <c r="I43" s="42"/>
      <c r="J43" s="5" t="s">
        <v>4</v>
      </c>
      <c r="K43" s="5" t="s">
        <v>26</v>
      </c>
      <c r="L43" s="5" t="s">
        <v>1623</v>
      </c>
      <c r="M43" s="5"/>
    </row>
    <row r="44" ht="17.25" spans="1:13">
      <c r="A44" s="5">
        <f t="shared" si="0"/>
        <v>34</v>
      </c>
      <c r="B44" s="52" t="s">
        <v>21</v>
      </c>
      <c r="C44" s="26"/>
      <c r="D44" s="26" t="s">
        <v>1624</v>
      </c>
      <c r="E44" s="17" t="s">
        <v>1625</v>
      </c>
      <c r="F44" s="26" t="s">
        <v>1626</v>
      </c>
      <c r="G44" s="26"/>
      <c r="H44" s="26" t="s">
        <v>27</v>
      </c>
      <c r="I44" s="42"/>
      <c r="J44" s="5" t="s">
        <v>1627</v>
      </c>
      <c r="K44" s="5" t="s">
        <v>22</v>
      </c>
      <c r="L44" s="5"/>
      <c r="M44" s="5"/>
    </row>
    <row r="45" ht="17.25" spans="1:13">
      <c r="A45" s="5">
        <f t="shared" si="0"/>
        <v>35</v>
      </c>
      <c r="B45" s="52" t="s">
        <v>21</v>
      </c>
      <c r="C45" s="20" t="s">
        <v>224</v>
      </c>
      <c r="D45" s="20" t="s">
        <v>1611</v>
      </c>
      <c r="E45" s="17" t="s">
        <v>1612</v>
      </c>
      <c r="F45" s="26" t="s">
        <v>1628</v>
      </c>
      <c r="G45" s="26"/>
      <c r="H45" s="26" t="s">
        <v>42</v>
      </c>
      <c r="I45" s="42"/>
      <c r="J45" s="5"/>
      <c r="K45" s="5"/>
      <c r="L45" s="5"/>
      <c r="M45" s="5"/>
    </row>
    <row r="46" ht="18" customHeight="1" spans="1:13">
      <c r="A46" s="5">
        <f t="shared" si="0"/>
        <v>36</v>
      </c>
      <c r="B46" s="52" t="s">
        <v>21</v>
      </c>
      <c r="C46" s="26"/>
      <c r="D46" s="26" t="s">
        <v>1629</v>
      </c>
      <c r="E46" s="17" t="s">
        <v>1630</v>
      </c>
      <c r="F46" s="26" t="s">
        <v>338</v>
      </c>
      <c r="G46" s="26"/>
      <c r="H46" s="26" t="s">
        <v>27</v>
      </c>
      <c r="I46" s="42"/>
      <c r="J46" s="5" t="s">
        <v>4</v>
      </c>
      <c r="K46" s="5" t="s">
        <v>26</v>
      </c>
      <c r="L46" s="5" t="s">
        <v>314</v>
      </c>
      <c r="M46" s="5"/>
    </row>
    <row r="47" ht="17.25" spans="1:13">
      <c r="A47" s="5">
        <f t="shared" si="0"/>
        <v>37</v>
      </c>
      <c r="B47" s="52" t="s">
        <v>21</v>
      </c>
      <c r="C47" s="26"/>
      <c r="D47" s="26" t="s">
        <v>1631</v>
      </c>
      <c r="E47" s="17" t="s">
        <v>1632</v>
      </c>
      <c r="F47" s="26" t="s">
        <v>1633</v>
      </c>
      <c r="G47" s="26"/>
      <c r="H47" s="26" t="s">
        <v>243</v>
      </c>
      <c r="I47" s="42"/>
      <c r="J47" s="5"/>
      <c r="K47" s="5"/>
      <c r="L47" s="5"/>
      <c r="M47" s="5"/>
    </row>
    <row r="48" ht="17.25" spans="1:13">
      <c r="A48" s="5">
        <f t="shared" si="0"/>
        <v>38</v>
      </c>
      <c r="B48" s="52" t="s">
        <v>21</v>
      </c>
      <c r="C48" s="26"/>
      <c r="D48" s="26" t="s">
        <v>340</v>
      </c>
      <c r="E48" s="17" t="s">
        <v>1634</v>
      </c>
      <c r="F48" s="26" t="s">
        <v>342</v>
      </c>
      <c r="G48" s="26"/>
      <c r="H48" s="26" t="s">
        <v>42</v>
      </c>
      <c r="I48" s="42"/>
      <c r="J48" s="5"/>
      <c r="K48" s="5"/>
      <c r="L48" s="5"/>
      <c r="M48" s="5"/>
    </row>
    <row r="49" ht="17.25" spans="1:13">
      <c r="A49" s="5">
        <f t="shared" si="0"/>
        <v>39</v>
      </c>
      <c r="B49" s="52" t="s">
        <v>21</v>
      </c>
      <c r="C49" s="26"/>
      <c r="D49" s="26" t="s">
        <v>1635</v>
      </c>
      <c r="E49" s="17" t="s">
        <v>1636</v>
      </c>
      <c r="F49" s="26" t="s">
        <v>1637</v>
      </c>
      <c r="G49" s="26"/>
      <c r="H49" s="26" t="s">
        <v>27</v>
      </c>
      <c r="I49" s="42"/>
      <c r="J49" s="5" t="s">
        <v>1638</v>
      </c>
      <c r="K49" s="5" t="s">
        <v>22</v>
      </c>
      <c r="L49" s="5"/>
      <c r="M49" s="5"/>
    </row>
    <row r="50" ht="17.25" spans="1:13">
      <c r="A50" s="5">
        <f t="shared" si="0"/>
        <v>40</v>
      </c>
      <c r="B50" s="52" t="s">
        <v>21</v>
      </c>
      <c r="C50" s="26"/>
      <c r="D50" s="26" t="s">
        <v>1639</v>
      </c>
      <c r="E50" s="17" t="s">
        <v>1640</v>
      </c>
      <c r="F50" s="26" t="s">
        <v>1641</v>
      </c>
      <c r="G50" s="26"/>
      <c r="H50" s="26" t="s">
        <v>27</v>
      </c>
      <c r="I50" s="42"/>
      <c r="J50" s="5" t="s">
        <v>1590</v>
      </c>
      <c r="K50" s="5" t="s">
        <v>22</v>
      </c>
      <c r="L50" s="5"/>
      <c r="M50" s="5"/>
    </row>
    <row r="51" ht="35" customHeight="1" spans="1:13">
      <c r="A51" s="5">
        <f t="shared" si="0"/>
        <v>41</v>
      </c>
      <c r="B51" s="52" t="s">
        <v>21</v>
      </c>
      <c r="C51" s="26"/>
      <c r="D51" s="26" t="s">
        <v>1642</v>
      </c>
      <c r="E51" s="17" t="s">
        <v>1643</v>
      </c>
      <c r="F51" s="26" t="s">
        <v>691</v>
      </c>
      <c r="G51" s="26"/>
      <c r="H51" s="26" t="s">
        <v>27</v>
      </c>
      <c r="I51" s="42"/>
      <c r="J51" s="5" t="s">
        <v>4</v>
      </c>
      <c r="K51" s="5" t="s">
        <v>26</v>
      </c>
      <c r="L51" s="5" t="s">
        <v>691</v>
      </c>
      <c r="M51" s="5"/>
    </row>
    <row r="52" ht="17.25" spans="1:13">
      <c r="A52" s="5">
        <f t="shared" si="0"/>
        <v>42</v>
      </c>
      <c r="B52" s="52" t="s">
        <v>21</v>
      </c>
      <c r="C52" s="26"/>
      <c r="D52" s="26" t="s">
        <v>1644</v>
      </c>
      <c r="E52" s="17" t="s">
        <v>1645</v>
      </c>
      <c r="F52" s="26" t="s">
        <v>524</v>
      </c>
      <c r="G52" s="26"/>
      <c r="H52" s="26" t="s">
        <v>24</v>
      </c>
      <c r="I52" s="42"/>
      <c r="J52" s="5"/>
      <c r="K52" s="5"/>
      <c r="L52" s="5"/>
      <c r="M52" s="5"/>
    </row>
    <row r="53" ht="17.25" spans="1:13">
      <c r="A53" s="5">
        <f t="shared" si="0"/>
        <v>43</v>
      </c>
      <c r="B53" s="52"/>
      <c r="C53" s="26"/>
      <c r="D53" s="26" t="s">
        <v>1646</v>
      </c>
      <c r="E53" s="17" t="s">
        <v>1647</v>
      </c>
      <c r="F53" s="26" t="s">
        <v>711</v>
      </c>
      <c r="G53" s="26" t="s">
        <v>1207</v>
      </c>
      <c r="H53" s="26" t="s">
        <v>24</v>
      </c>
      <c r="I53" s="42"/>
      <c r="J53" s="5"/>
      <c r="K53" s="5"/>
      <c r="L53" s="5"/>
      <c r="M53" s="5"/>
    </row>
    <row r="54" ht="17.25" spans="1:13">
      <c r="A54" s="5">
        <f t="shared" si="0"/>
        <v>44</v>
      </c>
      <c r="B54" s="52"/>
      <c r="C54" s="26"/>
      <c r="D54" s="26" t="s">
        <v>1648</v>
      </c>
      <c r="E54" s="17" t="s">
        <v>1649</v>
      </c>
      <c r="F54" s="26" t="s">
        <v>1650</v>
      </c>
      <c r="G54" s="26" t="s">
        <v>1207</v>
      </c>
      <c r="H54" s="26" t="s">
        <v>24</v>
      </c>
      <c r="I54" s="42"/>
      <c r="J54" s="5"/>
      <c r="K54" s="5"/>
      <c r="L54" s="5"/>
      <c r="M54" s="5"/>
    </row>
    <row r="55" ht="17.25" spans="1:13">
      <c r="A55" s="5">
        <f t="shared" si="0"/>
        <v>45</v>
      </c>
      <c r="B55" s="52"/>
      <c r="C55" s="26"/>
      <c r="D55" s="26" t="s">
        <v>1651</v>
      </c>
      <c r="E55" s="17" t="s">
        <v>1652</v>
      </c>
      <c r="F55" s="26" t="s">
        <v>1653</v>
      </c>
      <c r="G55" s="26" t="s">
        <v>1207</v>
      </c>
      <c r="H55" s="26" t="s">
        <v>1595</v>
      </c>
      <c r="I55" s="42"/>
      <c r="J55" s="5"/>
      <c r="K55" s="5"/>
      <c r="L55" s="5"/>
      <c r="M55" s="5"/>
    </row>
    <row r="56" ht="86.25" spans="1:13">
      <c r="A56" s="5">
        <f t="shared" si="0"/>
        <v>46</v>
      </c>
      <c r="B56" s="52"/>
      <c r="C56" s="26"/>
      <c r="D56" s="26" t="s">
        <v>1654</v>
      </c>
      <c r="E56" s="17" t="s">
        <v>1654</v>
      </c>
      <c r="F56" s="26" t="s">
        <v>1655</v>
      </c>
      <c r="G56" s="26" t="s">
        <v>1656</v>
      </c>
      <c r="H56" s="26" t="s">
        <v>42</v>
      </c>
      <c r="I56" s="42"/>
      <c r="J56" s="5"/>
      <c r="K56" s="5"/>
      <c r="L56" s="5"/>
      <c r="M56" s="5"/>
    </row>
    <row r="57" ht="17.25" spans="1:13">
      <c r="A57" s="5">
        <f t="shared" ref="A57:A65" si="1">ROW(A57)-10</f>
        <v>47</v>
      </c>
      <c r="B57" s="52"/>
      <c r="C57" s="26"/>
      <c r="D57" s="26" t="s">
        <v>1657</v>
      </c>
      <c r="E57" s="17" t="s">
        <v>1658</v>
      </c>
      <c r="F57" s="26" t="s">
        <v>1659</v>
      </c>
      <c r="G57" s="26" t="s">
        <v>1660</v>
      </c>
      <c r="H57" s="26" t="s">
        <v>53</v>
      </c>
      <c r="I57" s="42"/>
      <c r="J57" s="5"/>
      <c r="K57" s="5"/>
      <c r="L57" s="5"/>
      <c r="M57" s="5"/>
    </row>
    <row r="58" ht="17.25" spans="1:13">
      <c r="A58" s="5">
        <f t="shared" si="1"/>
        <v>48</v>
      </c>
      <c r="B58" s="52"/>
      <c r="C58" s="26"/>
      <c r="D58" s="26" t="s">
        <v>1661</v>
      </c>
      <c r="E58" s="17" t="s">
        <v>1662</v>
      </c>
      <c r="F58" s="26" t="s">
        <v>1663</v>
      </c>
      <c r="G58" s="26" t="s">
        <v>1660</v>
      </c>
      <c r="H58" s="26" t="s">
        <v>53</v>
      </c>
      <c r="I58" s="42"/>
      <c r="J58" s="5"/>
      <c r="K58" s="5"/>
      <c r="L58" s="5"/>
      <c r="M58" s="5"/>
    </row>
    <row r="59" ht="17.25" spans="1:13">
      <c r="A59" s="5">
        <f t="shared" si="1"/>
        <v>49</v>
      </c>
      <c r="B59" s="52"/>
      <c r="C59" s="26"/>
      <c r="D59" s="26" t="s">
        <v>1664</v>
      </c>
      <c r="E59" s="17" t="s">
        <v>1665</v>
      </c>
      <c r="F59" s="26" t="s">
        <v>134</v>
      </c>
      <c r="G59" s="26" t="s">
        <v>1660</v>
      </c>
      <c r="H59" s="26" t="s">
        <v>219</v>
      </c>
      <c r="I59" s="42"/>
      <c r="J59" s="5"/>
      <c r="K59" s="5"/>
      <c r="L59" s="5"/>
      <c r="M59" s="5"/>
    </row>
    <row r="60" ht="17.25" spans="1:13">
      <c r="A60" s="5">
        <f t="shared" si="1"/>
        <v>50</v>
      </c>
      <c r="B60" s="52"/>
      <c r="C60" s="26"/>
      <c r="D60" s="26" t="s">
        <v>1666</v>
      </c>
      <c r="E60" s="17" t="s">
        <v>1667</v>
      </c>
      <c r="F60" s="26" t="s">
        <v>1666</v>
      </c>
      <c r="G60" s="26" t="s">
        <v>1660</v>
      </c>
      <c r="H60" s="26" t="s">
        <v>24</v>
      </c>
      <c r="I60" s="42"/>
      <c r="J60" s="5"/>
      <c r="K60" s="5"/>
      <c r="L60" s="5"/>
      <c r="M60" s="5"/>
    </row>
    <row r="61" ht="17.25" spans="1:13">
      <c r="A61" s="5">
        <f t="shared" si="1"/>
        <v>51</v>
      </c>
      <c r="B61" s="52"/>
      <c r="C61" s="26"/>
      <c r="D61" s="26" t="s">
        <v>1668</v>
      </c>
      <c r="E61" s="17" t="s">
        <v>1669</v>
      </c>
      <c r="F61" s="26" t="s">
        <v>1670</v>
      </c>
      <c r="G61" s="26" t="s">
        <v>1660</v>
      </c>
      <c r="H61" s="26" t="s">
        <v>219</v>
      </c>
      <c r="I61" s="42"/>
      <c r="J61" s="5"/>
      <c r="K61" s="5"/>
      <c r="L61" s="5"/>
      <c r="M61" s="5"/>
    </row>
    <row r="62" ht="17.25" spans="1:13">
      <c r="A62" s="5">
        <f t="shared" si="1"/>
        <v>52</v>
      </c>
      <c r="B62" s="52"/>
      <c r="C62" s="26"/>
      <c r="D62" s="26" t="s">
        <v>706</v>
      </c>
      <c r="E62" s="17" t="s">
        <v>1671</v>
      </c>
      <c r="F62" s="26" t="s">
        <v>707</v>
      </c>
      <c r="G62" s="26" t="s">
        <v>1660</v>
      </c>
      <c r="H62" s="26" t="s">
        <v>27</v>
      </c>
      <c r="I62" s="42"/>
      <c r="J62" s="5" t="s">
        <v>4</v>
      </c>
      <c r="K62" s="5" t="s">
        <v>26</v>
      </c>
      <c r="L62" s="5" t="s">
        <v>707</v>
      </c>
      <c r="M62" s="5"/>
    </row>
    <row r="63" ht="17.25" spans="1:13">
      <c r="A63" s="5">
        <f t="shared" si="1"/>
        <v>53</v>
      </c>
      <c r="B63" s="5"/>
      <c r="C63" s="5"/>
      <c r="D63" s="5" t="s">
        <v>653</v>
      </c>
      <c r="E63" s="5" t="s">
        <v>653</v>
      </c>
      <c r="F63" s="5" t="s">
        <v>654</v>
      </c>
      <c r="G63" s="5"/>
      <c r="H63" s="5" t="s">
        <v>1672</v>
      </c>
      <c r="I63" s="5"/>
      <c r="J63" s="5"/>
      <c r="K63" s="5"/>
      <c r="L63" s="5"/>
      <c r="M63" s="5"/>
    </row>
    <row r="64" ht="17.25" spans="1:13">
      <c r="A64" s="5">
        <f t="shared" si="1"/>
        <v>54</v>
      </c>
      <c r="B64" s="5"/>
      <c r="C64" s="5"/>
      <c r="D64" s="5" t="s">
        <v>1673</v>
      </c>
      <c r="E64" s="5" t="s">
        <v>1673</v>
      </c>
      <c r="F64" s="5" t="s">
        <v>1674</v>
      </c>
      <c r="G64" s="5"/>
      <c r="H64" s="5" t="s">
        <v>27</v>
      </c>
      <c r="I64" s="5"/>
      <c r="J64" s="5"/>
      <c r="K64" s="5"/>
      <c r="L64" s="5"/>
      <c r="M64" s="5"/>
    </row>
    <row r="65" ht="17.25" spans="1:13">
      <c r="A65" s="5">
        <f t="shared" si="1"/>
        <v>55</v>
      </c>
      <c r="B65" s="5"/>
      <c r="C65" s="5"/>
      <c r="D65" s="5" t="s">
        <v>1675</v>
      </c>
      <c r="E65" s="5" t="s">
        <v>1675</v>
      </c>
      <c r="F65" s="5" t="s">
        <v>1676</v>
      </c>
      <c r="G65" s="5"/>
      <c r="H65" s="5" t="s">
        <v>24</v>
      </c>
      <c r="I65" s="5"/>
      <c r="J65" s="5"/>
      <c r="K65" s="5"/>
      <c r="L65" s="5"/>
      <c r="M65" s="5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zoomScale="85" zoomScaleNormal="85" topLeftCell="A40" workbookViewId="0">
      <selection activeCell="G47" sqref="G47"/>
    </sheetView>
  </sheetViews>
  <sheetFormatPr defaultColWidth="9" defaultRowHeight="13.5"/>
  <cols>
    <col min="1" max="2" width="6" customWidth="1"/>
    <col min="3" max="4" width="20.3333333333333" customWidth="1"/>
    <col min="5" max="5" width="23.6666666666667" customWidth="1"/>
    <col min="6" max="6" width="23.1666666666667" customWidth="1"/>
    <col min="7" max="7" width="44.1166666666667" customWidth="1"/>
    <col min="8" max="8" width="19.1666666666667" customWidth="1"/>
    <col min="9" max="9" width="45.8333333333333" customWidth="1"/>
    <col min="10" max="10" width="21.25" customWidth="1"/>
    <col min="12" max="12" width="19.5" customWidth="1"/>
  </cols>
  <sheetData>
    <row r="1" ht="14.25" spans="1:9">
      <c r="A1" s="2" t="s">
        <v>0</v>
      </c>
      <c r="B1" s="3" t="s">
        <v>1677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1678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1517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34" customHeight="1" spans="1:9">
      <c r="A7" s="5">
        <v>4</v>
      </c>
      <c r="B7" s="10" t="s">
        <v>8</v>
      </c>
      <c r="C7" s="11"/>
      <c r="D7" s="12"/>
      <c r="E7" s="11"/>
      <c r="F7" s="13" t="s">
        <v>1518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f t="shared" ref="A11:A17" si="0">ROW(A11)-10</f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1519</v>
      </c>
      <c r="H11" s="5" t="s">
        <v>27</v>
      </c>
      <c r="I11" s="18"/>
    </row>
    <row r="12" ht="17.25" spans="1:9">
      <c r="A12" s="5">
        <f t="shared" si="0"/>
        <v>2</v>
      </c>
      <c r="B12" s="25" t="s">
        <v>21</v>
      </c>
      <c r="C12" s="5"/>
      <c r="D12" s="5" t="s">
        <v>1017</v>
      </c>
      <c r="E12" s="17" t="s">
        <v>1017</v>
      </c>
      <c r="F12" s="5" t="s">
        <v>1019</v>
      </c>
      <c r="G12" s="18" t="s">
        <v>1520</v>
      </c>
      <c r="H12" s="5" t="s">
        <v>24</v>
      </c>
      <c r="I12" s="18"/>
    </row>
    <row r="13" ht="17.25" spans="1:9">
      <c r="A13" s="5">
        <f t="shared" si="0"/>
        <v>3</v>
      </c>
      <c r="B13" s="25" t="s">
        <v>21</v>
      </c>
      <c r="C13" s="5"/>
      <c r="D13" s="5" t="s">
        <v>438</v>
      </c>
      <c r="E13" s="17" t="s">
        <v>1521</v>
      </c>
      <c r="F13" s="5" t="s">
        <v>29</v>
      </c>
      <c r="G13" s="18"/>
      <c r="H13" s="5" t="s">
        <v>24</v>
      </c>
      <c r="I13" s="18"/>
    </row>
    <row r="14" ht="17.25" spans="1:9">
      <c r="A14" s="5">
        <f t="shared" si="0"/>
        <v>4</v>
      </c>
      <c r="B14" s="18"/>
      <c r="C14" s="5"/>
      <c r="D14" s="5" t="s">
        <v>460</v>
      </c>
      <c r="E14" s="17" t="s">
        <v>1522</v>
      </c>
      <c r="F14" s="5" t="s">
        <v>462</v>
      </c>
      <c r="G14" s="18"/>
      <c r="H14" s="5" t="s">
        <v>24</v>
      </c>
      <c r="I14" s="18"/>
    </row>
    <row r="15" ht="17.25" spans="1:13">
      <c r="A15" s="5">
        <f t="shared" si="0"/>
        <v>5</v>
      </c>
      <c r="B15" s="25" t="s">
        <v>21</v>
      </c>
      <c r="C15" s="5"/>
      <c r="D15" s="5" t="s">
        <v>1523</v>
      </c>
      <c r="E15" s="17" t="s">
        <v>1524</v>
      </c>
      <c r="F15" s="5" t="s">
        <v>267</v>
      </c>
      <c r="G15" s="18" t="s">
        <v>1127</v>
      </c>
      <c r="H15" s="5" t="s">
        <v>24</v>
      </c>
      <c r="I15" s="18" t="s">
        <v>1525</v>
      </c>
      <c r="J15" s="5" t="s">
        <v>1526</v>
      </c>
      <c r="K15" s="5" t="s">
        <v>22</v>
      </c>
      <c r="L15" s="5"/>
      <c r="M15" s="5"/>
    </row>
    <row r="16" ht="17.25" spans="1:13">
      <c r="A16" s="5">
        <f t="shared" si="0"/>
        <v>6</v>
      </c>
      <c r="B16" s="25" t="s">
        <v>21</v>
      </c>
      <c r="C16" s="5"/>
      <c r="D16" s="5" t="s">
        <v>1351</v>
      </c>
      <c r="E16" s="17" t="s">
        <v>1527</v>
      </c>
      <c r="F16" s="5" t="s">
        <v>304</v>
      </c>
      <c r="G16" s="18" t="s">
        <v>1528</v>
      </c>
      <c r="H16" s="5" t="s">
        <v>24</v>
      </c>
      <c r="I16" s="18" t="s">
        <v>1529</v>
      </c>
      <c r="J16" s="5" t="s">
        <v>307</v>
      </c>
      <c r="K16" s="5" t="s">
        <v>26</v>
      </c>
      <c r="L16" s="5"/>
      <c r="M16" s="5"/>
    </row>
    <row r="17" ht="17.25" spans="1:13">
      <c r="A17" s="5">
        <f t="shared" si="0"/>
        <v>7</v>
      </c>
      <c r="B17" s="25" t="s">
        <v>21</v>
      </c>
      <c r="C17" s="5"/>
      <c r="D17" s="5" t="s">
        <v>935</v>
      </c>
      <c r="E17" s="17" t="s">
        <v>1530</v>
      </c>
      <c r="F17" s="5" t="s">
        <v>937</v>
      </c>
      <c r="G17" s="18" t="s">
        <v>1531</v>
      </c>
      <c r="H17" s="5" t="s">
        <v>30</v>
      </c>
      <c r="I17" s="18" t="s">
        <v>1532</v>
      </c>
      <c r="J17" s="5" t="s">
        <v>1533</v>
      </c>
      <c r="K17" s="5" t="s">
        <v>22</v>
      </c>
      <c r="L17" s="5"/>
      <c r="M17" s="5"/>
    </row>
    <row r="18" ht="17.25" spans="1:13">
      <c r="A18" s="5">
        <f t="shared" ref="A18:A64" si="1">ROW(A18)-10</f>
        <v>8</v>
      </c>
      <c r="B18" s="18"/>
      <c r="C18" s="5"/>
      <c r="D18" s="5" t="s">
        <v>244</v>
      </c>
      <c r="E18" s="17" t="s">
        <v>1534</v>
      </c>
      <c r="F18" s="5" t="s">
        <v>245</v>
      </c>
      <c r="G18" s="18" t="s">
        <v>1535</v>
      </c>
      <c r="H18" s="5" t="s">
        <v>30</v>
      </c>
      <c r="I18" s="18"/>
      <c r="J18" s="5"/>
      <c r="K18" s="5"/>
      <c r="L18" s="5"/>
      <c r="M18" s="5"/>
    </row>
    <row r="19" ht="17.25" spans="1:13">
      <c r="A19" s="5">
        <f t="shared" si="1"/>
        <v>9</v>
      </c>
      <c r="B19" s="25" t="s">
        <v>21</v>
      </c>
      <c r="C19" s="5"/>
      <c r="D19" s="5" t="s">
        <v>506</v>
      </c>
      <c r="E19" s="17" t="s">
        <v>1536</v>
      </c>
      <c r="F19" s="5" t="s">
        <v>1537</v>
      </c>
      <c r="G19" s="18" t="s">
        <v>1538</v>
      </c>
      <c r="H19" s="5" t="s">
        <v>411</v>
      </c>
      <c r="I19" s="18"/>
      <c r="J19" s="5"/>
      <c r="K19" s="5"/>
      <c r="L19" s="5"/>
      <c r="M19" s="5"/>
    </row>
    <row r="20" ht="17.25" spans="1:13">
      <c r="A20" s="5">
        <f t="shared" si="1"/>
        <v>10</v>
      </c>
      <c r="B20" s="25" t="s">
        <v>21</v>
      </c>
      <c r="C20" s="5"/>
      <c r="D20" s="5" t="s">
        <v>502</v>
      </c>
      <c r="E20" s="17" t="s">
        <v>1539</v>
      </c>
      <c r="F20" s="5" t="s">
        <v>504</v>
      </c>
      <c r="G20" s="18"/>
      <c r="H20" s="5" t="s">
        <v>1679</v>
      </c>
      <c r="I20" s="18"/>
      <c r="J20" s="5"/>
      <c r="K20" s="5"/>
      <c r="L20" s="5"/>
      <c r="M20" s="5"/>
    </row>
    <row r="21" ht="17.25" spans="1:13">
      <c r="A21" s="5">
        <f t="shared" si="1"/>
        <v>11</v>
      </c>
      <c r="B21" s="25" t="s">
        <v>21</v>
      </c>
      <c r="C21" s="5"/>
      <c r="D21" s="5" t="s">
        <v>1540</v>
      </c>
      <c r="E21" s="17" t="s">
        <v>1541</v>
      </c>
      <c r="F21" s="5" t="s">
        <v>465</v>
      </c>
      <c r="G21" s="18" t="s">
        <v>1542</v>
      </c>
      <c r="H21" s="5" t="s">
        <v>411</v>
      </c>
      <c r="I21" s="18" t="s">
        <v>1543</v>
      </c>
      <c r="J21" s="5" t="s">
        <v>4</v>
      </c>
      <c r="K21" s="5" t="s">
        <v>26</v>
      </c>
      <c r="L21" s="5" t="s">
        <v>465</v>
      </c>
      <c r="M21" s="5"/>
    </row>
    <row r="22" ht="17.25" spans="1:13">
      <c r="A22" s="5">
        <f t="shared" si="1"/>
        <v>12</v>
      </c>
      <c r="B22" s="25" t="s">
        <v>21</v>
      </c>
      <c r="C22" s="5"/>
      <c r="D22" s="5" t="s">
        <v>1544</v>
      </c>
      <c r="E22" s="17" t="s">
        <v>1545</v>
      </c>
      <c r="F22" s="5" t="s">
        <v>493</v>
      </c>
      <c r="G22" s="18" t="s">
        <v>1546</v>
      </c>
      <c r="H22" s="5" t="s">
        <v>411</v>
      </c>
      <c r="I22" s="18" t="s">
        <v>1547</v>
      </c>
      <c r="J22" s="5" t="s">
        <v>4</v>
      </c>
      <c r="K22" s="5" t="s">
        <v>26</v>
      </c>
      <c r="L22" s="5" t="s">
        <v>493</v>
      </c>
      <c r="M22" s="5"/>
    </row>
    <row r="23" ht="17.25" spans="1:13">
      <c r="A23" s="5">
        <f t="shared" si="1"/>
        <v>13</v>
      </c>
      <c r="B23" s="25" t="s">
        <v>21</v>
      </c>
      <c r="C23" s="5"/>
      <c r="D23" s="5" t="s">
        <v>1548</v>
      </c>
      <c r="E23" s="17" t="s">
        <v>1549</v>
      </c>
      <c r="F23" s="5" t="s">
        <v>497</v>
      </c>
      <c r="G23" s="18"/>
      <c r="H23" s="5" t="s">
        <v>411</v>
      </c>
      <c r="I23" s="18" t="s">
        <v>1550</v>
      </c>
      <c r="J23" s="5" t="s">
        <v>4</v>
      </c>
      <c r="K23" s="5" t="s">
        <v>26</v>
      </c>
      <c r="L23" s="5" t="s">
        <v>497</v>
      </c>
      <c r="M23" s="5"/>
    </row>
    <row r="24" ht="17.25" spans="1:13">
      <c r="A24" s="5">
        <f t="shared" si="1"/>
        <v>14</v>
      </c>
      <c r="B24" s="18"/>
      <c r="C24" s="26"/>
      <c r="D24" s="26" t="s">
        <v>1551</v>
      </c>
      <c r="E24" s="17" t="s">
        <v>1552</v>
      </c>
      <c r="F24" s="5" t="s">
        <v>695</v>
      </c>
      <c r="G24" s="18" t="s">
        <v>1553</v>
      </c>
      <c r="H24" s="5" t="s">
        <v>411</v>
      </c>
      <c r="I24" s="18" t="s">
        <v>1554</v>
      </c>
      <c r="J24" s="5" t="s">
        <v>4</v>
      </c>
      <c r="K24" s="5" t="s">
        <v>26</v>
      </c>
      <c r="L24" s="5" t="s">
        <v>695</v>
      </c>
      <c r="M24" s="5"/>
    </row>
    <row r="25" ht="17.25" spans="1:13">
      <c r="A25" s="5">
        <f t="shared" si="1"/>
        <v>15</v>
      </c>
      <c r="B25" s="25" t="s">
        <v>21</v>
      </c>
      <c r="C25" s="5"/>
      <c r="D25" s="5" t="s">
        <v>308</v>
      </c>
      <c r="E25" s="17" t="s">
        <v>1555</v>
      </c>
      <c r="F25" s="5" t="s">
        <v>310</v>
      </c>
      <c r="G25" s="18" t="s">
        <v>1556</v>
      </c>
      <c r="H25" s="5" t="s">
        <v>42</v>
      </c>
      <c r="I25" s="18"/>
      <c r="J25" s="5"/>
      <c r="K25" s="5"/>
      <c r="L25" s="5"/>
      <c r="M25" s="5"/>
    </row>
    <row r="26" ht="34.5" spans="1:13">
      <c r="A26" s="5">
        <f t="shared" si="1"/>
        <v>16</v>
      </c>
      <c r="B26" s="25" t="s">
        <v>21</v>
      </c>
      <c r="C26" s="46"/>
      <c r="D26" s="46" t="s">
        <v>312</v>
      </c>
      <c r="E26" s="48" t="s">
        <v>1557</v>
      </c>
      <c r="F26" s="49" t="s">
        <v>314</v>
      </c>
      <c r="G26" s="50" t="s">
        <v>315</v>
      </c>
      <c r="H26" s="51" t="s">
        <v>24</v>
      </c>
      <c r="I26" s="39" t="s">
        <v>316</v>
      </c>
      <c r="J26" s="5" t="s">
        <v>4</v>
      </c>
      <c r="K26" s="5" t="s">
        <v>26</v>
      </c>
      <c r="L26" s="5" t="s">
        <v>314</v>
      </c>
      <c r="M26" s="5"/>
    </row>
    <row r="27" ht="86.25" spans="1:13">
      <c r="A27" s="5">
        <f t="shared" si="1"/>
        <v>17</v>
      </c>
      <c r="B27" s="25" t="s">
        <v>21</v>
      </c>
      <c r="C27" s="26"/>
      <c r="D27" s="26" t="s">
        <v>1558</v>
      </c>
      <c r="E27" s="17" t="s">
        <v>1559</v>
      </c>
      <c r="F27" s="5" t="s">
        <v>1560</v>
      </c>
      <c r="G27" s="5" t="s">
        <v>1561</v>
      </c>
      <c r="H27" s="5" t="s">
        <v>411</v>
      </c>
      <c r="I27" s="18" t="s">
        <v>1562</v>
      </c>
      <c r="J27" s="5" t="s">
        <v>4</v>
      </c>
      <c r="K27" s="5" t="s">
        <v>26</v>
      </c>
      <c r="L27" s="5" t="s">
        <v>1560</v>
      </c>
      <c r="M27" s="5"/>
    </row>
    <row r="28" ht="103.5" spans="1:13">
      <c r="A28" s="5">
        <f t="shared" si="1"/>
        <v>18</v>
      </c>
      <c r="B28" s="18"/>
      <c r="C28" s="26"/>
      <c r="D28" s="26" t="s">
        <v>1563</v>
      </c>
      <c r="E28" s="17" t="s">
        <v>1564</v>
      </c>
      <c r="F28" s="5" t="s">
        <v>1565</v>
      </c>
      <c r="G28" s="5" t="s">
        <v>1566</v>
      </c>
      <c r="H28" s="5" t="s">
        <v>411</v>
      </c>
      <c r="I28" s="18" t="s">
        <v>1567</v>
      </c>
      <c r="J28" s="5" t="s">
        <v>4</v>
      </c>
      <c r="K28" s="5" t="s">
        <v>26</v>
      </c>
      <c r="L28" s="5" t="s">
        <v>1565</v>
      </c>
      <c r="M28" s="5"/>
    </row>
    <row r="29" ht="17.25" spans="1:13">
      <c r="A29" s="5">
        <f t="shared" si="1"/>
        <v>19</v>
      </c>
      <c r="B29" s="25" t="s">
        <v>21</v>
      </c>
      <c r="C29" s="5"/>
      <c r="D29" s="5" t="s">
        <v>1568</v>
      </c>
      <c r="E29" s="17" t="s">
        <v>1569</v>
      </c>
      <c r="F29" s="5" t="s">
        <v>1570</v>
      </c>
      <c r="G29" s="18" t="s">
        <v>1571</v>
      </c>
      <c r="H29" s="5" t="s">
        <v>411</v>
      </c>
      <c r="I29" s="18"/>
      <c r="J29" s="5"/>
      <c r="K29" s="5"/>
      <c r="L29" s="5"/>
      <c r="M29" s="5"/>
    </row>
    <row r="30" ht="17.25" spans="1:13">
      <c r="A30" s="5">
        <f t="shared" si="1"/>
        <v>20</v>
      </c>
      <c r="B30" s="25" t="s">
        <v>21</v>
      </c>
      <c r="C30" s="5"/>
      <c r="D30" s="5" t="s">
        <v>317</v>
      </c>
      <c r="E30" s="17" t="s">
        <v>1680</v>
      </c>
      <c r="F30" s="5" t="s">
        <v>1573</v>
      </c>
      <c r="G30" s="18" t="s">
        <v>1574</v>
      </c>
      <c r="H30" s="5" t="s">
        <v>243</v>
      </c>
      <c r="I30" s="18"/>
      <c r="J30" s="5"/>
      <c r="K30" s="5"/>
      <c r="L30" s="5"/>
      <c r="M30" s="5"/>
    </row>
    <row r="31" ht="51.75" spans="1:13">
      <c r="A31" s="5">
        <f t="shared" si="1"/>
        <v>21</v>
      </c>
      <c r="B31" s="25" t="s">
        <v>21</v>
      </c>
      <c r="C31" s="26"/>
      <c r="D31" s="26" t="s">
        <v>1575</v>
      </c>
      <c r="E31" s="17" t="s">
        <v>1576</v>
      </c>
      <c r="F31" s="5" t="s">
        <v>1577</v>
      </c>
      <c r="G31" s="5" t="s">
        <v>1578</v>
      </c>
      <c r="H31" s="5" t="s">
        <v>411</v>
      </c>
      <c r="I31" s="18" t="s">
        <v>1579</v>
      </c>
      <c r="J31" s="5" t="s">
        <v>4</v>
      </c>
      <c r="K31" s="5" t="s">
        <v>26</v>
      </c>
      <c r="L31" s="5" t="s">
        <v>1577</v>
      </c>
      <c r="M31" s="5"/>
    </row>
    <row r="32" ht="17.25" spans="1:13">
      <c r="A32" s="5">
        <f t="shared" si="1"/>
        <v>22</v>
      </c>
      <c r="B32" s="25" t="s">
        <v>21</v>
      </c>
      <c r="C32" s="26"/>
      <c r="D32" s="26" t="s">
        <v>1580</v>
      </c>
      <c r="E32" s="17" t="s">
        <v>1581</v>
      </c>
      <c r="F32" s="5" t="s">
        <v>1582</v>
      </c>
      <c r="G32" s="5" t="s">
        <v>1583</v>
      </c>
      <c r="H32" s="5" t="s">
        <v>411</v>
      </c>
      <c r="I32" s="18" t="s">
        <v>1584</v>
      </c>
      <c r="J32" s="5" t="s">
        <v>4</v>
      </c>
      <c r="K32" s="5" t="s">
        <v>26</v>
      </c>
      <c r="L32" s="5" t="s">
        <v>1582</v>
      </c>
      <c r="M32" s="5"/>
    </row>
    <row r="33" ht="17.25" spans="1:13">
      <c r="A33" s="5">
        <f t="shared" si="1"/>
        <v>23</v>
      </c>
      <c r="B33" s="25" t="s">
        <v>21</v>
      </c>
      <c r="C33" s="5"/>
      <c r="D33" s="5" t="s">
        <v>1585</v>
      </c>
      <c r="E33" s="17" t="s">
        <v>1586</v>
      </c>
      <c r="F33" s="5" t="s">
        <v>1587</v>
      </c>
      <c r="G33" s="18" t="s">
        <v>1588</v>
      </c>
      <c r="H33" s="5" t="s">
        <v>27</v>
      </c>
      <c r="I33" s="18" t="s">
        <v>1589</v>
      </c>
      <c r="J33" s="5" t="s">
        <v>1681</v>
      </c>
      <c r="K33" s="5" t="s">
        <v>22</v>
      </c>
      <c r="L33" s="5"/>
      <c r="M33" s="5"/>
    </row>
    <row r="34" ht="17.25" spans="1:13">
      <c r="A34" s="5">
        <f t="shared" si="1"/>
        <v>24</v>
      </c>
      <c r="B34" s="18"/>
      <c r="C34" s="5"/>
      <c r="D34" s="5" t="s">
        <v>1591</v>
      </c>
      <c r="E34" s="17" t="s">
        <v>1592</v>
      </c>
      <c r="F34" s="5" t="s">
        <v>1593</v>
      </c>
      <c r="G34" s="18" t="s">
        <v>1594</v>
      </c>
      <c r="H34" s="5" t="s">
        <v>1595</v>
      </c>
      <c r="I34" s="18"/>
      <c r="J34" s="5"/>
      <c r="K34" s="5"/>
      <c r="L34" s="5"/>
      <c r="M34" s="5"/>
    </row>
    <row r="35" ht="69" spans="1:13">
      <c r="A35" s="5">
        <f t="shared" si="1"/>
        <v>25</v>
      </c>
      <c r="B35" s="25" t="s">
        <v>21</v>
      </c>
      <c r="C35" s="5"/>
      <c r="D35" s="5" t="s">
        <v>325</v>
      </c>
      <c r="E35" s="17" t="s">
        <v>1596</v>
      </c>
      <c r="F35" s="5" t="s">
        <v>327</v>
      </c>
      <c r="G35" s="5" t="s">
        <v>1597</v>
      </c>
      <c r="H35" s="5" t="s">
        <v>411</v>
      </c>
      <c r="I35" s="18"/>
      <c r="J35" s="5"/>
      <c r="K35" s="5"/>
      <c r="L35" s="5"/>
      <c r="M35" s="5"/>
    </row>
    <row r="36" ht="51.75" spans="1:13">
      <c r="A36" s="5">
        <f t="shared" si="1"/>
        <v>26</v>
      </c>
      <c r="B36" s="25" t="s">
        <v>21</v>
      </c>
      <c r="C36" s="5"/>
      <c r="D36" s="5" t="s">
        <v>330</v>
      </c>
      <c r="E36" s="17" t="s">
        <v>1598</v>
      </c>
      <c r="F36" s="5" t="s">
        <v>332</v>
      </c>
      <c r="G36" s="5" t="s">
        <v>1599</v>
      </c>
      <c r="H36" s="5" t="s">
        <v>411</v>
      </c>
      <c r="I36" s="18"/>
      <c r="J36" s="5"/>
      <c r="K36" s="5"/>
      <c r="L36" s="5"/>
      <c r="M36" s="5"/>
    </row>
    <row r="37" ht="51.75" spans="1:13">
      <c r="A37" s="5">
        <f t="shared" si="1"/>
        <v>27</v>
      </c>
      <c r="B37" s="25" t="s">
        <v>21</v>
      </c>
      <c r="C37" s="5"/>
      <c r="D37" s="5" t="s">
        <v>321</v>
      </c>
      <c r="E37" s="17" t="s">
        <v>1600</v>
      </c>
      <c r="F37" s="5" t="s">
        <v>323</v>
      </c>
      <c r="G37" s="5" t="s">
        <v>1601</v>
      </c>
      <c r="H37" s="5" t="s">
        <v>243</v>
      </c>
      <c r="I37" s="18"/>
      <c r="J37" s="5"/>
      <c r="K37" s="5"/>
      <c r="L37" s="5"/>
      <c r="M37" s="5"/>
    </row>
    <row r="38" ht="103.5" spans="1:13">
      <c r="A38" s="5">
        <f t="shared" si="1"/>
        <v>28</v>
      </c>
      <c r="B38" s="18"/>
      <c r="C38" s="26"/>
      <c r="D38" s="26" t="s">
        <v>1602</v>
      </c>
      <c r="E38" s="17" t="s">
        <v>1603</v>
      </c>
      <c r="F38" s="5" t="s">
        <v>1604</v>
      </c>
      <c r="G38" s="5" t="s">
        <v>1605</v>
      </c>
      <c r="H38" s="5" t="s">
        <v>411</v>
      </c>
      <c r="I38" s="18" t="s">
        <v>1606</v>
      </c>
      <c r="J38" s="5" t="s">
        <v>4</v>
      </c>
      <c r="K38" s="5" t="s">
        <v>26</v>
      </c>
      <c r="L38" s="5" t="s">
        <v>1604</v>
      </c>
      <c r="M38" s="5"/>
    </row>
    <row r="39" ht="17.25" spans="1:13">
      <c r="A39" s="5">
        <f t="shared" si="1"/>
        <v>29</v>
      </c>
      <c r="B39" s="18"/>
      <c r="C39" s="5"/>
      <c r="D39" s="5" t="s">
        <v>1607</v>
      </c>
      <c r="E39" s="17" t="s">
        <v>1608</v>
      </c>
      <c r="F39" s="5" t="s">
        <v>1609</v>
      </c>
      <c r="G39" s="18" t="s">
        <v>1610</v>
      </c>
      <c r="H39" s="5" t="s">
        <v>1595</v>
      </c>
      <c r="I39" s="18"/>
      <c r="J39" s="5"/>
      <c r="K39" s="5"/>
      <c r="L39" s="5"/>
      <c r="M39" s="5"/>
    </row>
    <row r="40" ht="34.5" spans="1:13">
      <c r="A40" s="5">
        <f t="shared" si="1"/>
        <v>30</v>
      </c>
      <c r="B40" s="52" t="s">
        <v>21</v>
      </c>
      <c r="C40" s="26"/>
      <c r="D40" s="26" t="s">
        <v>1611</v>
      </c>
      <c r="E40" s="17" t="s">
        <v>1612</v>
      </c>
      <c r="F40" s="26" t="s">
        <v>647</v>
      </c>
      <c r="G40" s="26" t="s">
        <v>1613</v>
      </c>
      <c r="H40" s="26" t="s">
        <v>42</v>
      </c>
      <c r="I40" s="42"/>
      <c r="J40" s="5"/>
      <c r="K40" s="5"/>
      <c r="L40" s="5"/>
      <c r="M40" s="5"/>
    </row>
    <row r="41" ht="17.25" spans="1:13">
      <c r="A41" s="5">
        <f t="shared" si="1"/>
        <v>31</v>
      </c>
      <c r="B41" s="52" t="s">
        <v>21</v>
      </c>
      <c r="C41" s="26"/>
      <c r="D41" s="26" t="s">
        <v>800</v>
      </c>
      <c r="E41" s="17" t="s">
        <v>801</v>
      </c>
      <c r="F41" s="26" t="s">
        <v>802</v>
      </c>
      <c r="G41" s="26"/>
      <c r="H41" s="26" t="s">
        <v>243</v>
      </c>
      <c r="I41" s="42"/>
      <c r="J41" s="5"/>
      <c r="K41" s="5"/>
      <c r="L41" s="5"/>
      <c r="M41" s="5"/>
    </row>
    <row r="42" ht="34.5" spans="1:13">
      <c r="A42" s="5">
        <f t="shared" si="1"/>
        <v>32</v>
      </c>
      <c r="B42" s="52" t="s">
        <v>21</v>
      </c>
      <c r="C42" s="26"/>
      <c r="D42" s="26" t="s">
        <v>1614</v>
      </c>
      <c r="E42" s="17" t="s">
        <v>1615</v>
      </c>
      <c r="F42" s="26" t="s">
        <v>1616</v>
      </c>
      <c r="G42" s="26"/>
      <c r="H42" s="26" t="s">
        <v>27</v>
      </c>
      <c r="J42" s="5" t="s">
        <v>1682</v>
      </c>
      <c r="K42" s="5" t="s">
        <v>22</v>
      </c>
      <c r="L42" s="5"/>
      <c r="M42" s="5"/>
    </row>
    <row r="43" ht="17.25" spans="1:13">
      <c r="A43" s="5">
        <f t="shared" si="1"/>
        <v>33</v>
      </c>
      <c r="B43" s="52" t="s">
        <v>21</v>
      </c>
      <c r="C43" s="26"/>
      <c r="D43" s="26" t="s">
        <v>1621</v>
      </c>
      <c r="E43" s="17" t="s">
        <v>1622</v>
      </c>
      <c r="F43" s="26" t="s">
        <v>1623</v>
      </c>
      <c r="G43" s="26"/>
      <c r="H43" s="26" t="s">
        <v>27</v>
      </c>
      <c r="J43" s="5" t="s">
        <v>4</v>
      </c>
      <c r="K43" s="5" t="s">
        <v>26</v>
      </c>
      <c r="L43" s="5" t="s">
        <v>1623</v>
      </c>
      <c r="M43" s="5"/>
    </row>
    <row r="44" ht="17.25" spans="1:13">
      <c r="A44" s="5">
        <f t="shared" si="1"/>
        <v>34</v>
      </c>
      <c r="B44" s="52" t="s">
        <v>21</v>
      </c>
      <c r="C44" s="26"/>
      <c r="D44" s="26" t="s">
        <v>1624</v>
      </c>
      <c r="E44" s="17" t="s">
        <v>1625</v>
      </c>
      <c r="F44" s="26" t="s">
        <v>1626</v>
      </c>
      <c r="G44" s="26"/>
      <c r="H44" s="26" t="s">
        <v>27</v>
      </c>
      <c r="J44" s="5" t="s">
        <v>1683</v>
      </c>
      <c r="K44" s="5" t="s">
        <v>22</v>
      </c>
      <c r="L44" s="5"/>
      <c r="M44" s="5"/>
    </row>
    <row r="45" ht="17.25" spans="1:13">
      <c r="A45" s="5">
        <f t="shared" si="1"/>
        <v>35</v>
      </c>
      <c r="B45" s="52" t="s">
        <v>21</v>
      </c>
      <c r="C45" s="20" t="s">
        <v>224</v>
      </c>
      <c r="D45" s="26" t="s">
        <v>1611</v>
      </c>
      <c r="E45" s="17" t="s">
        <v>1612</v>
      </c>
      <c r="F45" s="26" t="s">
        <v>1628</v>
      </c>
      <c r="G45" s="26"/>
      <c r="H45" s="26" t="s">
        <v>42</v>
      </c>
      <c r="J45" s="5"/>
      <c r="K45" s="5"/>
      <c r="L45" s="5"/>
      <c r="M45" s="5"/>
    </row>
    <row r="46" ht="22" customHeight="1" spans="1:13">
      <c r="A46" s="5">
        <f t="shared" si="1"/>
        <v>36</v>
      </c>
      <c r="B46" s="52" t="s">
        <v>21</v>
      </c>
      <c r="C46" s="26"/>
      <c r="D46" s="26" t="s">
        <v>1629</v>
      </c>
      <c r="E46" s="17" t="s">
        <v>1630</v>
      </c>
      <c r="F46" s="26" t="s">
        <v>338</v>
      </c>
      <c r="G46" s="26"/>
      <c r="H46" s="26" t="s">
        <v>27</v>
      </c>
      <c r="J46" s="5" t="s">
        <v>4</v>
      </c>
      <c r="K46" s="5" t="s">
        <v>26</v>
      </c>
      <c r="L46" s="5" t="s">
        <v>314</v>
      </c>
      <c r="M46" s="5"/>
    </row>
    <row r="47" ht="17.25" spans="1:13">
      <c r="A47" s="54">
        <v>37</v>
      </c>
      <c r="B47" s="56" t="s">
        <v>21</v>
      </c>
      <c r="C47" s="54"/>
      <c r="D47" s="54" t="s">
        <v>1631</v>
      </c>
      <c r="E47" s="53" t="s">
        <v>1632</v>
      </c>
      <c r="F47" s="54" t="s">
        <v>1633</v>
      </c>
      <c r="G47" s="54"/>
      <c r="H47" s="54" t="s">
        <v>243</v>
      </c>
      <c r="I47" s="55"/>
      <c r="J47" s="54"/>
      <c r="K47" s="54"/>
      <c r="L47" s="54"/>
      <c r="M47" s="54"/>
    </row>
    <row r="48" ht="17.25" spans="1:13">
      <c r="A48" s="5">
        <f t="shared" ref="A48:A66" si="2">ROW(A48)-10</f>
        <v>38</v>
      </c>
      <c r="B48" s="52" t="s">
        <v>21</v>
      </c>
      <c r="C48" s="26"/>
      <c r="D48" s="26" t="s">
        <v>1618</v>
      </c>
      <c r="E48" s="17" t="s">
        <v>1618</v>
      </c>
      <c r="F48" s="26" t="s">
        <v>1619</v>
      </c>
      <c r="G48" s="26"/>
      <c r="H48" s="26" t="s">
        <v>27</v>
      </c>
      <c r="J48" s="5" t="s">
        <v>1684</v>
      </c>
      <c r="K48" s="5" t="s">
        <v>22</v>
      </c>
      <c r="L48" s="5"/>
      <c r="M48" s="5"/>
    </row>
    <row r="49" ht="17.25" spans="1:13">
      <c r="A49" s="5">
        <f t="shared" si="2"/>
        <v>39</v>
      </c>
      <c r="B49" s="52" t="s">
        <v>21</v>
      </c>
      <c r="C49" s="26"/>
      <c r="D49" s="26" t="s">
        <v>340</v>
      </c>
      <c r="E49" s="17" t="s">
        <v>1634</v>
      </c>
      <c r="F49" s="26" t="s">
        <v>342</v>
      </c>
      <c r="G49" s="26"/>
      <c r="H49" s="26" t="s">
        <v>42</v>
      </c>
      <c r="J49" s="5"/>
      <c r="K49" s="5"/>
      <c r="L49" s="5"/>
      <c r="M49" s="5"/>
    </row>
    <row r="50" ht="34.5" spans="1:13">
      <c r="A50" s="5">
        <f t="shared" si="2"/>
        <v>40</v>
      </c>
      <c r="B50" s="52" t="s">
        <v>21</v>
      </c>
      <c r="C50" s="26"/>
      <c r="D50" s="26" t="s">
        <v>1635</v>
      </c>
      <c r="E50" s="17" t="s">
        <v>1635</v>
      </c>
      <c r="F50" s="26" t="s">
        <v>1637</v>
      </c>
      <c r="G50" s="26"/>
      <c r="H50" s="26" t="s">
        <v>27</v>
      </c>
      <c r="J50" s="5" t="s">
        <v>1685</v>
      </c>
      <c r="K50" s="5" t="s">
        <v>22</v>
      </c>
      <c r="L50" s="5"/>
      <c r="M50" s="5"/>
    </row>
    <row r="51" ht="17.25" spans="1:13">
      <c r="A51" s="5">
        <f t="shared" si="2"/>
        <v>41</v>
      </c>
      <c r="B51" s="52" t="s">
        <v>21</v>
      </c>
      <c r="C51" s="26"/>
      <c r="D51" s="26" t="s">
        <v>1639</v>
      </c>
      <c r="E51" s="17" t="s">
        <v>1686</v>
      </c>
      <c r="F51" s="26" t="s">
        <v>1641</v>
      </c>
      <c r="G51" s="26"/>
      <c r="H51" s="26" t="s">
        <v>27</v>
      </c>
      <c r="J51" s="5" t="s">
        <v>1681</v>
      </c>
      <c r="K51" s="5" t="s">
        <v>22</v>
      </c>
      <c r="L51" s="5"/>
      <c r="M51" s="5"/>
    </row>
    <row r="52" ht="17.25" spans="1:13">
      <c r="A52" s="5">
        <f t="shared" si="2"/>
        <v>42</v>
      </c>
      <c r="B52" s="52" t="s">
        <v>21</v>
      </c>
      <c r="C52" s="26"/>
      <c r="D52" s="26" t="s">
        <v>1642</v>
      </c>
      <c r="E52" s="17" t="s">
        <v>1687</v>
      </c>
      <c r="F52" s="26" t="s">
        <v>691</v>
      </c>
      <c r="G52" s="26"/>
      <c r="H52" s="26" t="s">
        <v>27</v>
      </c>
      <c r="J52" s="5" t="s">
        <v>4</v>
      </c>
      <c r="K52" s="5" t="s">
        <v>26</v>
      </c>
      <c r="L52" s="5" t="s">
        <v>691</v>
      </c>
      <c r="M52" s="5"/>
    </row>
    <row r="53" ht="17.25" spans="1:13">
      <c r="A53" s="5">
        <f t="shared" si="2"/>
        <v>43</v>
      </c>
      <c r="B53" s="52" t="s">
        <v>21</v>
      </c>
      <c r="C53" s="26"/>
      <c r="D53" s="26" t="s">
        <v>1644</v>
      </c>
      <c r="E53" s="17" t="s">
        <v>1645</v>
      </c>
      <c r="F53" s="26" t="s">
        <v>524</v>
      </c>
      <c r="G53" s="26"/>
      <c r="H53" s="26" t="s">
        <v>24</v>
      </c>
      <c r="J53" s="5"/>
      <c r="K53" s="5"/>
      <c r="L53" s="5"/>
      <c r="M53" s="5"/>
    </row>
    <row r="54" ht="17.25" spans="1:13">
      <c r="A54" s="5">
        <f t="shared" si="2"/>
        <v>44</v>
      </c>
      <c r="B54" s="52"/>
      <c r="C54" s="26"/>
      <c r="D54" s="26" t="s">
        <v>1646</v>
      </c>
      <c r="E54" s="17" t="s">
        <v>1647</v>
      </c>
      <c r="F54" s="26" t="s">
        <v>711</v>
      </c>
      <c r="G54" s="26" t="s">
        <v>1207</v>
      </c>
      <c r="H54" s="26" t="s">
        <v>24</v>
      </c>
      <c r="J54" s="5"/>
      <c r="K54" s="5"/>
      <c r="L54" s="5"/>
      <c r="M54" s="5"/>
    </row>
    <row r="55" ht="17.25" spans="1:13">
      <c r="A55" s="5">
        <f t="shared" si="2"/>
        <v>45</v>
      </c>
      <c r="B55" s="52"/>
      <c r="C55" s="26"/>
      <c r="D55" s="26" t="s">
        <v>1648</v>
      </c>
      <c r="E55" s="17" t="s">
        <v>1649</v>
      </c>
      <c r="F55" s="26" t="s">
        <v>1650</v>
      </c>
      <c r="G55" s="26" t="s">
        <v>1207</v>
      </c>
      <c r="H55" s="26" t="s">
        <v>24</v>
      </c>
      <c r="J55" s="5"/>
      <c r="K55" s="5"/>
      <c r="L55" s="5"/>
      <c r="M55" s="5"/>
    </row>
    <row r="56" ht="17.25" spans="1:13">
      <c r="A56" s="5">
        <f t="shared" si="2"/>
        <v>46</v>
      </c>
      <c r="B56" s="52"/>
      <c r="C56" s="26"/>
      <c r="D56" s="26" t="s">
        <v>1651</v>
      </c>
      <c r="E56" s="17" t="s">
        <v>1652</v>
      </c>
      <c r="F56" s="26" t="s">
        <v>1653</v>
      </c>
      <c r="G56" s="26" t="s">
        <v>1207</v>
      </c>
      <c r="H56" s="26" t="s">
        <v>1595</v>
      </c>
      <c r="J56" s="5"/>
      <c r="K56" s="5"/>
      <c r="L56" s="5"/>
      <c r="M56" s="5"/>
    </row>
    <row r="57" ht="51.75" spans="1:13">
      <c r="A57" s="5">
        <f t="shared" si="2"/>
        <v>47</v>
      </c>
      <c r="B57" s="52"/>
      <c r="C57" s="26"/>
      <c r="D57" s="26" t="s">
        <v>1654</v>
      </c>
      <c r="E57" s="17" t="s">
        <v>1654</v>
      </c>
      <c r="F57" s="26" t="s">
        <v>1655</v>
      </c>
      <c r="G57" s="26" t="s">
        <v>1656</v>
      </c>
      <c r="H57" s="26" t="s">
        <v>42</v>
      </c>
      <c r="J57" s="5"/>
      <c r="K57" s="5"/>
      <c r="L57" s="5"/>
      <c r="M57" s="5"/>
    </row>
    <row r="58" ht="17.25" spans="1:13">
      <c r="A58" s="5">
        <f t="shared" si="2"/>
        <v>48</v>
      </c>
      <c r="B58" s="52"/>
      <c r="C58" s="26"/>
      <c r="D58" s="26" t="s">
        <v>1657</v>
      </c>
      <c r="E58" s="17" t="s">
        <v>1658</v>
      </c>
      <c r="F58" s="26" t="s">
        <v>1659</v>
      </c>
      <c r="G58" s="26" t="s">
        <v>1660</v>
      </c>
      <c r="H58" s="26" t="s">
        <v>53</v>
      </c>
      <c r="I58" s="42"/>
      <c r="J58" s="5"/>
      <c r="K58" s="5"/>
      <c r="L58" s="5"/>
      <c r="M58" s="5"/>
    </row>
    <row r="59" ht="17.25" spans="1:13">
      <c r="A59" s="5">
        <f t="shared" si="2"/>
        <v>49</v>
      </c>
      <c r="B59" s="52"/>
      <c r="C59" s="26"/>
      <c r="D59" s="26" t="s">
        <v>1661</v>
      </c>
      <c r="E59" s="17" t="s">
        <v>1662</v>
      </c>
      <c r="F59" s="26" t="s">
        <v>1663</v>
      </c>
      <c r="G59" s="26" t="s">
        <v>1660</v>
      </c>
      <c r="H59" s="26" t="s">
        <v>53</v>
      </c>
      <c r="I59" s="42"/>
      <c r="J59" s="5"/>
      <c r="K59" s="5"/>
      <c r="L59" s="5"/>
      <c r="M59" s="5"/>
    </row>
    <row r="60" ht="17.25" spans="1:13">
      <c r="A60" s="5">
        <f t="shared" si="2"/>
        <v>50</v>
      </c>
      <c r="B60" s="52"/>
      <c r="C60" s="26"/>
      <c r="D60" s="26" t="s">
        <v>1664</v>
      </c>
      <c r="E60" s="17" t="s">
        <v>1665</v>
      </c>
      <c r="F60" s="26" t="s">
        <v>134</v>
      </c>
      <c r="G60" s="26" t="s">
        <v>1660</v>
      </c>
      <c r="H60" s="26" t="s">
        <v>219</v>
      </c>
      <c r="I60" s="42"/>
      <c r="J60" s="5"/>
      <c r="K60" s="5"/>
      <c r="L60" s="5"/>
      <c r="M60" s="5"/>
    </row>
    <row r="61" ht="17.25" spans="1:13">
      <c r="A61" s="5">
        <f t="shared" si="2"/>
        <v>51</v>
      </c>
      <c r="B61" s="52"/>
      <c r="C61" s="26"/>
      <c r="D61" s="26" t="s">
        <v>1666</v>
      </c>
      <c r="E61" s="17" t="s">
        <v>1667</v>
      </c>
      <c r="F61" s="26" t="s">
        <v>1666</v>
      </c>
      <c r="G61" s="26" t="s">
        <v>1660</v>
      </c>
      <c r="H61" s="26" t="s">
        <v>24</v>
      </c>
      <c r="I61" s="42"/>
      <c r="J61" s="5"/>
      <c r="K61" s="5"/>
      <c r="L61" s="5"/>
      <c r="M61" s="5"/>
    </row>
    <row r="62" ht="17.25" spans="1:13">
      <c r="A62" s="5">
        <f t="shared" si="2"/>
        <v>52</v>
      </c>
      <c r="B62" s="52"/>
      <c r="C62" s="26"/>
      <c r="D62" s="26" t="s">
        <v>1668</v>
      </c>
      <c r="E62" s="17" t="s">
        <v>1669</v>
      </c>
      <c r="F62" s="26" t="s">
        <v>1670</v>
      </c>
      <c r="G62" s="26" t="s">
        <v>1660</v>
      </c>
      <c r="H62" s="26" t="s">
        <v>219</v>
      </c>
      <c r="I62" s="42"/>
      <c r="J62" s="5"/>
      <c r="K62" s="5"/>
      <c r="L62" s="5"/>
      <c r="M62" s="5"/>
    </row>
    <row r="63" ht="17.25" spans="1:13">
      <c r="A63" s="5">
        <f t="shared" si="2"/>
        <v>53</v>
      </c>
      <c r="B63" s="5"/>
      <c r="C63" s="5"/>
      <c r="D63" s="5" t="s">
        <v>653</v>
      </c>
      <c r="E63" s="5" t="s">
        <v>653</v>
      </c>
      <c r="F63" s="5" t="s">
        <v>654</v>
      </c>
      <c r="G63" s="5"/>
      <c r="H63" s="5" t="s">
        <v>1672</v>
      </c>
      <c r="I63" s="5"/>
      <c r="J63" s="5"/>
      <c r="K63" s="5"/>
      <c r="L63" s="5"/>
      <c r="M63" s="5"/>
    </row>
    <row r="64" ht="17.25" spans="1:13">
      <c r="A64" s="5">
        <f t="shared" si="2"/>
        <v>54</v>
      </c>
      <c r="B64" s="5"/>
      <c r="C64" s="5"/>
      <c r="D64" s="5" t="s">
        <v>1673</v>
      </c>
      <c r="E64" s="5" t="s">
        <v>1673</v>
      </c>
      <c r="F64" s="5" t="s">
        <v>1674</v>
      </c>
      <c r="G64" s="5"/>
      <c r="H64" s="5" t="s">
        <v>27</v>
      </c>
      <c r="I64" s="5"/>
      <c r="J64" s="5"/>
      <c r="K64" s="5"/>
      <c r="L64" s="5"/>
      <c r="M64" s="5"/>
    </row>
    <row r="65" ht="17.25" spans="1:13">
      <c r="A65" s="5">
        <f t="shared" si="2"/>
        <v>55</v>
      </c>
      <c r="B65" s="5"/>
      <c r="C65" s="5"/>
      <c r="D65" s="5" t="s">
        <v>1675</v>
      </c>
      <c r="E65" s="5" t="s">
        <v>1675</v>
      </c>
      <c r="F65" s="5" t="s">
        <v>1676</v>
      </c>
      <c r="G65" s="5"/>
      <c r="H65" s="5" t="s">
        <v>24</v>
      </c>
      <c r="I65" s="5"/>
      <c r="J65" s="5"/>
      <c r="K65" s="5"/>
      <c r="L65" s="5"/>
      <c r="M65" s="5"/>
    </row>
    <row r="66" ht="34.5" spans="1:13">
      <c r="A66" s="5">
        <f t="shared" si="2"/>
        <v>56</v>
      </c>
      <c r="B66" s="5"/>
      <c r="C66" s="5"/>
      <c r="D66" s="5" t="s">
        <v>706</v>
      </c>
      <c r="E66" s="17" t="s">
        <v>1671</v>
      </c>
      <c r="F66" s="26" t="s">
        <v>707</v>
      </c>
      <c r="G66" s="26" t="s">
        <v>1660</v>
      </c>
      <c r="H66" s="26" t="s">
        <v>27</v>
      </c>
      <c r="I66" s="42"/>
      <c r="J66" s="5" t="s">
        <v>4</v>
      </c>
      <c r="K66" s="5" t="s">
        <v>26</v>
      </c>
      <c r="L66" s="5" t="s">
        <v>707</v>
      </c>
      <c r="M66" s="5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7"/>
  <sheetViews>
    <sheetView topLeftCell="A44" workbookViewId="0">
      <selection activeCell="F49" sqref="F49"/>
    </sheetView>
  </sheetViews>
  <sheetFormatPr defaultColWidth="9" defaultRowHeight="13.5"/>
  <cols>
    <col min="1" max="2" width="6" customWidth="1"/>
    <col min="3" max="4" width="19.3333333333333" customWidth="1"/>
    <col min="5" max="5" width="24.5" customWidth="1"/>
    <col min="6" max="6" width="23.1666666666667" customWidth="1"/>
    <col min="7" max="7" width="63.1666666666667" customWidth="1"/>
    <col min="8" max="8" width="19.1666666666667" customWidth="1"/>
    <col min="9" max="9" width="38.5" customWidth="1"/>
    <col min="10" max="10" width="29.625" customWidth="1"/>
    <col min="11" max="11" width="12.375" customWidth="1"/>
    <col min="12" max="12" width="18.875" customWidth="1"/>
  </cols>
  <sheetData>
    <row r="1" ht="14.25" spans="1:9">
      <c r="A1" s="43" t="s">
        <v>0</v>
      </c>
      <c r="B1" s="3" t="s">
        <v>1688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1689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1517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34" customHeight="1" spans="1:9">
      <c r="A7" s="5">
        <v>4</v>
      </c>
      <c r="B7" s="10" t="s">
        <v>8</v>
      </c>
      <c r="C7" s="11"/>
      <c r="D7" s="12"/>
      <c r="E7" s="11"/>
      <c r="F7" s="13" t="s">
        <v>1518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1519</v>
      </c>
      <c r="H11" s="5" t="s">
        <v>27</v>
      </c>
      <c r="I11" s="18"/>
    </row>
    <row r="12" ht="17.25" spans="1:9">
      <c r="A12" s="5">
        <v>2</v>
      </c>
      <c r="B12" s="25" t="s">
        <v>21</v>
      </c>
      <c r="C12" s="5"/>
      <c r="D12" s="5" t="s">
        <v>1017</v>
      </c>
      <c r="E12" s="17" t="s">
        <v>1017</v>
      </c>
      <c r="F12" s="5" t="s">
        <v>1019</v>
      </c>
      <c r="G12" s="18" t="s">
        <v>1520</v>
      </c>
      <c r="H12" s="5" t="s">
        <v>24</v>
      </c>
      <c r="I12" s="18"/>
    </row>
    <row r="13" ht="17.25" spans="1:9">
      <c r="A13" s="5">
        <v>3</v>
      </c>
      <c r="B13" s="25" t="s">
        <v>21</v>
      </c>
      <c r="C13" s="5"/>
      <c r="D13" s="5" t="s">
        <v>438</v>
      </c>
      <c r="E13" s="17" t="s">
        <v>1521</v>
      </c>
      <c r="F13" s="5" t="s">
        <v>29</v>
      </c>
      <c r="G13" s="18"/>
      <c r="H13" s="5" t="s">
        <v>24</v>
      </c>
      <c r="I13" s="18"/>
    </row>
    <row r="14" ht="17.25" spans="1:9">
      <c r="A14" s="5">
        <v>4</v>
      </c>
      <c r="B14" s="18"/>
      <c r="C14" s="5"/>
      <c r="D14" s="5" t="s">
        <v>460</v>
      </c>
      <c r="E14" s="17" t="s">
        <v>1522</v>
      </c>
      <c r="F14" s="5" t="s">
        <v>462</v>
      </c>
      <c r="G14" s="18"/>
      <c r="H14" s="5" t="s">
        <v>24</v>
      </c>
      <c r="I14" s="18"/>
    </row>
    <row r="15" ht="17.25" spans="1:13">
      <c r="A15" s="5">
        <v>5</v>
      </c>
      <c r="B15" s="25" t="s">
        <v>21</v>
      </c>
      <c r="C15" s="5"/>
      <c r="D15" s="5" t="s">
        <v>1523</v>
      </c>
      <c r="E15" s="17" t="s">
        <v>1524</v>
      </c>
      <c r="F15" s="5" t="s">
        <v>267</v>
      </c>
      <c r="G15" s="18" t="s">
        <v>1127</v>
      </c>
      <c r="H15" s="5" t="s">
        <v>24</v>
      </c>
      <c r="I15" s="18" t="s">
        <v>1525</v>
      </c>
      <c r="J15" s="5" t="s">
        <v>1526</v>
      </c>
      <c r="K15" s="5" t="s">
        <v>22</v>
      </c>
      <c r="L15" s="5"/>
      <c r="M15" s="5"/>
    </row>
    <row r="16" ht="17.25" spans="1:13">
      <c r="A16" s="5">
        <v>6</v>
      </c>
      <c r="B16" s="25" t="s">
        <v>21</v>
      </c>
      <c r="C16" s="5"/>
      <c r="D16" s="5" t="s">
        <v>1351</v>
      </c>
      <c r="E16" s="17" t="s">
        <v>1527</v>
      </c>
      <c r="F16" s="5" t="s">
        <v>304</v>
      </c>
      <c r="G16" s="18" t="s">
        <v>1528</v>
      </c>
      <c r="H16" s="5" t="s">
        <v>24</v>
      </c>
      <c r="I16" s="18" t="s">
        <v>1529</v>
      </c>
      <c r="J16" s="5" t="s">
        <v>307</v>
      </c>
      <c r="K16" s="5" t="s">
        <v>26</v>
      </c>
      <c r="L16" s="5"/>
      <c r="M16" s="5"/>
    </row>
    <row r="17" ht="17.25" spans="1:13">
      <c r="A17" s="5">
        <v>7</v>
      </c>
      <c r="B17" s="25" t="s">
        <v>21</v>
      </c>
      <c r="C17" s="5"/>
      <c r="D17" s="5" t="s">
        <v>935</v>
      </c>
      <c r="E17" s="17" t="s">
        <v>1530</v>
      </c>
      <c r="F17" s="5" t="s">
        <v>937</v>
      </c>
      <c r="G17" s="18" t="s">
        <v>1531</v>
      </c>
      <c r="H17" s="5" t="s">
        <v>30</v>
      </c>
      <c r="I17" s="18" t="s">
        <v>1532</v>
      </c>
      <c r="J17" s="5" t="s">
        <v>1533</v>
      </c>
      <c r="K17" s="5" t="s">
        <v>22</v>
      </c>
      <c r="L17" s="5"/>
      <c r="M17" s="5"/>
    </row>
    <row r="18" ht="17.25" spans="1:13">
      <c r="A18" s="5">
        <v>8</v>
      </c>
      <c r="B18" s="18"/>
      <c r="C18" s="5"/>
      <c r="D18" s="5" t="s">
        <v>244</v>
      </c>
      <c r="E18" s="17" t="s">
        <v>1534</v>
      </c>
      <c r="F18" s="5" t="s">
        <v>245</v>
      </c>
      <c r="G18" s="18" t="s">
        <v>1535</v>
      </c>
      <c r="H18" s="5" t="s">
        <v>30</v>
      </c>
      <c r="I18" s="18"/>
      <c r="J18" s="5"/>
      <c r="K18" s="5"/>
      <c r="L18" s="5"/>
      <c r="M18" s="5"/>
    </row>
    <row r="19" ht="17.25" spans="1:13">
      <c r="A19" s="5">
        <v>9</v>
      </c>
      <c r="B19" s="25" t="s">
        <v>21</v>
      </c>
      <c r="C19" s="5"/>
      <c r="D19" s="5" t="s">
        <v>506</v>
      </c>
      <c r="E19" s="17" t="s">
        <v>1536</v>
      </c>
      <c r="F19" s="5" t="s">
        <v>1537</v>
      </c>
      <c r="G19" s="18" t="s">
        <v>1538</v>
      </c>
      <c r="H19" s="5" t="s">
        <v>411</v>
      </c>
      <c r="I19" s="18"/>
      <c r="J19" s="5"/>
      <c r="K19" s="5"/>
      <c r="L19" s="5"/>
      <c r="M19" s="5"/>
    </row>
    <row r="20" ht="17.25" spans="1:13">
      <c r="A20" s="5">
        <v>10</v>
      </c>
      <c r="B20" s="25" t="s">
        <v>21</v>
      </c>
      <c r="C20" s="5"/>
      <c r="D20" s="5" t="s">
        <v>502</v>
      </c>
      <c r="E20" s="17" t="s">
        <v>1539</v>
      </c>
      <c r="F20" s="5" t="s">
        <v>504</v>
      </c>
      <c r="G20" s="18"/>
      <c r="H20" s="5" t="s">
        <v>1679</v>
      </c>
      <c r="I20" s="18"/>
      <c r="J20" s="5"/>
      <c r="K20" s="5"/>
      <c r="L20" s="5"/>
      <c r="M20" s="5"/>
    </row>
    <row r="21" ht="17.25" spans="1:13">
      <c r="A21" s="5">
        <v>11</v>
      </c>
      <c r="B21" s="25" t="s">
        <v>21</v>
      </c>
      <c r="C21" s="5"/>
      <c r="D21" s="5" t="s">
        <v>1540</v>
      </c>
      <c r="E21" s="17" t="s">
        <v>1541</v>
      </c>
      <c r="F21" s="5" t="s">
        <v>465</v>
      </c>
      <c r="G21" s="18" t="s">
        <v>1542</v>
      </c>
      <c r="H21" s="5" t="s">
        <v>411</v>
      </c>
      <c r="I21" s="18" t="s">
        <v>1543</v>
      </c>
      <c r="J21" s="5" t="s">
        <v>4</v>
      </c>
      <c r="K21" s="5" t="s">
        <v>26</v>
      </c>
      <c r="L21" s="5" t="s">
        <v>465</v>
      </c>
      <c r="M21" s="5"/>
    </row>
    <row r="22" ht="17.25" spans="1:13">
      <c r="A22" s="5">
        <v>12</v>
      </c>
      <c r="B22" s="25" t="s">
        <v>21</v>
      </c>
      <c r="C22" s="5"/>
      <c r="D22" s="5" t="s">
        <v>1544</v>
      </c>
      <c r="E22" s="17" t="s">
        <v>1545</v>
      </c>
      <c r="F22" s="5" t="s">
        <v>493</v>
      </c>
      <c r="G22" s="18" t="s">
        <v>1546</v>
      </c>
      <c r="H22" s="5" t="s">
        <v>411</v>
      </c>
      <c r="I22" s="18" t="s">
        <v>1547</v>
      </c>
      <c r="J22" s="5" t="s">
        <v>4</v>
      </c>
      <c r="K22" s="5" t="s">
        <v>26</v>
      </c>
      <c r="L22" s="5" t="s">
        <v>493</v>
      </c>
      <c r="M22" s="5"/>
    </row>
    <row r="23" ht="17.25" spans="1:13">
      <c r="A23" s="5">
        <v>13</v>
      </c>
      <c r="B23" s="25" t="s">
        <v>21</v>
      </c>
      <c r="C23" s="5"/>
      <c r="D23" s="5" t="s">
        <v>1548</v>
      </c>
      <c r="E23" s="17" t="s">
        <v>1549</v>
      </c>
      <c r="F23" s="5" t="s">
        <v>497</v>
      </c>
      <c r="G23" s="18"/>
      <c r="H23" s="5" t="s">
        <v>411</v>
      </c>
      <c r="I23" s="18" t="s">
        <v>1550</v>
      </c>
      <c r="J23" s="5" t="s">
        <v>4</v>
      </c>
      <c r="K23" s="5" t="s">
        <v>26</v>
      </c>
      <c r="L23" s="5" t="s">
        <v>497</v>
      </c>
      <c r="M23" s="5"/>
    </row>
    <row r="24" ht="38" customHeight="1" spans="1:13">
      <c r="A24" s="5">
        <v>14</v>
      </c>
      <c r="B24" s="18"/>
      <c r="C24" s="26"/>
      <c r="D24" s="26" t="s">
        <v>1551</v>
      </c>
      <c r="E24" s="17" t="s">
        <v>1552</v>
      </c>
      <c r="F24" s="5" t="s">
        <v>695</v>
      </c>
      <c r="G24" s="18" t="s">
        <v>1553</v>
      </c>
      <c r="H24" s="5" t="s">
        <v>411</v>
      </c>
      <c r="I24" s="18" t="s">
        <v>1554</v>
      </c>
      <c r="J24" s="5" t="s">
        <v>4</v>
      </c>
      <c r="K24" s="5" t="s">
        <v>26</v>
      </c>
      <c r="L24" s="5" t="s">
        <v>695</v>
      </c>
      <c r="M24" s="5"/>
    </row>
    <row r="25" ht="17.25" spans="1:13">
      <c r="A25" s="5">
        <v>15</v>
      </c>
      <c r="B25" s="25" t="s">
        <v>21</v>
      </c>
      <c r="C25" s="26"/>
      <c r="D25" s="26" t="s">
        <v>308</v>
      </c>
      <c r="E25" s="17" t="s">
        <v>1555</v>
      </c>
      <c r="F25" s="5" t="s">
        <v>310</v>
      </c>
      <c r="G25" s="18" t="s">
        <v>1556</v>
      </c>
      <c r="H25" s="5" t="s">
        <v>42</v>
      </c>
      <c r="I25" s="18"/>
      <c r="J25" s="5"/>
      <c r="K25" s="5"/>
      <c r="L25" s="5"/>
      <c r="M25" s="5"/>
    </row>
    <row r="26" ht="34.5" spans="1:13">
      <c r="A26" s="5">
        <v>16</v>
      </c>
      <c r="B26" s="25" t="s">
        <v>21</v>
      </c>
      <c r="C26" s="47"/>
      <c r="D26" s="47" t="s">
        <v>312</v>
      </c>
      <c r="E26" s="48" t="s">
        <v>1557</v>
      </c>
      <c r="F26" s="49" t="s">
        <v>314</v>
      </c>
      <c r="G26" s="50" t="s">
        <v>315</v>
      </c>
      <c r="H26" s="51" t="s">
        <v>24</v>
      </c>
      <c r="I26" s="39" t="s">
        <v>316</v>
      </c>
      <c r="J26" s="5" t="s">
        <v>4</v>
      </c>
      <c r="K26" s="5" t="s">
        <v>26</v>
      </c>
      <c r="L26" s="5" t="s">
        <v>314</v>
      </c>
      <c r="M26" s="5"/>
    </row>
    <row r="27" ht="69" spans="1:13">
      <c r="A27" s="5">
        <v>17</v>
      </c>
      <c r="B27" s="25" t="s">
        <v>21</v>
      </c>
      <c r="C27" s="26"/>
      <c r="D27" s="26" t="s">
        <v>1558</v>
      </c>
      <c r="E27" s="17" t="s">
        <v>1559</v>
      </c>
      <c r="F27" s="5" t="s">
        <v>1560</v>
      </c>
      <c r="G27" s="5" t="s">
        <v>1561</v>
      </c>
      <c r="H27" s="5" t="s">
        <v>411</v>
      </c>
      <c r="I27" s="18" t="s">
        <v>1562</v>
      </c>
      <c r="J27" s="5" t="s">
        <v>4</v>
      </c>
      <c r="K27" s="5" t="s">
        <v>26</v>
      </c>
      <c r="L27" s="5" t="s">
        <v>1560</v>
      </c>
      <c r="M27" s="5"/>
    </row>
    <row r="28" ht="86.25" spans="1:13">
      <c r="A28" s="5">
        <v>18</v>
      </c>
      <c r="B28" s="18"/>
      <c r="C28" s="26"/>
      <c r="D28" s="26" t="s">
        <v>1563</v>
      </c>
      <c r="E28" s="17" t="s">
        <v>1564</v>
      </c>
      <c r="F28" s="5" t="s">
        <v>1565</v>
      </c>
      <c r="G28" s="5" t="s">
        <v>1566</v>
      </c>
      <c r="H28" s="5" t="s">
        <v>411</v>
      </c>
      <c r="I28" s="18" t="s">
        <v>1567</v>
      </c>
      <c r="J28" s="5" t="s">
        <v>4</v>
      </c>
      <c r="K28" s="5" t="s">
        <v>26</v>
      </c>
      <c r="L28" s="5" t="s">
        <v>1565</v>
      </c>
      <c r="M28" s="5"/>
    </row>
    <row r="29" ht="17.25" spans="1:13">
      <c r="A29" s="5">
        <v>19</v>
      </c>
      <c r="B29" s="25" t="s">
        <v>21</v>
      </c>
      <c r="C29" s="26"/>
      <c r="D29" s="26" t="s">
        <v>1568</v>
      </c>
      <c r="E29" s="17" t="s">
        <v>1569</v>
      </c>
      <c r="F29" s="5" t="s">
        <v>1570</v>
      </c>
      <c r="G29" s="18" t="s">
        <v>1571</v>
      </c>
      <c r="H29" s="5" t="s">
        <v>411</v>
      </c>
      <c r="I29" s="18"/>
      <c r="J29" s="5"/>
      <c r="K29" s="5"/>
      <c r="L29" s="5"/>
      <c r="M29" s="5"/>
    </row>
    <row r="30" ht="17.25" spans="1:13">
      <c r="A30" s="5">
        <v>20</v>
      </c>
      <c r="B30" s="25" t="s">
        <v>21</v>
      </c>
      <c r="C30" s="26"/>
      <c r="D30" s="26" t="s">
        <v>317</v>
      </c>
      <c r="E30" s="17" t="s">
        <v>1680</v>
      </c>
      <c r="F30" s="5" t="s">
        <v>1573</v>
      </c>
      <c r="G30" s="18" t="s">
        <v>1574</v>
      </c>
      <c r="H30" s="5" t="s">
        <v>243</v>
      </c>
      <c r="I30" s="18"/>
      <c r="J30" s="5"/>
      <c r="K30" s="5"/>
      <c r="L30" s="5"/>
      <c r="M30" s="5"/>
    </row>
    <row r="31" ht="34.5" spans="1:13">
      <c r="A31" s="5">
        <v>21</v>
      </c>
      <c r="B31" s="25" t="s">
        <v>21</v>
      </c>
      <c r="C31" s="26"/>
      <c r="D31" s="26" t="s">
        <v>1575</v>
      </c>
      <c r="E31" s="17" t="s">
        <v>1576</v>
      </c>
      <c r="F31" s="5" t="s">
        <v>1577</v>
      </c>
      <c r="G31" s="5" t="s">
        <v>1578</v>
      </c>
      <c r="H31" s="5" t="s">
        <v>411</v>
      </c>
      <c r="I31" s="18" t="s">
        <v>1579</v>
      </c>
      <c r="J31" s="5" t="s">
        <v>4</v>
      </c>
      <c r="K31" s="5" t="s">
        <v>26</v>
      </c>
      <c r="L31" s="5" t="s">
        <v>1577</v>
      </c>
      <c r="M31" s="5"/>
    </row>
    <row r="32" ht="17.25" spans="1:13">
      <c r="A32" s="5">
        <v>22</v>
      </c>
      <c r="B32" s="25" t="s">
        <v>21</v>
      </c>
      <c r="C32" s="26"/>
      <c r="D32" s="26" t="s">
        <v>1580</v>
      </c>
      <c r="E32" s="17" t="s">
        <v>1581</v>
      </c>
      <c r="F32" s="5" t="s">
        <v>1582</v>
      </c>
      <c r="G32" s="5" t="s">
        <v>1583</v>
      </c>
      <c r="H32" s="5" t="s">
        <v>411</v>
      </c>
      <c r="I32" s="18" t="s">
        <v>1584</v>
      </c>
      <c r="J32" s="5" t="s">
        <v>4</v>
      </c>
      <c r="K32" s="5" t="s">
        <v>26</v>
      </c>
      <c r="L32" s="5" t="s">
        <v>1582</v>
      </c>
      <c r="M32" s="5"/>
    </row>
    <row r="33" ht="17.25" spans="1:13">
      <c r="A33" s="5">
        <v>23</v>
      </c>
      <c r="B33" s="25" t="s">
        <v>21</v>
      </c>
      <c r="C33" s="26"/>
      <c r="D33" s="26" t="s">
        <v>1585</v>
      </c>
      <c r="E33" s="17" t="s">
        <v>1586</v>
      </c>
      <c r="F33" s="5" t="s">
        <v>1587</v>
      </c>
      <c r="G33" s="18" t="s">
        <v>1588</v>
      </c>
      <c r="H33" s="5" t="s">
        <v>27</v>
      </c>
      <c r="I33" s="18" t="s">
        <v>1589</v>
      </c>
      <c r="J33" s="5" t="s">
        <v>1681</v>
      </c>
      <c r="K33" s="5" t="s">
        <v>22</v>
      </c>
      <c r="L33" s="5"/>
      <c r="M33" s="5"/>
    </row>
    <row r="34" ht="17.25" spans="1:13">
      <c r="A34" s="5">
        <v>24</v>
      </c>
      <c r="B34" s="18"/>
      <c r="C34" s="26"/>
      <c r="D34" s="26" t="s">
        <v>1591</v>
      </c>
      <c r="E34" s="17" t="s">
        <v>1592</v>
      </c>
      <c r="F34" s="5" t="s">
        <v>1593</v>
      </c>
      <c r="G34" s="18" t="s">
        <v>1594</v>
      </c>
      <c r="H34" s="5" t="s">
        <v>1595</v>
      </c>
      <c r="I34" s="18"/>
      <c r="J34" s="5"/>
      <c r="K34" s="5"/>
      <c r="L34" s="5"/>
      <c r="M34" s="5"/>
    </row>
    <row r="35" ht="34.5" spans="1:13">
      <c r="A35" s="5">
        <v>25</v>
      </c>
      <c r="B35" s="25" t="s">
        <v>21</v>
      </c>
      <c r="C35" s="26"/>
      <c r="D35" s="26" t="s">
        <v>325</v>
      </c>
      <c r="E35" s="17" t="s">
        <v>1596</v>
      </c>
      <c r="F35" s="5" t="s">
        <v>327</v>
      </c>
      <c r="G35" s="5" t="s">
        <v>1597</v>
      </c>
      <c r="H35" s="5" t="s">
        <v>411</v>
      </c>
      <c r="I35" s="18"/>
      <c r="J35" s="5"/>
      <c r="K35" s="5"/>
      <c r="L35" s="5"/>
      <c r="M35" s="5"/>
    </row>
    <row r="36" ht="34.5" spans="1:13">
      <c r="A36" s="5">
        <v>26</v>
      </c>
      <c r="B36" s="25" t="s">
        <v>21</v>
      </c>
      <c r="C36" s="26"/>
      <c r="D36" s="26" t="s">
        <v>330</v>
      </c>
      <c r="E36" s="17" t="s">
        <v>1598</v>
      </c>
      <c r="F36" s="5" t="s">
        <v>332</v>
      </c>
      <c r="G36" s="5" t="s">
        <v>1599</v>
      </c>
      <c r="H36" s="5" t="s">
        <v>411</v>
      </c>
      <c r="I36" s="18"/>
      <c r="J36" s="5"/>
      <c r="K36" s="5"/>
      <c r="L36" s="5"/>
      <c r="M36" s="5"/>
    </row>
    <row r="37" ht="34.5" spans="1:13">
      <c r="A37" s="5">
        <v>27</v>
      </c>
      <c r="B37" s="25" t="s">
        <v>21</v>
      </c>
      <c r="C37" s="26"/>
      <c r="D37" s="26" t="s">
        <v>321</v>
      </c>
      <c r="E37" s="17" t="s">
        <v>1600</v>
      </c>
      <c r="F37" s="5" t="s">
        <v>323</v>
      </c>
      <c r="G37" s="5" t="s">
        <v>1601</v>
      </c>
      <c r="H37" s="5" t="s">
        <v>243</v>
      </c>
      <c r="I37" s="18"/>
      <c r="J37" s="5"/>
      <c r="K37" s="5"/>
      <c r="L37" s="5"/>
      <c r="M37" s="5"/>
    </row>
    <row r="38" ht="69" spans="1:13">
      <c r="A38" s="5">
        <v>28</v>
      </c>
      <c r="B38" s="18"/>
      <c r="C38" s="26"/>
      <c r="D38" s="26" t="s">
        <v>1602</v>
      </c>
      <c r="E38" s="17" t="s">
        <v>1603</v>
      </c>
      <c r="F38" s="5" t="s">
        <v>1604</v>
      </c>
      <c r="G38" s="5" t="s">
        <v>1605</v>
      </c>
      <c r="H38" s="5" t="s">
        <v>411</v>
      </c>
      <c r="I38" s="18" t="s">
        <v>1606</v>
      </c>
      <c r="J38" s="5" t="s">
        <v>4</v>
      </c>
      <c r="K38" s="5" t="s">
        <v>26</v>
      </c>
      <c r="L38" s="5" t="s">
        <v>1604</v>
      </c>
      <c r="M38" s="5"/>
    </row>
    <row r="39" ht="17.25" spans="1:13">
      <c r="A39" s="5">
        <v>29</v>
      </c>
      <c r="B39" s="18"/>
      <c r="C39" s="26"/>
      <c r="D39" s="26" t="s">
        <v>1607</v>
      </c>
      <c r="E39" s="17" t="s">
        <v>1608</v>
      </c>
      <c r="F39" s="5" t="s">
        <v>1609</v>
      </c>
      <c r="G39" s="18" t="s">
        <v>1610</v>
      </c>
      <c r="H39" s="5" t="s">
        <v>1595</v>
      </c>
      <c r="I39" s="18"/>
      <c r="J39" s="5"/>
      <c r="K39" s="5"/>
      <c r="L39" s="5"/>
      <c r="M39" s="5"/>
    </row>
    <row r="40" ht="17.25" spans="1:13">
      <c r="A40" s="5">
        <v>30</v>
      </c>
      <c r="B40" s="52" t="s">
        <v>21</v>
      </c>
      <c r="C40" s="26"/>
      <c r="D40" s="26" t="s">
        <v>1611</v>
      </c>
      <c r="E40" s="17" t="s">
        <v>1612</v>
      </c>
      <c r="F40" s="26" t="s">
        <v>647</v>
      </c>
      <c r="G40" s="26" t="s">
        <v>1613</v>
      </c>
      <c r="H40" s="26" t="s">
        <v>42</v>
      </c>
      <c r="I40" s="42"/>
      <c r="J40" s="5"/>
      <c r="K40" s="5"/>
      <c r="L40" s="5"/>
      <c r="M40" s="5"/>
    </row>
    <row r="41" ht="17.25" spans="1:13">
      <c r="A41" s="5">
        <v>31</v>
      </c>
      <c r="B41" s="52" t="s">
        <v>21</v>
      </c>
      <c r="C41" s="26"/>
      <c r="D41" s="26" t="s">
        <v>378</v>
      </c>
      <c r="E41" s="17" t="s">
        <v>378</v>
      </c>
      <c r="F41" s="26" t="s">
        <v>379</v>
      </c>
      <c r="G41" s="26"/>
      <c r="H41" s="26" t="s">
        <v>411</v>
      </c>
      <c r="I41" s="42"/>
      <c r="J41" s="5"/>
      <c r="K41" s="5"/>
      <c r="L41" s="5"/>
      <c r="M41" s="5"/>
    </row>
    <row r="42" ht="17.25" spans="1:13">
      <c r="A42" s="5">
        <v>32</v>
      </c>
      <c r="B42" s="52" t="s">
        <v>21</v>
      </c>
      <c r="C42" s="26"/>
      <c r="D42" s="26" t="s">
        <v>382</v>
      </c>
      <c r="E42" s="17" t="s">
        <v>382</v>
      </c>
      <c r="F42" s="26" t="s">
        <v>383</v>
      </c>
      <c r="G42" s="26"/>
      <c r="H42" s="26" t="s">
        <v>411</v>
      </c>
      <c r="I42" s="42"/>
      <c r="J42" s="5"/>
      <c r="K42" s="5"/>
      <c r="L42" s="5"/>
      <c r="M42" s="5"/>
    </row>
    <row r="43" ht="17.25" spans="1:13">
      <c r="A43" s="5">
        <v>33</v>
      </c>
      <c r="B43" s="52" t="s">
        <v>21</v>
      </c>
      <c r="C43" s="26"/>
      <c r="D43" s="26" t="s">
        <v>1614</v>
      </c>
      <c r="E43" s="17" t="s">
        <v>1615</v>
      </c>
      <c r="F43" s="26" t="s">
        <v>1616</v>
      </c>
      <c r="G43" s="26"/>
      <c r="H43" s="26" t="s">
        <v>27</v>
      </c>
      <c r="I43" s="42"/>
      <c r="J43" s="5" t="s">
        <v>1682</v>
      </c>
      <c r="K43" s="5" t="s">
        <v>22</v>
      </c>
      <c r="L43" s="5"/>
      <c r="M43" s="5"/>
    </row>
    <row r="44" ht="17.25" spans="1:13">
      <c r="A44" s="5">
        <v>34</v>
      </c>
      <c r="B44" s="52" t="s">
        <v>21</v>
      </c>
      <c r="C44" s="26"/>
      <c r="D44" s="26" t="s">
        <v>1618</v>
      </c>
      <c r="E44" s="17" t="s">
        <v>1618</v>
      </c>
      <c r="F44" s="26" t="s">
        <v>1619</v>
      </c>
      <c r="G44" s="26"/>
      <c r="H44" s="26" t="s">
        <v>27</v>
      </c>
      <c r="I44" s="18"/>
      <c r="J44" s="5" t="s">
        <v>1684</v>
      </c>
      <c r="K44" s="5" t="s">
        <v>22</v>
      </c>
      <c r="L44" s="5"/>
      <c r="M44" s="5"/>
    </row>
    <row r="45" ht="17.25" spans="1:13">
      <c r="A45" s="5">
        <v>35</v>
      </c>
      <c r="B45" s="52" t="s">
        <v>21</v>
      </c>
      <c r="C45" s="26"/>
      <c r="D45" s="26" t="s">
        <v>1621</v>
      </c>
      <c r="E45" s="17" t="s">
        <v>1622</v>
      </c>
      <c r="F45" s="26" t="s">
        <v>1623</v>
      </c>
      <c r="G45" s="26"/>
      <c r="H45" s="26" t="s">
        <v>27</v>
      </c>
      <c r="I45" s="42"/>
      <c r="J45" s="5" t="s">
        <v>4</v>
      </c>
      <c r="K45" s="5" t="s">
        <v>26</v>
      </c>
      <c r="L45" s="5" t="s">
        <v>1623</v>
      </c>
      <c r="M45" s="5"/>
    </row>
    <row r="46" ht="17.25" spans="1:13">
      <c r="A46" s="5">
        <v>36</v>
      </c>
      <c r="B46" s="52" t="s">
        <v>21</v>
      </c>
      <c r="C46" s="26"/>
      <c r="D46" s="26" t="s">
        <v>1624</v>
      </c>
      <c r="E46" s="17" t="s">
        <v>1625</v>
      </c>
      <c r="F46" s="26" t="s">
        <v>1626</v>
      </c>
      <c r="G46" s="26"/>
      <c r="H46" s="26" t="s">
        <v>27</v>
      </c>
      <c r="I46" s="42"/>
      <c r="J46" s="5" t="s">
        <v>1683</v>
      </c>
      <c r="K46" s="5" t="s">
        <v>22</v>
      </c>
      <c r="L46" s="5"/>
      <c r="M46" s="5"/>
    </row>
    <row r="47" ht="17.25" spans="1:13">
      <c r="A47" s="5">
        <v>37</v>
      </c>
      <c r="B47" s="52" t="s">
        <v>21</v>
      </c>
      <c r="C47" s="20" t="s">
        <v>224</v>
      </c>
      <c r="D47" s="26" t="s">
        <v>1611</v>
      </c>
      <c r="E47" s="17" t="s">
        <v>1612</v>
      </c>
      <c r="F47" s="26" t="s">
        <v>1628</v>
      </c>
      <c r="G47" s="26"/>
      <c r="H47" s="26" t="s">
        <v>42</v>
      </c>
      <c r="I47" s="42"/>
      <c r="J47" s="5"/>
      <c r="K47" s="5"/>
      <c r="L47" s="5"/>
      <c r="M47" s="5"/>
    </row>
    <row r="48" ht="17.25" spans="1:13">
      <c r="A48" s="5">
        <v>38</v>
      </c>
      <c r="B48" s="52" t="s">
        <v>21</v>
      </c>
      <c r="C48" s="26"/>
      <c r="D48" s="26" t="s">
        <v>1629</v>
      </c>
      <c r="E48" s="17" t="s">
        <v>1630</v>
      </c>
      <c r="F48" s="26" t="s">
        <v>338</v>
      </c>
      <c r="G48" s="26"/>
      <c r="H48" s="26" t="s">
        <v>27</v>
      </c>
      <c r="I48" s="42"/>
      <c r="J48" s="5" t="s">
        <v>4</v>
      </c>
      <c r="K48" s="5" t="s">
        <v>26</v>
      </c>
      <c r="L48" s="5" t="s">
        <v>314</v>
      </c>
      <c r="M48" s="5"/>
    </row>
    <row r="49" ht="17.25" spans="1:13">
      <c r="A49" s="5">
        <v>39</v>
      </c>
      <c r="B49" s="52" t="s">
        <v>21</v>
      </c>
      <c r="C49" s="26"/>
      <c r="D49" s="26" t="s">
        <v>1631</v>
      </c>
      <c r="E49" s="17" t="s">
        <v>1632</v>
      </c>
      <c r="F49" s="26" t="s">
        <v>1633</v>
      </c>
      <c r="G49" s="26"/>
      <c r="H49" s="26" t="s">
        <v>243</v>
      </c>
      <c r="I49" s="18"/>
      <c r="J49" s="5"/>
      <c r="K49" s="5"/>
      <c r="L49" s="5"/>
      <c r="M49" s="5"/>
    </row>
    <row r="50" ht="17.25" spans="1:13">
      <c r="A50" s="5">
        <v>40</v>
      </c>
      <c r="B50" s="52" t="s">
        <v>21</v>
      </c>
      <c r="C50" s="26"/>
      <c r="D50" s="26" t="s">
        <v>340</v>
      </c>
      <c r="E50" s="17" t="s">
        <v>1634</v>
      </c>
      <c r="F50" s="26" t="s">
        <v>342</v>
      </c>
      <c r="G50" s="26"/>
      <c r="H50" s="26" t="s">
        <v>42</v>
      </c>
      <c r="I50" s="18"/>
      <c r="J50" s="5"/>
      <c r="K50" s="5"/>
      <c r="L50" s="5"/>
      <c r="M50" s="5"/>
    </row>
    <row r="51" ht="17.25" spans="1:13">
      <c r="A51" s="5">
        <v>41</v>
      </c>
      <c r="B51" s="52" t="s">
        <v>21</v>
      </c>
      <c r="C51" s="26"/>
      <c r="D51" s="26" t="s">
        <v>1635</v>
      </c>
      <c r="E51" s="17" t="s">
        <v>1635</v>
      </c>
      <c r="F51" s="26" t="s">
        <v>1637</v>
      </c>
      <c r="G51" s="26"/>
      <c r="H51" s="26" t="s">
        <v>27</v>
      </c>
      <c r="I51" s="18"/>
      <c r="J51" s="5" t="s">
        <v>1685</v>
      </c>
      <c r="K51" s="5" t="s">
        <v>22</v>
      </c>
      <c r="L51" s="5"/>
      <c r="M51" s="5"/>
    </row>
    <row r="52" ht="17.25" spans="1:13">
      <c r="A52" s="5">
        <v>42</v>
      </c>
      <c r="B52" s="52" t="s">
        <v>21</v>
      </c>
      <c r="C52" s="26"/>
      <c r="D52" s="26" t="s">
        <v>1639</v>
      </c>
      <c r="E52" s="17" t="s">
        <v>1686</v>
      </c>
      <c r="F52" s="26" t="s">
        <v>1641</v>
      </c>
      <c r="G52" s="26"/>
      <c r="H52" s="26" t="s">
        <v>27</v>
      </c>
      <c r="I52" s="18"/>
      <c r="J52" s="5" t="s">
        <v>1681</v>
      </c>
      <c r="K52" s="5" t="s">
        <v>22</v>
      </c>
      <c r="L52" s="5"/>
      <c r="M52" s="5"/>
    </row>
    <row r="53" ht="17.25" spans="1:13">
      <c r="A53" s="5">
        <v>43</v>
      </c>
      <c r="B53" s="52" t="s">
        <v>21</v>
      </c>
      <c r="C53" s="26"/>
      <c r="D53" s="26" t="s">
        <v>1642</v>
      </c>
      <c r="E53" s="17" t="s">
        <v>1687</v>
      </c>
      <c r="F53" s="26" t="s">
        <v>691</v>
      </c>
      <c r="G53" s="26"/>
      <c r="H53" s="26" t="s">
        <v>27</v>
      </c>
      <c r="J53" s="5" t="s">
        <v>4</v>
      </c>
      <c r="K53" s="5" t="s">
        <v>26</v>
      </c>
      <c r="L53" s="5" t="s">
        <v>691</v>
      </c>
      <c r="M53" s="5"/>
    </row>
    <row r="54" ht="17.25" spans="1:13">
      <c r="A54" s="5">
        <v>44</v>
      </c>
      <c r="B54" s="52" t="s">
        <v>21</v>
      </c>
      <c r="C54" s="26"/>
      <c r="D54" s="26" t="s">
        <v>1644</v>
      </c>
      <c r="E54" s="17" t="s">
        <v>1645</v>
      </c>
      <c r="F54" s="26" t="s">
        <v>524</v>
      </c>
      <c r="G54" s="26"/>
      <c r="H54" s="26" t="s">
        <v>24</v>
      </c>
      <c r="J54" s="5"/>
      <c r="K54" s="5"/>
      <c r="L54" s="5"/>
      <c r="M54" s="5"/>
    </row>
    <row r="55" ht="17.25" spans="1:13">
      <c r="A55" s="5">
        <f t="shared" ref="A55:A67" si="0">ROW(A55)-10</f>
        <v>45</v>
      </c>
      <c r="B55" s="52"/>
      <c r="C55" s="26"/>
      <c r="D55" s="26" t="s">
        <v>1646</v>
      </c>
      <c r="E55" s="17" t="s">
        <v>1647</v>
      </c>
      <c r="F55" s="26" t="s">
        <v>711</v>
      </c>
      <c r="G55" s="26" t="s">
        <v>1207</v>
      </c>
      <c r="H55" s="26" t="s">
        <v>24</v>
      </c>
      <c r="J55" s="5"/>
      <c r="K55" s="5"/>
      <c r="L55" s="5"/>
      <c r="M55" s="5"/>
    </row>
    <row r="56" ht="17.25" spans="1:13">
      <c r="A56" s="5">
        <f t="shared" si="0"/>
        <v>46</v>
      </c>
      <c r="B56" s="52"/>
      <c r="C56" s="26"/>
      <c r="D56" s="26" t="s">
        <v>1648</v>
      </c>
      <c r="E56" s="17" t="s">
        <v>1649</v>
      </c>
      <c r="F56" s="26" t="s">
        <v>1650</v>
      </c>
      <c r="G56" s="26" t="s">
        <v>1207</v>
      </c>
      <c r="H56" s="26" t="s">
        <v>24</v>
      </c>
      <c r="J56" s="5"/>
      <c r="K56" s="5"/>
      <c r="L56" s="5"/>
      <c r="M56" s="5"/>
    </row>
    <row r="57" ht="17.25" spans="1:13">
      <c r="A57" s="5">
        <f t="shared" si="0"/>
        <v>47</v>
      </c>
      <c r="B57" s="52"/>
      <c r="C57" s="26"/>
      <c r="D57" s="26" t="s">
        <v>1651</v>
      </c>
      <c r="E57" s="17" t="s">
        <v>1652</v>
      </c>
      <c r="F57" s="26" t="s">
        <v>1653</v>
      </c>
      <c r="G57" s="26" t="s">
        <v>1207</v>
      </c>
      <c r="H57" s="26" t="s">
        <v>1595</v>
      </c>
      <c r="J57" s="5"/>
      <c r="K57" s="5"/>
      <c r="L57" s="5"/>
      <c r="M57" s="5"/>
    </row>
    <row r="58" ht="34.5" spans="1:13">
      <c r="A58" s="26">
        <f t="shared" si="0"/>
        <v>48</v>
      </c>
      <c r="B58" s="52"/>
      <c r="C58" s="26"/>
      <c r="D58" s="26" t="s">
        <v>1654</v>
      </c>
      <c r="E58" s="26" t="s">
        <v>1654</v>
      </c>
      <c r="F58" s="26" t="s">
        <v>1655</v>
      </c>
      <c r="G58" s="26" t="s">
        <v>1690</v>
      </c>
      <c r="H58" s="26" t="s">
        <v>42</v>
      </c>
      <c r="J58" s="5"/>
      <c r="K58" s="5"/>
      <c r="L58" s="5"/>
      <c r="M58" s="5"/>
    </row>
    <row r="59" ht="17.25" spans="1:13">
      <c r="A59" s="26">
        <f t="shared" si="0"/>
        <v>49</v>
      </c>
      <c r="B59" s="52"/>
      <c r="C59" s="26"/>
      <c r="D59" s="26" t="s">
        <v>1657</v>
      </c>
      <c r="E59" s="26" t="s">
        <v>1658</v>
      </c>
      <c r="F59" s="26" t="s">
        <v>1659</v>
      </c>
      <c r="G59" s="26" t="s">
        <v>1660</v>
      </c>
      <c r="H59" s="26" t="s">
        <v>53</v>
      </c>
      <c r="I59" s="42"/>
      <c r="J59" s="5"/>
      <c r="K59" s="5"/>
      <c r="L59" s="5"/>
      <c r="M59" s="5"/>
    </row>
    <row r="60" ht="17.25" spans="1:13">
      <c r="A60" s="5">
        <f t="shared" si="0"/>
        <v>50</v>
      </c>
      <c r="B60" s="52"/>
      <c r="C60" s="26"/>
      <c r="D60" s="26" t="s">
        <v>1661</v>
      </c>
      <c r="E60" s="17" t="s">
        <v>1662</v>
      </c>
      <c r="F60" s="26" t="s">
        <v>1663</v>
      </c>
      <c r="G60" s="26" t="s">
        <v>1660</v>
      </c>
      <c r="H60" s="26" t="s">
        <v>53</v>
      </c>
      <c r="I60" s="42"/>
      <c r="J60" s="5"/>
      <c r="K60" s="5"/>
      <c r="L60" s="5"/>
      <c r="M60" s="5"/>
    </row>
    <row r="61" ht="17.25" spans="1:13">
      <c r="A61" s="5">
        <f t="shared" si="0"/>
        <v>51</v>
      </c>
      <c r="B61" s="52"/>
      <c r="C61" s="26"/>
      <c r="D61" s="26" t="s">
        <v>1664</v>
      </c>
      <c r="E61" s="17" t="s">
        <v>1665</v>
      </c>
      <c r="F61" s="26" t="s">
        <v>134</v>
      </c>
      <c r="G61" s="26" t="s">
        <v>1660</v>
      </c>
      <c r="H61" s="26" t="s">
        <v>219</v>
      </c>
      <c r="I61" s="42"/>
      <c r="J61" s="5"/>
      <c r="K61" s="5"/>
      <c r="L61" s="5"/>
      <c r="M61" s="5"/>
    </row>
    <row r="62" ht="17.25" spans="1:13">
      <c r="A62" s="5">
        <f t="shared" si="0"/>
        <v>52</v>
      </c>
      <c r="B62" s="52"/>
      <c r="C62" s="26"/>
      <c r="D62" s="26" t="s">
        <v>1666</v>
      </c>
      <c r="E62" s="17" t="s">
        <v>1667</v>
      </c>
      <c r="F62" s="26" t="s">
        <v>1666</v>
      </c>
      <c r="G62" s="26" t="s">
        <v>1660</v>
      </c>
      <c r="H62" s="26" t="s">
        <v>24</v>
      </c>
      <c r="I62" s="42"/>
      <c r="J62" s="5"/>
      <c r="K62" s="5"/>
      <c r="L62" s="5"/>
      <c r="M62" s="5"/>
    </row>
    <row r="63" ht="17.25" spans="1:13">
      <c r="A63" s="5">
        <f t="shared" si="0"/>
        <v>53</v>
      </c>
      <c r="B63" s="52"/>
      <c r="C63" s="26"/>
      <c r="D63" s="26" t="s">
        <v>1668</v>
      </c>
      <c r="E63" s="17" t="s">
        <v>1669</v>
      </c>
      <c r="F63" s="26" t="s">
        <v>1670</v>
      </c>
      <c r="G63" s="26" t="s">
        <v>1660</v>
      </c>
      <c r="H63" s="26" t="s">
        <v>219</v>
      </c>
      <c r="I63" s="42"/>
      <c r="J63" s="5"/>
      <c r="K63" s="5"/>
      <c r="L63" s="5"/>
      <c r="M63" s="5"/>
    </row>
    <row r="64" ht="17.25" spans="1:13">
      <c r="A64" s="5">
        <f t="shared" si="0"/>
        <v>54</v>
      </c>
      <c r="B64" s="5"/>
      <c r="C64" s="5"/>
      <c r="D64" s="5" t="s">
        <v>653</v>
      </c>
      <c r="E64" s="5" t="s">
        <v>653</v>
      </c>
      <c r="F64" s="5" t="s">
        <v>654</v>
      </c>
      <c r="G64" s="5"/>
      <c r="H64" s="5" t="s">
        <v>1672</v>
      </c>
      <c r="I64" s="5"/>
      <c r="J64" s="5"/>
      <c r="K64" s="5"/>
      <c r="L64" s="5"/>
      <c r="M64" s="5"/>
    </row>
    <row r="65" ht="17.25" spans="1:13">
      <c r="A65" s="5">
        <f t="shared" si="0"/>
        <v>55</v>
      </c>
      <c r="B65" s="5"/>
      <c r="C65" s="5"/>
      <c r="D65" s="5" t="s">
        <v>1673</v>
      </c>
      <c r="E65" s="5" t="s">
        <v>1673</v>
      </c>
      <c r="F65" s="5" t="s">
        <v>1674</v>
      </c>
      <c r="G65" s="5"/>
      <c r="H65" s="5" t="s">
        <v>27</v>
      </c>
      <c r="I65" s="5"/>
      <c r="J65" s="5"/>
      <c r="K65" s="5"/>
      <c r="L65" s="5"/>
      <c r="M65" s="5"/>
    </row>
    <row r="66" ht="17.25" spans="1:13">
      <c r="A66" s="5">
        <f t="shared" si="0"/>
        <v>56</v>
      </c>
      <c r="B66" s="5"/>
      <c r="C66" s="5"/>
      <c r="D66" s="5" t="s">
        <v>1675</v>
      </c>
      <c r="E66" s="5" t="s">
        <v>1675</v>
      </c>
      <c r="F66" s="5" t="s">
        <v>1676</v>
      </c>
      <c r="G66" s="5"/>
      <c r="H66" s="5" t="s">
        <v>24</v>
      </c>
      <c r="I66" s="5"/>
      <c r="J66" s="5"/>
      <c r="K66" s="5"/>
      <c r="L66" s="5"/>
      <c r="M66" s="5"/>
    </row>
    <row r="67" ht="34.5" spans="1:13">
      <c r="A67" s="5">
        <f t="shared" si="0"/>
        <v>57</v>
      </c>
      <c r="B67" s="5"/>
      <c r="C67" s="5"/>
      <c r="D67" s="5" t="s">
        <v>706</v>
      </c>
      <c r="E67" s="53" t="s">
        <v>1671</v>
      </c>
      <c r="F67" s="54" t="s">
        <v>707</v>
      </c>
      <c r="G67" s="54" t="s">
        <v>1660</v>
      </c>
      <c r="H67" s="54" t="s">
        <v>27</v>
      </c>
      <c r="I67" s="55"/>
      <c r="J67" s="54" t="s">
        <v>4</v>
      </c>
      <c r="K67" s="54" t="s">
        <v>26</v>
      </c>
      <c r="L67" s="54" t="s">
        <v>707</v>
      </c>
      <c r="M67" s="54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30" zoomScaleNormal="130" workbookViewId="0">
      <selection activeCell="F4" sqref="F4:I4"/>
    </sheetView>
  </sheetViews>
  <sheetFormatPr defaultColWidth="9" defaultRowHeight="13.5"/>
  <cols>
    <col min="1" max="2" width="6" customWidth="1"/>
    <col min="3" max="4" width="16.8333333333333" customWidth="1"/>
    <col min="5" max="5" width="22.3333333333333" customWidth="1"/>
    <col min="6" max="6" width="23.1666666666667" customWidth="1"/>
    <col min="7" max="7" width="60.6666666666667" customWidth="1"/>
    <col min="8" max="8" width="19.1666666666667" customWidth="1"/>
    <col min="9" max="9" width="16.3333333333333" customWidth="1"/>
    <col min="10" max="10" width="14.6083333333333" customWidth="1"/>
  </cols>
  <sheetData>
    <row r="1" ht="14.25" spans="1:9">
      <c r="A1" s="43" t="s">
        <v>0</v>
      </c>
      <c r="B1" s="3" t="s">
        <v>1691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1692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1693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 t="s">
        <v>727</v>
      </c>
      <c r="G6" s="14"/>
      <c r="H6" s="14"/>
      <c r="I6" s="24"/>
    </row>
    <row r="7" ht="34" customHeight="1" spans="1:9">
      <c r="A7" s="5">
        <v>4</v>
      </c>
      <c r="B7" s="10" t="s">
        <v>8</v>
      </c>
      <c r="C7" s="11"/>
      <c r="D7" s="12"/>
      <c r="E7" s="11"/>
      <c r="F7" s="13" t="s">
        <v>1694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f>ROW(A11)-10</f>
        <v>1</v>
      </c>
      <c r="B11" s="25" t="s">
        <v>21</v>
      </c>
      <c r="C11" s="5"/>
      <c r="D11" s="5" t="s">
        <v>22</v>
      </c>
      <c r="E11" s="45" t="s">
        <v>22</v>
      </c>
      <c r="F11" s="5" t="s">
        <v>22</v>
      </c>
      <c r="G11" s="18" t="s">
        <v>1519</v>
      </c>
      <c r="H11" s="5" t="s">
        <v>24</v>
      </c>
      <c r="I11" s="18"/>
    </row>
    <row r="12" ht="17.25" spans="1:11">
      <c r="A12" s="5">
        <f t="shared" ref="A12:A18" si="0">ROW(A12)-10</f>
        <v>2</v>
      </c>
      <c r="B12" s="25" t="s">
        <v>21</v>
      </c>
      <c r="C12" s="5"/>
      <c r="D12" s="5" t="s">
        <v>1017</v>
      </c>
      <c r="E12" s="45" t="s">
        <v>1017</v>
      </c>
      <c r="F12" s="5" t="s">
        <v>1019</v>
      </c>
      <c r="G12" s="18" t="s">
        <v>1520</v>
      </c>
      <c r="H12" s="5" t="s">
        <v>24</v>
      </c>
      <c r="I12" s="18"/>
      <c r="J12" s="37" t="s">
        <v>1021</v>
      </c>
      <c r="K12" s="46" t="s">
        <v>1019</v>
      </c>
    </row>
    <row r="13" ht="17.25" spans="1:9">
      <c r="A13" s="5">
        <f t="shared" si="0"/>
        <v>3</v>
      </c>
      <c r="B13" s="25" t="s">
        <v>21</v>
      </c>
      <c r="C13" s="26"/>
      <c r="D13" s="26" t="s">
        <v>733</v>
      </c>
      <c r="E13" s="45" t="s">
        <v>1695</v>
      </c>
      <c r="F13" s="5" t="s">
        <v>735</v>
      </c>
      <c r="G13" s="18" t="s">
        <v>736</v>
      </c>
      <c r="H13" s="5" t="s">
        <v>219</v>
      </c>
      <c r="I13" s="18"/>
    </row>
    <row r="14" ht="17.25" spans="1:9">
      <c r="A14" s="5">
        <f t="shared" si="0"/>
        <v>4</v>
      </c>
      <c r="B14" s="25" t="s">
        <v>21</v>
      </c>
      <c r="C14" s="26"/>
      <c r="D14" s="26" t="s">
        <v>737</v>
      </c>
      <c r="E14" s="45" t="s">
        <v>1696</v>
      </c>
      <c r="F14" s="5" t="s">
        <v>739</v>
      </c>
      <c r="G14" s="18" t="s">
        <v>740</v>
      </c>
      <c r="H14" s="5" t="s">
        <v>411</v>
      </c>
      <c r="I14" s="18"/>
    </row>
    <row r="15" ht="17.25" spans="1:9">
      <c r="A15" s="5">
        <f t="shared" si="0"/>
        <v>5</v>
      </c>
      <c r="B15" s="25"/>
      <c r="C15" s="26"/>
      <c r="D15" s="26" t="s">
        <v>741</v>
      </c>
      <c r="E15" s="45" t="s">
        <v>1697</v>
      </c>
      <c r="F15" s="5" t="s">
        <v>743</v>
      </c>
      <c r="G15" s="18"/>
      <c r="H15" s="5" t="s">
        <v>744</v>
      </c>
      <c r="I15" s="18"/>
    </row>
    <row r="16" ht="69" spans="1:9">
      <c r="A16" s="5">
        <f t="shared" si="0"/>
        <v>6</v>
      </c>
      <c r="B16" s="25" t="s">
        <v>21</v>
      </c>
      <c r="C16" s="20" t="s">
        <v>224</v>
      </c>
      <c r="D16" s="20" t="s">
        <v>745</v>
      </c>
      <c r="E16" s="45" t="s">
        <v>1698</v>
      </c>
      <c r="F16" s="5" t="s">
        <v>747</v>
      </c>
      <c r="G16" s="5" t="s">
        <v>1699</v>
      </c>
      <c r="H16" s="5" t="s">
        <v>24</v>
      </c>
      <c r="I16" s="18"/>
    </row>
    <row r="17" ht="17.25" spans="1:9">
      <c r="A17" s="5">
        <f t="shared" si="0"/>
        <v>7</v>
      </c>
      <c r="B17" s="25" t="s">
        <v>21</v>
      </c>
      <c r="C17" s="20" t="s">
        <v>224</v>
      </c>
      <c r="D17" s="20" t="s">
        <v>260</v>
      </c>
      <c r="E17" s="45" t="s">
        <v>1700</v>
      </c>
      <c r="F17" s="5" t="s">
        <v>750</v>
      </c>
      <c r="G17" s="18" t="s">
        <v>751</v>
      </c>
      <c r="H17" s="5" t="s">
        <v>27</v>
      </c>
      <c r="I17" s="18"/>
    </row>
    <row r="18" ht="17.25" spans="1:9">
      <c r="A18" s="5">
        <f t="shared" si="0"/>
        <v>8</v>
      </c>
      <c r="B18" s="25"/>
      <c r="C18" s="20" t="s">
        <v>224</v>
      </c>
      <c r="D18" s="20" t="s">
        <v>752</v>
      </c>
      <c r="E18" s="45" t="s">
        <v>752</v>
      </c>
      <c r="F18" s="5" t="s">
        <v>753</v>
      </c>
      <c r="G18" s="18" t="s">
        <v>754</v>
      </c>
      <c r="H18" s="5" t="s">
        <v>755</v>
      </c>
      <c r="I18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zoomScale="85" zoomScaleNormal="85" topLeftCell="A14" workbookViewId="0">
      <selection activeCell="I23" sqref="I23"/>
    </sheetView>
  </sheetViews>
  <sheetFormatPr defaultColWidth="9" defaultRowHeight="13.5"/>
  <cols>
    <col min="1" max="2" width="6" customWidth="1"/>
    <col min="3" max="3" width="6.5" customWidth="1"/>
    <col min="4" max="4" width="23.6666666666667" customWidth="1"/>
    <col min="5" max="5" width="20.8333333333333" customWidth="1"/>
    <col min="6" max="6" width="32.1666666666667" customWidth="1"/>
    <col min="7" max="7" width="29.125" customWidth="1"/>
    <col min="8" max="8" width="22.5" customWidth="1"/>
    <col min="9" max="9" width="39.75" customWidth="1"/>
    <col min="10" max="10" width="23" customWidth="1"/>
    <col min="11" max="11" width="11.625" customWidth="1"/>
    <col min="12" max="12" width="27.3416666666667" customWidth="1"/>
  </cols>
  <sheetData>
    <row r="1" ht="14.25" spans="1:9">
      <c r="A1" s="43" t="s">
        <v>0</v>
      </c>
      <c r="B1" s="3" t="s">
        <v>1701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1702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1703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 t="s">
        <v>1704</v>
      </c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1705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34.5" spans="1:13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  <c r="J10" s="5"/>
      <c r="K10" s="5"/>
      <c r="L10" s="5"/>
      <c r="M10" s="5"/>
    </row>
    <row r="11" ht="17.25" spans="1:13">
      <c r="A11" s="5">
        <f>ROW(A11)-10</f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301</v>
      </c>
      <c r="I11" s="18"/>
      <c r="J11" s="5"/>
      <c r="K11" s="5"/>
      <c r="L11" s="5"/>
      <c r="M11" s="5"/>
    </row>
    <row r="12" ht="17.25" spans="1:13">
      <c r="A12" s="5">
        <f t="shared" ref="A12:A31" si="0">ROW(A12)-10</f>
        <v>2</v>
      </c>
      <c r="B12" s="25" t="s">
        <v>21</v>
      </c>
      <c r="C12" s="5"/>
      <c r="D12" s="5" t="s">
        <v>1017</v>
      </c>
      <c r="E12" s="17" t="s">
        <v>1017</v>
      </c>
      <c r="F12" s="5" t="s">
        <v>1019</v>
      </c>
      <c r="G12" s="18" t="s">
        <v>1017</v>
      </c>
      <c r="H12" s="5" t="s">
        <v>301</v>
      </c>
      <c r="I12" s="18" t="s">
        <v>1706</v>
      </c>
      <c r="J12" s="5" t="s">
        <v>1707</v>
      </c>
      <c r="K12" s="5" t="s">
        <v>1019</v>
      </c>
      <c r="L12" s="5"/>
      <c r="M12" s="5"/>
    </row>
    <row r="13" ht="17.25" spans="1:13">
      <c r="A13" s="5">
        <f t="shared" si="0"/>
        <v>3</v>
      </c>
      <c r="B13" s="25" t="s">
        <v>21</v>
      </c>
      <c r="C13" s="26"/>
      <c r="D13" s="26" t="s">
        <v>1708</v>
      </c>
      <c r="E13" s="17" t="s">
        <v>1709</v>
      </c>
      <c r="F13" s="5" t="s">
        <v>1710</v>
      </c>
      <c r="G13" s="18" t="s">
        <v>1711</v>
      </c>
      <c r="H13" s="5" t="s">
        <v>27</v>
      </c>
      <c r="I13" s="18" t="s">
        <v>1712</v>
      </c>
      <c r="J13" s="5" t="s">
        <v>4</v>
      </c>
      <c r="K13" s="5" t="s">
        <v>26</v>
      </c>
      <c r="L13" s="5" t="s">
        <v>1710</v>
      </c>
      <c r="M13" s="5"/>
    </row>
    <row r="14" ht="29" customHeight="1" spans="1:13">
      <c r="A14" s="5">
        <f t="shared" si="0"/>
        <v>4</v>
      </c>
      <c r="B14" s="25" t="s">
        <v>21</v>
      </c>
      <c r="C14" s="26"/>
      <c r="D14" s="26" t="s">
        <v>1713</v>
      </c>
      <c r="E14" s="17" t="s">
        <v>1714</v>
      </c>
      <c r="F14" s="5" t="s">
        <v>1715</v>
      </c>
      <c r="G14" s="18" t="s">
        <v>1716</v>
      </c>
      <c r="H14" s="5" t="s">
        <v>27</v>
      </c>
      <c r="I14" s="18" t="s">
        <v>1717</v>
      </c>
      <c r="J14" s="5" t="s">
        <v>4</v>
      </c>
      <c r="K14" s="5" t="s">
        <v>26</v>
      </c>
      <c r="L14" s="5" t="s">
        <v>1715</v>
      </c>
      <c r="M14" s="5"/>
    </row>
    <row r="15" ht="17.25" spans="1:13">
      <c r="A15" s="5">
        <f t="shared" si="0"/>
        <v>5</v>
      </c>
      <c r="B15" s="25" t="s">
        <v>21</v>
      </c>
      <c r="C15" s="5"/>
      <c r="D15" s="5" t="s">
        <v>378</v>
      </c>
      <c r="E15" s="44" t="s">
        <v>1718</v>
      </c>
      <c r="F15" s="5" t="s">
        <v>379</v>
      </c>
      <c r="G15" s="18" t="s">
        <v>1719</v>
      </c>
      <c r="H15" s="5" t="s">
        <v>1206</v>
      </c>
      <c r="I15" s="18"/>
      <c r="J15" s="5"/>
      <c r="K15" s="5"/>
      <c r="L15" s="5"/>
      <c r="M15" s="5"/>
    </row>
    <row r="16" ht="17.25" spans="1:13">
      <c r="A16" s="5">
        <f t="shared" si="0"/>
        <v>6</v>
      </c>
      <c r="B16" s="25" t="s">
        <v>21</v>
      </c>
      <c r="C16" s="5"/>
      <c r="D16" s="5" t="s">
        <v>382</v>
      </c>
      <c r="E16" s="44" t="s">
        <v>1720</v>
      </c>
      <c r="F16" s="5" t="s">
        <v>383</v>
      </c>
      <c r="G16" s="18" t="s">
        <v>1721</v>
      </c>
      <c r="H16" s="5" t="s">
        <v>411</v>
      </c>
      <c r="I16" s="18"/>
      <c r="J16" s="5"/>
      <c r="K16" s="5"/>
      <c r="L16" s="5"/>
      <c r="M16" s="5"/>
    </row>
    <row r="17" ht="17.25" spans="1:13">
      <c r="A17" s="5">
        <f t="shared" si="0"/>
        <v>7</v>
      </c>
      <c r="B17" s="25" t="s">
        <v>21</v>
      </c>
      <c r="C17" s="5"/>
      <c r="D17" s="5" t="s">
        <v>1722</v>
      </c>
      <c r="E17" s="17" t="s">
        <v>1723</v>
      </c>
      <c r="F17" s="5" t="s">
        <v>839</v>
      </c>
      <c r="G17" s="18" t="s">
        <v>1724</v>
      </c>
      <c r="H17" s="5" t="s">
        <v>411</v>
      </c>
      <c r="I17" s="18"/>
      <c r="J17" s="5"/>
      <c r="K17" s="5"/>
      <c r="L17" s="5"/>
      <c r="M17" s="5"/>
    </row>
    <row r="18" ht="17.25" spans="1:13">
      <c r="A18" s="5">
        <f t="shared" si="0"/>
        <v>8</v>
      </c>
      <c r="B18" s="25" t="s">
        <v>21</v>
      </c>
      <c r="C18" s="5"/>
      <c r="D18" s="5" t="s">
        <v>1725</v>
      </c>
      <c r="E18" s="17" t="s">
        <v>1726</v>
      </c>
      <c r="F18" s="5" t="s">
        <v>1727</v>
      </c>
      <c r="G18" s="18" t="s">
        <v>1728</v>
      </c>
      <c r="H18" s="5" t="s">
        <v>411</v>
      </c>
      <c r="I18" s="18"/>
      <c r="J18" s="5"/>
      <c r="K18" s="5"/>
      <c r="L18" s="5"/>
      <c r="M18" s="5"/>
    </row>
    <row r="19" ht="17.25" spans="1:13">
      <c r="A19" s="5">
        <f t="shared" si="0"/>
        <v>9</v>
      </c>
      <c r="B19" s="25" t="s">
        <v>21</v>
      </c>
      <c r="C19" s="5"/>
      <c r="D19" s="5" t="s">
        <v>1729</v>
      </c>
      <c r="E19" s="17" t="s">
        <v>1730</v>
      </c>
      <c r="F19" s="5" t="s">
        <v>1731</v>
      </c>
      <c r="G19" s="18" t="s">
        <v>1732</v>
      </c>
      <c r="H19" s="5" t="s">
        <v>24</v>
      </c>
      <c r="I19" s="18"/>
      <c r="J19" s="5"/>
      <c r="K19" s="5"/>
      <c r="L19" s="5"/>
      <c r="M19" s="5"/>
    </row>
    <row r="20" ht="34.5" spans="1:13">
      <c r="A20" s="5">
        <f t="shared" si="0"/>
        <v>10</v>
      </c>
      <c r="B20" s="25" t="s">
        <v>21</v>
      </c>
      <c r="C20" s="5"/>
      <c r="D20" s="5" t="s">
        <v>1733</v>
      </c>
      <c r="E20" s="17" t="s">
        <v>1734</v>
      </c>
      <c r="F20" s="5" t="s">
        <v>1735</v>
      </c>
      <c r="G20" s="18" t="s">
        <v>1736</v>
      </c>
      <c r="H20" s="5" t="s">
        <v>24</v>
      </c>
      <c r="I20" s="18"/>
      <c r="J20" s="5"/>
      <c r="K20" s="5"/>
      <c r="L20" s="5"/>
      <c r="M20" s="5"/>
    </row>
    <row r="21" ht="17.25" spans="1:13">
      <c r="A21" s="5">
        <f t="shared" si="0"/>
        <v>11</v>
      </c>
      <c r="B21" s="25" t="s">
        <v>21</v>
      </c>
      <c r="C21" s="5"/>
      <c r="D21" s="5" t="s">
        <v>1737</v>
      </c>
      <c r="E21" s="17" t="s">
        <v>1738</v>
      </c>
      <c r="F21" s="5" t="s">
        <v>1739</v>
      </c>
      <c r="G21" s="18" t="s">
        <v>1740</v>
      </c>
      <c r="H21" s="5" t="s">
        <v>27</v>
      </c>
      <c r="I21" s="18" t="s">
        <v>1741</v>
      </c>
      <c r="J21" s="5" t="s">
        <v>1526</v>
      </c>
      <c r="K21" s="5" t="s">
        <v>22</v>
      </c>
      <c r="L21" s="5"/>
      <c r="M21" s="5"/>
    </row>
    <row r="22" ht="17.25" spans="1:13">
      <c r="A22" s="5">
        <f t="shared" si="0"/>
        <v>12</v>
      </c>
      <c r="B22" s="25" t="s">
        <v>21</v>
      </c>
      <c r="C22" s="5"/>
      <c r="D22" s="5" t="s">
        <v>1742</v>
      </c>
      <c r="E22" s="17" t="s">
        <v>1743</v>
      </c>
      <c r="F22" s="5" t="s">
        <v>1744</v>
      </c>
      <c r="G22" s="18" t="s">
        <v>1745</v>
      </c>
      <c r="H22" s="5" t="s">
        <v>27</v>
      </c>
      <c r="I22" s="18" t="s">
        <v>1746</v>
      </c>
      <c r="J22" s="5" t="s">
        <v>307</v>
      </c>
      <c r="K22" s="5" t="s">
        <v>26</v>
      </c>
      <c r="L22" s="5"/>
      <c r="M22" s="5"/>
    </row>
    <row r="23" ht="17.25" spans="1:13">
      <c r="A23" s="5">
        <f t="shared" si="0"/>
        <v>13</v>
      </c>
      <c r="B23" s="25" t="s">
        <v>21</v>
      </c>
      <c r="C23" s="5"/>
      <c r="D23" s="5" t="s">
        <v>1747</v>
      </c>
      <c r="E23" s="17" t="s">
        <v>1748</v>
      </c>
      <c r="F23" s="5" t="s">
        <v>1749</v>
      </c>
      <c r="G23" s="18" t="s">
        <v>1750</v>
      </c>
      <c r="H23" s="5" t="s">
        <v>27</v>
      </c>
      <c r="I23" s="18" t="s">
        <v>1751</v>
      </c>
      <c r="J23" s="5" t="s">
        <v>1533</v>
      </c>
      <c r="K23" s="5" t="s">
        <v>22</v>
      </c>
      <c r="L23" s="5"/>
      <c r="M23" s="5"/>
    </row>
    <row r="24" ht="34.5" spans="1:13">
      <c r="A24" s="5">
        <f t="shared" si="0"/>
        <v>14</v>
      </c>
      <c r="B24" s="25" t="s">
        <v>21</v>
      </c>
      <c r="C24" s="5"/>
      <c r="D24" s="5" t="s">
        <v>1752</v>
      </c>
      <c r="E24" s="17" t="s">
        <v>1753</v>
      </c>
      <c r="F24" s="5" t="s">
        <v>1754</v>
      </c>
      <c r="G24" s="18" t="s">
        <v>1755</v>
      </c>
      <c r="H24" s="5" t="s">
        <v>1756</v>
      </c>
      <c r="I24" s="18"/>
      <c r="J24" s="5"/>
      <c r="K24" s="5"/>
      <c r="L24" s="5"/>
      <c r="M24" s="5"/>
    </row>
    <row r="25" ht="17.25" spans="1:13">
      <c r="A25" s="5">
        <f t="shared" si="0"/>
        <v>15</v>
      </c>
      <c r="B25" s="25" t="s">
        <v>21</v>
      </c>
      <c r="C25" s="5"/>
      <c r="D25" s="5" t="s">
        <v>1757</v>
      </c>
      <c r="E25" s="17" t="s">
        <v>1758</v>
      </c>
      <c r="F25" s="5" t="s">
        <v>1759</v>
      </c>
      <c r="G25" s="18" t="s">
        <v>1760</v>
      </c>
      <c r="H25" s="5" t="s">
        <v>42</v>
      </c>
      <c r="I25" s="18"/>
      <c r="J25" s="5"/>
      <c r="K25" s="5"/>
      <c r="L25" s="5"/>
      <c r="M25" s="5"/>
    </row>
    <row r="26" ht="34.5" spans="1:13">
      <c r="A26" s="5">
        <f t="shared" si="0"/>
        <v>16</v>
      </c>
      <c r="B26" s="25" t="s">
        <v>21</v>
      </c>
      <c r="C26" s="5"/>
      <c r="D26" s="5" t="s">
        <v>1761</v>
      </c>
      <c r="E26" s="17" t="s">
        <v>1762</v>
      </c>
      <c r="F26" s="5" t="s">
        <v>1763</v>
      </c>
      <c r="G26" s="18" t="s">
        <v>1764</v>
      </c>
      <c r="H26" s="5" t="s">
        <v>24</v>
      </c>
      <c r="I26" s="18"/>
      <c r="J26" s="5"/>
      <c r="K26" s="5"/>
      <c r="L26" s="5"/>
      <c r="M26" s="5"/>
    </row>
    <row r="27" ht="17.25" spans="1:13">
      <c r="A27" s="5">
        <f t="shared" si="0"/>
        <v>17</v>
      </c>
      <c r="B27" s="25" t="s">
        <v>21</v>
      </c>
      <c r="C27" s="5"/>
      <c r="D27" s="5" t="s">
        <v>1765</v>
      </c>
      <c r="E27" s="17" t="s">
        <v>1766</v>
      </c>
      <c r="F27" s="5" t="s">
        <v>1767</v>
      </c>
      <c r="G27" s="18" t="s">
        <v>1768</v>
      </c>
      <c r="H27" s="5" t="s">
        <v>27</v>
      </c>
      <c r="I27" s="18" t="s">
        <v>1741</v>
      </c>
      <c r="J27" s="5" t="s">
        <v>1526</v>
      </c>
      <c r="K27" s="5" t="s">
        <v>22</v>
      </c>
      <c r="L27" s="5"/>
      <c r="M27" s="5"/>
    </row>
    <row r="28" ht="17.25" spans="1:13">
      <c r="A28" s="5">
        <f t="shared" si="0"/>
        <v>18</v>
      </c>
      <c r="B28" s="25" t="s">
        <v>21</v>
      </c>
      <c r="C28" s="5"/>
      <c r="D28" s="5" t="s">
        <v>1769</v>
      </c>
      <c r="E28" s="17" t="s">
        <v>1770</v>
      </c>
      <c r="F28" s="5" t="s">
        <v>1771</v>
      </c>
      <c r="G28" s="18" t="s">
        <v>1772</v>
      </c>
      <c r="H28" s="5" t="s">
        <v>27</v>
      </c>
      <c r="I28" s="18" t="s">
        <v>1746</v>
      </c>
      <c r="J28" s="5" t="s">
        <v>307</v>
      </c>
      <c r="K28" s="5" t="s">
        <v>26</v>
      </c>
      <c r="L28" s="5"/>
      <c r="M28" s="5"/>
    </row>
    <row r="29" ht="17.25" spans="1:13">
      <c r="A29" s="5">
        <f t="shared" si="0"/>
        <v>19</v>
      </c>
      <c r="B29" s="25" t="s">
        <v>21</v>
      </c>
      <c r="C29" s="5"/>
      <c r="D29" s="5" t="s">
        <v>1773</v>
      </c>
      <c r="E29" s="17" t="s">
        <v>1774</v>
      </c>
      <c r="F29" s="5" t="s">
        <v>1775</v>
      </c>
      <c r="G29" s="18" t="s">
        <v>1776</v>
      </c>
      <c r="H29" s="5" t="s">
        <v>27</v>
      </c>
      <c r="I29" s="18" t="s">
        <v>1751</v>
      </c>
      <c r="J29" s="5" t="s">
        <v>1533</v>
      </c>
      <c r="K29" s="5" t="s">
        <v>22</v>
      </c>
      <c r="L29" s="5"/>
      <c r="M29" s="5"/>
    </row>
    <row r="30" ht="34.5" spans="1:13">
      <c r="A30" s="5">
        <f t="shared" si="0"/>
        <v>20</v>
      </c>
      <c r="B30" s="25" t="s">
        <v>21</v>
      </c>
      <c r="C30" s="5"/>
      <c r="D30" s="5" t="s">
        <v>1777</v>
      </c>
      <c r="E30" s="17" t="s">
        <v>1778</v>
      </c>
      <c r="F30" s="5" t="s">
        <v>1779</v>
      </c>
      <c r="G30" s="18" t="s">
        <v>1780</v>
      </c>
      <c r="H30" s="5" t="s">
        <v>1756</v>
      </c>
      <c r="I30" s="18"/>
      <c r="J30" s="5"/>
      <c r="K30" s="5"/>
      <c r="L30" s="5"/>
      <c r="M30" s="5"/>
    </row>
    <row r="31" ht="17.25" spans="1:13">
      <c r="A31" s="5">
        <f t="shared" si="0"/>
        <v>21</v>
      </c>
      <c r="B31" s="25" t="s">
        <v>21</v>
      </c>
      <c r="C31" s="5"/>
      <c r="D31" s="5" t="s">
        <v>1781</v>
      </c>
      <c r="E31" s="17" t="s">
        <v>1782</v>
      </c>
      <c r="F31" s="5" t="s">
        <v>1783</v>
      </c>
      <c r="G31" s="18" t="s">
        <v>1784</v>
      </c>
      <c r="H31" s="5" t="s">
        <v>42</v>
      </c>
      <c r="I31" s="18"/>
      <c r="J31" s="5"/>
      <c r="K31" s="5"/>
      <c r="L31" s="5"/>
      <c r="M31" s="5"/>
    </row>
    <row r="32" ht="31" customHeight="1" spans="1:13">
      <c r="A32" s="5">
        <f t="shared" ref="A32:A37" si="1">ROW(A32)-10</f>
        <v>22</v>
      </c>
      <c r="B32" s="25" t="s">
        <v>21</v>
      </c>
      <c r="C32" s="5"/>
      <c r="D32" s="5" t="s">
        <v>1785</v>
      </c>
      <c r="E32" s="44" t="s">
        <v>1786</v>
      </c>
      <c r="F32" s="5" t="s">
        <v>1787</v>
      </c>
      <c r="G32" s="18" t="s">
        <v>1788</v>
      </c>
      <c r="H32" s="5" t="s">
        <v>27</v>
      </c>
      <c r="I32" s="18"/>
      <c r="J32" s="5" t="s">
        <v>4</v>
      </c>
      <c r="K32" s="5" t="s">
        <v>26</v>
      </c>
      <c r="L32" s="5" t="s">
        <v>1582</v>
      </c>
      <c r="M32" s="5"/>
    </row>
    <row r="33" ht="17.25" spans="1:13">
      <c r="A33" s="5">
        <f t="shared" si="1"/>
        <v>23</v>
      </c>
      <c r="B33" s="25" t="s">
        <v>21</v>
      </c>
      <c r="C33" s="5"/>
      <c r="D33" s="5" t="s">
        <v>1789</v>
      </c>
      <c r="E33" s="44" t="s">
        <v>1790</v>
      </c>
      <c r="F33" s="5" t="s">
        <v>1791</v>
      </c>
      <c r="G33" s="18" t="s">
        <v>1788</v>
      </c>
      <c r="H33" s="5" t="s">
        <v>27</v>
      </c>
      <c r="I33" s="18"/>
      <c r="J33" s="5" t="s">
        <v>4</v>
      </c>
      <c r="K33" s="5" t="s">
        <v>26</v>
      </c>
      <c r="L33" s="5" t="s">
        <v>1577</v>
      </c>
      <c r="M33" s="5"/>
    </row>
    <row r="34" ht="17.25" spans="1:13">
      <c r="A34" s="5">
        <f t="shared" si="1"/>
        <v>24</v>
      </c>
      <c r="B34" s="25"/>
      <c r="C34" s="26"/>
      <c r="D34" s="26" t="s">
        <v>1792</v>
      </c>
      <c r="E34" s="44" t="s">
        <v>1793</v>
      </c>
      <c r="F34" s="5" t="s">
        <v>1794</v>
      </c>
      <c r="G34" s="18" t="s">
        <v>1788</v>
      </c>
      <c r="H34" s="5" t="s">
        <v>42</v>
      </c>
      <c r="I34" s="18"/>
      <c r="J34" s="5"/>
      <c r="K34" s="5"/>
      <c r="L34" s="5"/>
      <c r="M34" s="5"/>
    </row>
    <row r="35" ht="32" customHeight="1" spans="1:13">
      <c r="A35" s="5">
        <f t="shared" si="1"/>
        <v>25</v>
      </c>
      <c r="B35" s="25" t="s">
        <v>21</v>
      </c>
      <c r="C35" s="26"/>
      <c r="D35" s="26" t="s">
        <v>1795</v>
      </c>
      <c r="E35" s="44" t="s">
        <v>1796</v>
      </c>
      <c r="F35" s="5" t="s">
        <v>1797</v>
      </c>
      <c r="G35" s="18" t="s">
        <v>1788</v>
      </c>
      <c r="H35" s="5" t="s">
        <v>27</v>
      </c>
      <c r="I35" s="18"/>
      <c r="J35" s="5" t="s">
        <v>4</v>
      </c>
      <c r="K35" s="5" t="s">
        <v>26</v>
      </c>
      <c r="L35" s="5" t="s">
        <v>1582</v>
      </c>
      <c r="M35" s="5"/>
    </row>
    <row r="36" ht="17.25" spans="1:13">
      <c r="A36" s="5">
        <f t="shared" si="1"/>
        <v>26</v>
      </c>
      <c r="B36" s="25" t="s">
        <v>21</v>
      </c>
      <c r="C36" s="26"/>
      <c r="D36" s="26" t="s">
        <v>1798</v>
      </c>
      <c r="E36" s="44" t="s">
        <v>1799</v>
      </c>
      <c r="F36" s="5" t="s">
        <v>1800</v>
      </c>
      <c r="G36" s="18" t="s">
        <v>1788</v>
      </c>
      <c r="H36" s="5" t="s">
        <v>27</v>
      </c>
      <c r="I36" s="18"/>
      <c r="J36" s="5" t="s">
        <v>4</v>
      </c>
      <c r="K36" s="5" t="s">
        <v>26</v>
      </c>
      <c r="L36" s="5" t="s">
        <v>1577</v>
      </c>
      <c r="M36" s="5"/>
    </row>
    <row r="37" ht="17.25" spans="1:13">
      <c r="A37" s="5">
        <f t="shared" si="1"/>
        <v>27</v>
      </c>
      <c r="B37" s="25"/>
      <c r="C37" s="26"/>
      <c r="D37" s="26" t="s">
        <v>1801</v>
      </c>
      <c r="E37" s="44" t="s">
        <v>1802</v>
      </c>
      <c r="F37" s="5" t="s">
        <v>1803</v>
      </c>
      <c r="G37" s="18" t="s">
        <v>1788</v>
      </c>
      <c r="H37" s="5" t="s">
        <v>42</v>
      </c>
      <c r="I37" s="18"/>
      <c r="J37" s="5"/>
      <c r="K37" s="5"/>
      <c r="L37" s="5"/>
      <c r="M37" s="5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topLeftCell="A4" workbookViewId="0">
      <selection activeCell="A24" sqref="$A24:$XFD67"/>
    </sheetView>
  </sheetViews>
  <sheetFormatPr defaultColWidth="9" defaultRowHeight="13.5"/>
  <cols>
    <col min="3" max="5" width="16.6666666666667" customWidth="1"/>
    <col min="6" max="6" width="22" customWidth="1"/>
    <col min="7" max="7" width="51.1666666666667" customWidth="1"/>
    <col min="8" max="8" width="19.8333333333333" customWidth="1"/>
    <col min="9" max="9" width="17.6666666666667" customWidth="1"/>
    <col min="10" max="10" width="23.625" customWidth="1"/>
    <col min="12" max="12" width="21.375" customWidth="1"/>
  </cols>
  <sheetData>
    <row r="1" ht="14.25" spans="1:9">
      <c r="A1" s="38" t="s">
        <v>0</v>
      </c>
      <c r="B1" s="28" t="s">
        <v>1804</v>
      </c>
      <c r="C1" s="28"/>
      <c r="D1" s="28"/>
      <c r="E1" s="28"/>
      <c r="F1" s="28"/>
      <c r="G1" s="28"/>
      <c r="H1" s="28"/>
      <c r="I1" s="28"/>
    </row>
    <row r="2" ht="14.25" spans="1:9">
      <c r="A2" s="27"/>
      <c r="B2" s="28"/>
      <c r="C2" s="28"/>
      <c r="D2" s="28"/>
      <c r="E2" s="28"/>
      <c r="F2" s="28"/>
      <c r="G2" s="28"/>
      <c r="H2" s="28"/>
      <c r="I2" s="28"/>
    </row>
    <row r="3" ht="17.25" spans="1:9">
      <c r="A3" s="29" t="s">
        <v>2</v>
      </c>
      <c r="B3" s="29"/>
      <c r="C3" s="29"/>
      <c r="D3" s="29"/>
      <c r="E3" s="29"/>
      <c r="F3" s="29"/>
      <c r="G3" s="29"/>
      <c r="H3" s="29"/>
      <c r="I3" s="29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1805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/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/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29" t="s">
        <v>12</v>
      </c>
      <c r="B9" s="29"/>
      <c r="C9" s="29"/>
      <c r="D9" s="29"/>
      <c r="E9" s="29"/>
      <c r="F9" s="29"/>
      <c r="G9" s="29"/>
      <c r="H9" s="29"/>
      <c r="I9" s="29"/>
    </row>
    <row r="10" ht="34.5" spans="1:9">
      <c r="A10" s="32"/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27.75" spans="1:9">
      <c r="A11" s="30">
        <f>ROW(A11)-10</f>
        <v>1</v>
      </c>
      <c r="B11" s="34" t="s">
        <v>21</v>
      </c>
      <c r="C11" s="30"/>
      <c r="D11" s="30" t="s">
        <v>22</v>
      </c>
      <c r="E11" s="35" t="s">
        <v>22</v>
      </c>
      <c r="F11" s="30" t="s">
        <v>22</v>
      </c>
      <c r="G11" s="39" t="s">
        <v>23</v>
      </c>
      <c r="H11" s="30" t="s">
        <v>301</v>
      </c>
      <c r="I11" s="31"/>
    </row>
    <row r="12" ht="27.75" spans="1:13">
      <c r="A12" s="30">
        <f t="shared" ref="A12:A17" si="0">ROW(A12)-10</f>
        <v>2</v>
      </c>
      <c r="B12" s="34" t="s">
        <v>21</v>
      </c>
      <c r="C12" s="36"/>
      <c r="D12" s="36" t="s">
        <v>1806</v>
      </c>
      <c r="E12" s="35" t="s">
        <v>1806</v>
      </c>
      <c r="F12" s="30" t="s">
        <v>1807</v>
      </c>
      <c r="G12" s="40" t="s">
        <v>1808</v>
      </c>
      <c r="H12" s="30" t="s">
        <v>301</v>
      </c>
      <c r="I12" s="30" t="s">
        <v>949</v>
      </c>
      <c r="J12" s="30" t="s">
        <v>4</v>
      </c>
      <c r="K12" s="30" t="s">
        <v>26</v>
      </c>
      <c r="L12" s="30" t="s">
        <v>1807</v>
      </c>
      <c r="M12" s="30"/>
    </row>
    <row r="13" ht="51.75" spans="1:13">
      <c r="A13" s="30">
        <f t="shared" si="0"/>
        <v>3</v>
      </c>
      <c r="B13" s="34" t="s">
        <v>21</v>
      </c>
      <c r="C13" s="41" t="s">
        <v>224</v>
      </c>
      <c r="D13" s="41" t="s">
        <v>1809</v>
      </c>
      <c r="E13" s="35" t="s">
        <v>1810</v>
      </c>
      <c r="F13" s="30" t="s">
        <v>1811</v>
      </c>
      <c r="G13" s="39" t="s">
        <v>1812</v>
      </c>
      <c r="H13" s="30" t="s">
        <v>301</v>
      </c>
      <c r="I13" s="35" t="s">
        <v>1813</v>
      </c>
      <c r="J13" s="30"/>
      <c r="K13" s="30"/>
      <c r="L13" s="30"/>
      <c r="M13" s="30"/>
    </row>
    <row r="14" ht="27.75" spans="1:13">
      <c r="A14" s="30">
        <f t="shared" si="0"/>
        <v>4</v>
      </c>
      <c r="B14" s="34" t="s">
        <v>21</v>
      </c>
      <c r="C14" s="30"/>
      <c r="D14" s="30" t="s">
        <v>1814</v>
      </c>
      <c r="E14" s="35" t="s">
        <v>1814</v>
      </c>
      <c r="F14" s="30" t="s">
        <v>1815</v>
      </c>
      <c r="G14" s="39" t="s">
        <v>1816</v>
      </c>
      <c r="H14" s="30" t="s">
        <v>953</v>
      </c>
      <c r="I14" s="30"/>
      <c r="J14" s="30"/>
      <c r="K14" s="30"/>
      <c r="L14" s="30"/>
      <c r="M14" s="30"/>
    </row>
    <row r="15" ht="34.5" spans="1:13">
      <c r="A15" s="30">
        <f t="shared" si="0"/>
        <v>5</v>
      </c>
      <c r="B15" s="34" t="s">
        <v>21</v>
      </c>
      <c r="C15" s="36"/>
      <c r="D15" s="36" t="s">
        <v>1817</v>
      </c>
      <c r="E15" s="35" t="s">
        <v>1817</v>
      </c>
      <c r="F15" s="30" t="s">
        <v>1818</v>
      </c>
      <c r="G15" s="40" t="s">
        <v>1819</v>
      </c>
      <c r="H15" s="30" t="s">
        <v>301</v>
      </c>
      <c r="I15" s="30"/>
      <c r="J15" s="30" t="s">
        <v>4</v>
      </c>
      <c r="K15" s="30" t="s">
        <v>26</v>
      </c>
      <c r="L15" s="30" t="s">
        <v>1818</v>
      </c>
      <c r="M15" s="30"/>
    </row>
    <row r="16" ht="24.75" customHeight="1" spans="1:13">
      <c r="A16" s="30">
        <f t="shared" si="0"/>
        <v>6</v>
      </c>
      <c r="B16" s="34" t="s">
        <v>21</v>
      </c>
      <c r="C16" s="30"/>
      <c r="D16" s="30" t="s">
        <v>378</v>
      </c>
      <c r="E16" s="35" t="s">
        <v>1820</v>
      </c>
      <c r="F16" s="30" t="s">
        <v>379</v>
      </c>
      <c r="G16" s="39" t="s">
        <v>378</v>
      </c>
      <c r="H16" s="30" t="s">
        <v>301</v>
      </c>
      <c r="I16" s="30"/>
      <c r="J16" s="30"/>
      <c r="K16" s="30"/>
      <c r="L16" s="30"/>
      <c r="M16" s="30"/>
    </row>
    <row r="17" ht="27.75" spans="1:13">
      <c r="A17" s="30">
        <f t="shared" si="0"/>
        <v>7</v>
      </c>
      <c r="B17" s="34" t="s">
        <v>21</v>
      </c>
      <c r="C17" s="30"/>
      <c r="D17" s="30" t="s">
        <v>382</v>
      </c>
      <c r="E17" s="35" t="s">
        <v>1821</v>
      </c>
      <c r="F17" s="30" t="s">
        <v>383</v>
      </c>
      <c r="G17" s="39" t="s">
        <v>382</v>
      </c>
      <c r="H17" s="30" t="s">
        <v>301</v>
      </c>
      <c r="I17" s="42"/>
      <c r="J17" s="30"/>
      <c r="K17" s="30"/>
      <c r="L17" s="30"/>
      <c r="M17" s="30"/>
    </row>
    <row r="18" ht="34.5" spans="1:13">
      <c r="A18" s="30">
        <f t="shared" ref="A18:A23" si="1">ROW(A18)-10</f>
        <v>8</v>
      </c>
      <c r="B18" s="34"/>
      <c r="C18" s="36"/>
      <c r="D18" s="36" t="s">
        <v>1822</v>
      </c>
      <c r="E18" s="35" t="s">
        <v>1823</v>
      </c>
      <c r="F18" s="30" t="s">
        <v>162</v>
      </c>
      <c r="G18" s="39" t="s">
        <v>1824</v>
      </c>
      <c r="H18" s="30" t="s">
        <v>301</v>
      </c>
      <c r="I18" s="30"/>
      <c r="J18" s="30" t="s">
        <v>161</v>
      </c>
      <c r="K18" s="30" t="s">
        <v>162</v>
      </c>
      <c r="L18" s="30"/>
      <c r="M18" s="30"/>
    </row>
    <row r="19" ht="34.5" spans="1:13">
      <c r="A19" s="30">
        <f t="shared" si="1"/>
        <v>9</v>
      </c>
      <c r="B19" s="34"/>
      <c r="C19" s="36"/>
      <c r="D19" s="36" t="s">
        <v>1825</v>
      </c>
      <c r="E19" s="35" t="s">
        <v>1826</v>
      </c>
      <c r="F19" s="30" t="s">
        <v>1423</v>
      </c>
      <c r="G19" s="39" t="s">
        <v>1827</v>
      </c>
      <c r="H19" s="30" t="s">
        <v>301</v>
      </c>
      <c r="I19" s="30"/>
      <c r="J19" s="30" t="s">
        <v>1354</v>
      </c>
      <c r="K19" s="30" t="s">
        <v>26</v>
      </c>
      <c r="L19" s="30"/>
      <c r="M19" s="30"/>
    </row>
    <row r="20" ht="34.5" spans="1:13">
      <c r="A20" s="30">
        <f t="shared" si="1"/>
        <v>10</v>
      </c>
      <c r="B20" s="34"/>
      <c r="C20" s="36"/>
      <c r="D20" s="36" t="s">
        <v>1828</v>
      </c>
      <c r="E20" s="35" t="s">
        <v>1829</v>
      </c>
      <c r="F20" s="30" t="s">
        <v>1436</v>
      </c>
      <c r="G20" s="39" t="s">
        <v>1830</v>
      </c>
      <c r="H20" s="30" t="s">
        <v>1175</v>
      </c>
      <c r="I20" s="30"/>
      <c r="J20" s="30" t="s">
        <v>1416</v>
      </c>
      <c r="K20" s="30" t="s">
        <v>22</v>
      </c>
      <c r="L20" s="30"/>
      <c r="M20" s="30"/>
    </row>
    <row r="21" ht="34.5" spans="1:13">
      <c r="A21" s="30">
        <f t="shared" si="1"/>
        <v>11</v>
      </c>
      <c r="B21" s="34"/>
      <c r="C21" s="36"/>
      <c r="D21" s="36" t="s">
        <v>1831</v>
      </c>
      <c r="E21" s="35" t="s">
        <v>1832</v>
      </c>
      <c r="F21" s="30" t="s">
        <v>1450</v>
      </c>
      <c r="G21" s="39" t="s">
        <v>1833</v>
      </c>
      <c r="H21" s="30" t="s">
        <v>411</v>
      </c>
      <c r="I21" s="30"/>
      <c r="J21" s="30"/>
      <c r="K21" s="30"/>
      <c r="L21" s="30"/>
      <c r="M21" s="30"/>
    </row>
    <row r="22" ht="34.5" spans="1:13">
      <c r="A22" s="30">
        <f t="shared" si="1"/>
        <v>12</v>
      </c>
      <c r="B22" s="34"/>
      <c r="C22" s="36"/>
      <c r="D22" s="36" t="s">
        <v>1834</v>
      </c>
      <c r="E22" s="35" t="s">
        <v>1835</v>
      </c>
      <c r="F22" s="30" t="s">
        <v>1384</v>
      </c>
      <c r="G22" s="39" t="s">
        <v>1836</v>
      </c>
      <c r="H22" s="30" t="s">
        <v>42</v>
      </c>
      <c r="I22" s="30"/>
      <c r="J22" s="30"/>
      <c r="K22" s="30"/>
      <c r="L22" s="30"/>
      <c r="M22" s="30"/>
    </row>
    <row r="23" ht="34.5" spans="1:13">
      <c r="A23" s="30">
        <f t="shared" si="1"/>
        <v>13</v>
      </c>
      <c r="B23" s="34"/>
      <c r="C23" s="36"/>
      <c r="D23" s="36" t="s">
        <v>1837</v>
      </c>
      <c r="E23" s="35" t="s">
        <v>1838</v>
      </c>
      <c r="F23" s="30" t="s">
        <v>1392</v>
      </c>
      <c r="G23" s="39" t="s">
        <v>1839</v>
      </c>
      <c r="H23" s="30" t="s">
        <v>411</v>
      </c>
      <c r="I23" s="30"/>
      <c r="J23" s="30"/>
      <c r="K23" s="30"/>
      <c r="L23" s="30"/>
      <c r="M23" s="3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30" zoomScaleNormal="130" workbookViewId="0">
      <selection activeCell="F4" sqref="F4:I4"/>
    </sheetView>
  </sheetViews>
  <sheetFormatPr defaultColWidth="9" defaultRowHeight="13.5"/>
  <cols>
    <col min="1" max="1" width="15" customWidth="1"/>
    <col min="3" max="5" width="19.1666666666667" customWidth="1"/>
    <col min="6" max="6" width="21.8333333333333" customWidth="1"/>
    <col min="7" max="7" width="32.6666666666667" customWidth="1"/>
    <col min="8" max="8" width="19.5" customWidth="1"/>
    <col min="9" max="9" width="15.3333333333333" customWidth="1"/>
    <col min="10" max="10" width="17.2083333333333" customWidth="1"/>
  </cols>
  <sheetData>
    <row r="1" ht="14.25" spans="1:9">
      <c r="A1" s="27" t="s">
        <v>0</v>
      </c>
      <c r="B1" s="28" t="s">
        <v>1840</v>
      </c>
      <c r="C1" s="28"/>
      <c r="D1" s="28"/>
      <c r="E1" s="28"/>
      <c r="F1" s="28"/>
      <c r="G1" s="28"/>
      <c r="H1" s="28"/>
      <c r="I1" s="28"/>
    </row>
    <row r="2" ht="14.25" spans="1:9">
      <c r="A2" s="27"/>
      <c r="B2" s="28"/>
      <c r="C2" s="28"/>
      <c r="D2" s="28"/>
      <c r="E2" s="28"/>
      <c r="F2" s="28"/>
      <c r="G2" s="28"/>
      <c r="H2" s="28"/>
      <c r="I2" s="28"/>
    </row>
    <row r="3" ht="17.25" spans="1:9">
      <c r="A3" s="29" t="s">
        <v>2</v>
      </c>
      <c r="B3" s="29"/>
      <c r="C3" s="29"/>
      <c r="D3" s="29"/>
      <c r="E3" s="29"/>
      <c r="F3" s="29"/>
      <c r="G3" s="29"/>
      <c r="H3" s="29"/>
      <c r="I3" s="29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1841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1842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/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29" t="s">
        <v>12</v>
      </c>
      <c r="B9" s="29"/>
      <c r="C9" s="29"/>
      <c r="D9" s="29"/>
      <c r="E9" s="29"/>
      <c r="F9" s="29"/>
      <c r="G9" s="29"/>
      <c r="H9" s="29"/>
      <c r="I9" s="29"/>
    </row>
    <row r="10" ht="18" spans="1:9">
      <c r="A10" s="32"/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34.5" spans="1:9">
      <c r="A11" s="30">
        <v>1</v>
      </c>
      <c r="B11" s="34" t="s">
        <v>21</v>
      </c>
      <c r="C11" s="30"/>
      <c r="D11" s="30" t="s">
        <v>22</v>
      </c>
      <c r="E11" s="35" t="s">
        <v>22</v>
      </c>
      <c r="F11" s="30" t="s">
        <v>22</v>
      </c>
      <c r="G11" s="31" t="s">
        <v>23</v>
      </c>
      <c r="H11" s="31" t="s">
        <v>301</v>
      </c>
      <c r="I11" s="31"/>
    </row>
    <row r="12" ht="32.25" customHeight="1" spans="1:11">
      <c r="A12" s="30">
        <v>2</v>
      </c>
      <c r="B12" s="34" t="s">
        <v>21</v>
      </c>
      <c r="C12" s="36"/>
      <c r="D12" s="36" t="s">
        <v>1843</v>
      </c>
      <c r="E12" s="35" t="s">
        <v>1804</v>
      </c>
      <c r="F12" s="30" t="s">
        <v>1844</v>
      </c>
      <c r="G12" s="30"/>
      <c r="H12" s="31" t="s">
        <v>301</v>
      </c>
      <c r="I12" s="30"/>
      <c r="J12" s="30" t="s">
        <v>1805</v>
      </c>
      <c r="K12" s="30" t="s">
        <v>22</v>
      </c>
    </row>
    <row r="13" ht="27.75" spans="1:11">
      <c r="A13" s="30">
        <v>3</v>
      </c>
      <c r="B13" s="34" t="s">
        <v>21</v>
      </c>
      <c r="C13" s="30"/>
      <c r="D13" s="30" t="s">
        <v>1845</v>
      </c>
      <c r="E13" s="35" t="s">
        <v>1846</v>
      </c>
      <c r="F13" s="30" t="s">
        <v>1847</v>
      </c>
      <c r="G13" s="30" t="s">
        <v>1848</v>
      </c>
      <c r="H13" s="31" t="s">
        <v>301</v>
      </c>
      <c r="I13" s="30"/>
      <c r="J13" s="30" t="s">
        <v>1707</v>
      </c>
      <c r="K13" s="30" t="s">
        <v>22</v>
      </c>
    </row>
    <row r="14" ht="31.5" customHeight="1" spans="1:9">
      <c r="A14" s="30">
        <v>4</v>
      </c>
      <c r="B14" s="34" t="s">
        <v>21</v>
      </c>
      <c r="C14" s="30"/>
      <c r="D14" s="30" t="s">
        <v>1849</v>
      </c>
      <c r="E14" s="35" t="s">
        <v>1850</v>
      </c>
      <c r="F14" s="30" t="s">
        <v>1851</v>
      </c>
      <c r="G14" s="30" t="s">
        <v>1852</v>
      </c>
      <c r="H14" s="31" t="s">
        <v>42</v>
      </c>
      <c r="I14" s="30"/>
    </row>
    <row r="15" ht="17.25" spans="1:9">
      <c r="A15" s="30">
        <v>5</v>
      </c>
      <c r="B15" s="30"/>
      <c r="C15" s="30"/>
      <c r="D15" s="30" t="s">
        <v>1853</v>
      </c>
      <c r="E15" s="35" t="s">
        <v>1854</v>
      </c>
      <c r="F15" s="30" t="s">
        <v>1815</v>
      </c>
      <c r="G15" s="30" t="s">
        <v>1855</v>
      </c>
      <c r="H15" s="31" t="s">
        <v>953</v>
      </c>
      <c r="I15" s="30"/>
    </row>
    <row r="16" ht="34.5" spans="1:9">
      <c r="A16" s="30">
        <v>6</v>
      </c>
      <c r="B16" s="30"/>
      <c r="C16" s="30"/>
      <c r="D16" s="30" t="s">
        <v>1856</v>
      </c>
      <c r="E16" s="35" t="s">
        <v>1857</v>
      </c>
      <c r="F16" s="30" t="s">
        <v>1858</v>
      </c>
      <c r="G16" s="30" t="s">
        <v>1856</v>
      </c>
      <c r="H16" s="31" t="s">
        <v>301</v>
      </c>
      <c r="I16" s="3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F4" sqref="F4:I4"/>
    </sheetView>
  </sheetViews>
  <sheetFormatPr defaultColWidth="9" defaultRowHeight="13.5"/>
  <cols>
    <col min="5" max="5" width="18.1666666666667" customWidth="1"/>
    <col min="6" max="6" width="36.3333333333333" customWidth="1"/>
    <col min="7" max="7" width="27.3333333333333" customWidth="1"/>
    <col min="8" max="8" width="24.375" customWidth="1"/>
    <col min="9" max="9" width="12.5" customWidth="1"/>
    <col min="10" max="10" width="22.625" customWidth="1"/>
  </cols>
  <sheetData>
    <row r="1" ht="14.25" spans="1:9">
      <c r="A1" s="27" t="s">
        <v>0</v>
      </c>
      <c r="B1" s="28" t="s">
        <v>1859</v>
      </c>
      <c r="C1" s="28"/>
      <c r="D1" s="28"/>
      <c r="E1" s="28"/>
      <c r="F1" s="28"/>
      <c r="G1" s="28"/>
      <c r="H1" s="28"/>
      <c r="I1" s="28"/>
    </row>
    <row r="2" ht="14.25" spans="1:9">
      <c r="A2" s="27"/>
      <c r="B2" s="28"/>
      <c r="C2" s="28"/>
      <c r="D2" s="28"/>
      <c r="E2" s="28"/>
      <c r="F2" s="28"/>
      <c r="G2" s="28"/>
      <c r="H2" s="28"/>
      <c r="I2" s="28"/>
    </row>
    <row r="3" ht="17.25" spans="1:9">
      <c r="A3" s="29" t="s">
        <v>2</v>
      </c>
      <c r="B3" s="29"/>
      <c r="C3" s="29"/>
      <c r="D3" s="29"/>
      <c r="E3" s="29"/>
      <c r="F3" s="29"/>
      <c r="G3" s="29"/>
      <c r="H3" s="29"/>
      <c r="I3" s="29"/>
    </row>
    <row r="4" ht="17.25" spans="1:9">
      <c r="A4" s="30">
        <v>1</v>
      </c>
      <c r="B4" s="30" t="s">
        <v>3</v>
      </c>
      <c r="C4" s="30"/>
      <c r="D4" s="30"/>
      <c r="E4" s="30"/>
      <c r="F4" s="31" t="s">
        <v>1860</v>
      </c>
      <c r="G4" s="31"/>
      <c r="H4" s="31"/>
      <c r="I4" s="31"/>
    </row>
    <row r="5" ht="17.25" spans="1:9">
      <c r="A5" s="30">
        <v>2</v>
      </c>
      <c r="B5" s="30" t="s">
        <v>5</v>
      </c>
      <c r="C5" s="30"/>
      <c r="D5" s="30"/>
      <c r="E5" s="30"/>
      <c r="F5" s="31" t="s">
        <v>1861</v>
      </c>
      <c r="G5" s="31"/>
      <c r="H5" s="31"/>
      <c r="I5" s="31"/>
    </row>
    <row r="6" ht="17.25" spans="1:9">
      <c r="A6" s="30">
        <v>3</v>
      </c>
      <c r="B6" s="30" t="s">
        <v>6</v>
      </c>
      <c r="C6" s="30"/>
      <c r="D6" s="30"/>
      <c r="E6" s="30"/>
      <c r="F6" s="31"/>
      <c r="G6" s="31"/>
      <c r="H6" s="31"/>
      <c r="I6" s="31"/>
    </row>
    <row r="7" ht="17.25" spans="1:9">
      <c r="A7" s="30">
        <v>4</v>
      </c>
      <c r="B7" s="30" t="s">
        <v>8</v>
      </c>
      <c r="C7" s="30"/>
      <c r="D7" s="30"/>
      <c r="E7" s="30"/>
      <c r="F7" s="31"/>
      <c r="G7" s="31"/>
      <c r="H7" s="31"/>
      <c r="I7" s="31"/>
    </row>
    <row r="8" ht="17.25" spans="1:9">
      <c r="A8" s="30">
        <v>5</v>
      </c>
      <c r="B8" s="30" t="s">
        <v>10</v>
      </c>
      <c r="C8" s="30"/>
      <c r="D8" s="30"/>
      <c r="E8" s="30"/>
      <c r="F8" s="31"/>
      <c r="G8" s="31"/>
      <c r="H8" s="31"/>
      <c r="I8" s="31"/>
    </row>
    <row r="9" ht="17.25" spans="1:9">
      <c r="A9" s="29" t="s">
        <v>12</v>
      </c>
      <c r="B9" s="29"/>
      <c r="C9" s="29"/>
      <c r="D9" s="29"/>
      <c r="E9" s="29"/>
      <c r="F9" s="29"/>
      <c r="G9" s="29"/>
      <c r="H9" s="29"/>
      <c r="I9" s="29"/>
    </row>
    <row r="10" ht="34.5" spans="1:9">
      <c r="A10" s="32"/>
      <c r="B10" s="33" t="s">
        <v>13</v>
      </c>
      <c r="C10" s="32" t="s">
        <v>14</v>
      </c>
      <c r="D10" s="32" t="s">
        <v>15</v>
      </c>
      <c r="E10" s="17" t="s">
        <v>16</v>
      </c>
      <c r="F10" s="32" t="s">
        <v>17</v>
      </c>
      <c r="G10" s="32" t="s">
        <v>18</v>
      </c>
      <c r="H10" s="32" t="s">
        <v>19</v>
      </c>
      <c r="I10" s="32" t="s">
        <v>20</v>
      </c>
    </row>
    <row r="11" ht="34.5" spans="1:9">
      <c r="A11" s="30">
        <v>1</v>
      </c>
      <c r="B11" s="34" t="s">
        <v>21</v>
      </c>
      <c r="C11" s="30"/>
      <c r="D11" s="30" t="s">
        <v>22</v>
      </c>
      <c r="E11" s="35" t="s">
        <v>22</v>
      </c>
      <c r="F11" s="30" t="s">
        <v>22</v>
      </c>
      <c r="G11" s="31" t="s">
        <v>23</v>
      </c>
      <c r="H11" s="31" t="s">
        <v>301</v>
      </c>
      <c r="I11" s="31"/>
    </row>
    <row r="12" ht="27.75" spans="1:11">
      <c r="A12" s="30">
        <v>2</v>
      </c>
      <c r="B12" s="34" t="s">
        <v>21</v>
      </c>
      <c r="C12" s="36"/>
      <c r="D12" s="36" t="s">
        <v>1843</v>
      </c>
      <c r="E12" s="35" t="s">
        <v>1804</v>
      </c>
      <c r="F12" s="30" t="s">
        <v>1844</v>
      </c>
      <c r="G12" s="30"/>
      <c r="H12" s="31" t="s">
        <v>301</v>
      </c>
      <c r="I12" s="30"/>
      <c r="J12" t="s">
        <v>1805</v>
      </c>
      <c r="K12" t="s">
        <v>22</v>
      </c>
    </row>
    <row r="13" ht="27.75" spans="1:11">
      <c r="A13" s="30">
        <v>3</v>
      </c>
      <c r="B13" s="34" t="s">
        <v>21</v>
      </c>
      <c r="C13" s="30"/>
      <c r="D13" s="30" t="s">
        <v>1845</v>
      </c>
      <c r="E13" s="35" t="s">
        <v>1846</v>
      </c>
      <c r="F13" s="30" t="s">
        <v>1847</v>
      </c>
      <c r="G13" s="30" t="s">
        <v>1862</v>
      </c>
      <c r="H13" s="31" t="s">
        <v>301</v>
      </c>
      <c r="I13" s="30"/>
      <c r="J13" s="37" t="s">
        <v>161</v>
      </c>
      <c r="K13" s="37" t="s">
        <v>22</v>
      </c>
    </row>
    <row r="14" ht="27.75" spans="1:9">
      <c r="A14" s="30">
        <v>4</v>
      </c>
      <c r="B14" s="34" t="s">
        <v>21</v>
      </c>
      <c r="C14" s="30"/>
      <c r="D14" s="30" t="s">
        <v>1849</v>
      </c>
      <c r="E14" s="35" t="s">
        <v>1863</v>
      </c>
      <c r="F14" s="30" t="s">
        <v>1851</v>
      </c>
      <c r="G14" s="30" t="s">
        <v>1852</v>
      </c>
      <c r="H14" s="31" t="s">
        <v>42</v>
      </c>
      <c r="I14" s="30"/>
    </row>
    <row r="15" ht="17.25" spans="1:9">
      <c r="A15" s="30">
        <v>5</v>
      </c>
      <c r="B15" s="30"/>
      <c r="C15" s="30"/>
      <c r="D15" s="30" t="s">
        <v>1853</v>
      </c>
      <c r="E15" s="35" t="s">
        <v>1864</v>
      </c>
      <c r="F15" s="30" t="s">
        <v>1815</v>
      </c>
      <c r="G15" s="30" t="s">
        <v>1855</v>
      </c>
      <c r="H15" s="31" t="s">
        <v>953</v>
      </c>
      <c r="I15" s="30"/>
    </row>
    <row r="16" ht="34.5" spans="1:9">
      <c r="A16" s="30">
        <v>6</v>
      </c>
      <c r="B16" s="30"/>
      <c r="C16" s="30"/>
      <c r="D16" s="30" t="s">
        <v>1856</v>
      </c>
      <c r="E16" s="35" t="s">
        <v>1865</v>
      </c>
      <c r="F16" s="30" t="s">
        <v>1858</v>
      </c>
      <c r="G16" s="30" t="s">
        <v>1856</v>
      </c>
      <c r="H16" s="31" t="s">
        <v>301</v>
      </c>
      <c r="I16" s="30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115" zoomScaleNormal="115" workbookViewId="0">
      <selection activeCell="A16" sqref="$A16:$XFD61"/>
    </sheetView>
  </sheetViews>
  <sheetFormatPr defaultColWidth="9" defaultRowHeight="13.5"/>
  <cols>
    <col min="1" max="1" width="4.66666666666667" style="1" customWidth="1"/>
    <col min="2" max="2" width="5.66666666666667" customWidth="1"/>
    <col min="3" max="6" width="20.6666666666667" style="1" customWidth="1"/>
    <col min="7" max="7" width="13.5916666666667" customWidth="1"/>
    <col min="8" max="8" width="20.6666666666667" style="1" customWidth="1"/>
    <col min="9" max="9" width="25.65" customWidth="1"/>
    <col min="10" max="10" width="19.45" customWidth="1"/>
  </cols>
  <sheetData>
    <row r="1" ht="14.25" customHeight="1" spans="1:9">
      <c r="A1" s="2" t="s">
        <v>0</v>
      </c>
      <c r="B1" s="3" t="s">
        <v>1866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1867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1866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1868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24</v>
      </c>
      <c r="I11" s="18"/>
    </row>
    <row r="12" ht="17.25" spans="1:11">
      <c r="A12" s="5">
        <v>2</v>
      </c>
      <c r="B12" s="25" t="s">
        <v>21</v>
      </c>
      <c r="C12" s="5"/>
      <c r="D12" s="5" t="s">
        <v>1017</v>
      </c>
      <c r="E12" s="17" t="s">
        <v>1869</v>
      </c>
      <c r="F12" s="5" t="s">
        <v>1019</v>
      </c>
      <c r="G12" s="18" t="s">
        <v>1017</v>
      </c>
      <c r="H12" s="5" t="s">
        <v>24</v>
      </c>
      <c r="I12" s="18" t="s">
        <v>1706</v>
      </c>
      <c r="J12" t="s">
        <v>1707</v>
      </c>
      <c r="K12" t="s">
        <v>1019</v>
      </c>
    </row>
    <row r="13" ht="17.25" spans="1:9">
      <c r="A13" s="5">
        <v>3</v>
      </c>
      <c r="B13" s="25" t="s">
        <v>21</v>
      </c>
      <c r="C13" s="5"/>
      <c r="D13" s="5" t="s">
        <v>378</v>
      </c>
      <c r="E13" s="17" t="s">
        <v>1870</v>
      </c>
      <c r="F13" s="5" t="s">
        <v>379</v>
      </c>
      <c r="G13" s="18"/>
      <c r="H13" s="5" t="s">
        <v>27</v>
      </c>
      <c r="I13" s="18"/>
    </row>
    <row r="14" ht="17.25" spans="1:9">
      <c r="A14" s="5">
        <v>4</v>
      </c>
      <c r="B14" s="25"/>
      <c r="C14" s="5"/>
      <c r="D14" s="5" t="s">
        <v>382</v>
      </c>
      <c r="E14" s="17" t="s">
        <v>1871</v>
      </c>
      <c r="F14" s="5" t="s">
        <v>383</v>
      </c>
      <c r="G14" s="18"/>
      <c r="H14" s="5" t="s">
        <v>27</v>
      </c>
      <c r="I14" s="18"/>
    </row>
    <row r="15" ht="17.25" spans="1:9">
      <c r="A15" s="5">
        <v>5</v>
      </c>
      <c r="B15" s="25" t="s">
        <v>21</v>
      </c>
      <c r="C15" s="5"/>
      <c r="D15" s="5" t="s">
        <v>1872</v>
      </c>
      <c r="E15" s="17" t="s">
        <v>1873</v>
      </c>
      <c r="F15" s="5" t="s">
        <v>1815</v>
      </c>
      <c r="G15" s="18" t="s">
        <v>1874</v>
      </c>
      <c r="H15" s="5" t="s">
        <v>1875</v>
      </c>
      <c r="I15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J19" sqref="J19"/>
    </sheetView>
  </sheetViews>
  <sheetFormatPr defaultColWidth="9" defaultRowHeight="13.5"/>
  <cols>
    <col min="1" max="1" width="4.66666666666667" style="1" customWidth="1"/>
    <col min="2" max="2" width="5.66666666666667" customWidth="1"/>
    <col min="3" max="3" width="8.625" style="1" customWidth="1"/>
    <col min="4" max="6" width="20.6666666666667" style="1" customWidth="1"/>
    <col min="7" max="7" width="34.25" customWidth="1"/>
    <col min="8" max="8" width="20.6666666666667" style="1" customWidth="1"/>
    <col min="9" max="9" width="36.875" customWidth="1"/>
    <col min="10" max="10" width="27.125" customWidth="1"/>
  </cols>
  <sheetData>
    <row r="1" ht="14.25" customHeight="1" spans="1:9">
      <c r="A1" s="2" t="s">
        <v>0</v>
      </c>
      <c r="B1" s="3" t="s">
        <v>1876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1877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1878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1868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219</v>
      </c>
      <c r="I11" s="18"/>
    </row>
    <row r="12" ht="17.25" spans="1:11">
      <c r="A12" s="5">
        <v>2</v>
      </c>
      <c r="B12" s="25" t="s">
        <v>21</v>
      </c>
      <c r="C12" s="5"/>
      <c r="D12" s="5" t="s">
        <v>1017</v>
      </c>
      <c r="E12" s="17" t="s">
        <v>1879</v>
      </c>
      <c r="F12" s="5" t="s">
        <v>1019</v>
      </c>
      <c r="G12" s="18" t="s">
        <v>1017</v>
      </c>
      <c r="H12" s="5" t="s">
        <v>24</v>
      </c>
      <c r="I12" s="18"/>
      <c r="J12" t="s">
        <v>1707</v>
      </c>
      <c r="K12" t="s">
        <v>1019</v>
      </c>
    </row>
    <row r="13" ht="17.25" spans="1:9">
      <c r="A13" s="5">
        <v>3</v>
      </c>
      <c r="B13" s="25" t="s">
        <v>21</v>
      </c>
      <c r="C13" s="5"/>
      <c r="D13" s="5" t="s">
        <v>378</v>
      </c>
      <c r="E13" s="17" t="s">
        <v>1880</v>
      </c>
      <c r="F13" s="5" t="s">
        <v>379</v>
      </c>
      <c r="G13" s="18" t="s">
        <v>1881</v>
      </c>
      <c r="H13" s="5" t="s">
        <v>27</v>
      </c>
      <c r="I13" s="18"/>
    </row>
    <row r="14" ht="17.25" spans="1:9">
      <c r="A14" s="5">
        <v>4</v>
      </c>
      <c r="B14" s="25" t="s">
        <v>21</v>
      </c>
      <c r="C14" s="5"/>
      <c r="D14" s="5" t="s">
        <v>382</v>
      </c>
      <c r="E14" s="17" t="s">
        <v>1882</v>
      </c>
      <c r="F14" s="5" t="s">
        <v>383</v>
      </c>
      <c r="G14" s="18" t="s">
        <v>1883</v>
      </c>
      <c r="H14" s="5" t="s">
        <v>27</v>
      </c>
      <c r="I14" s="18"/>
    </row>
    <row r="15" ht="17.25" spans="1:9">
      <c r="A15" s="5">
        <v>5</v>
      </c>
      <c r="B15" s="25" t="s">
        <v>21</v>
      </c>
      <c r="C15" s="5"/>
      <c r="D15" s="5" t="s">
        <v>1874</v>
      </c>
      <c r="E15" s="17" t="s">
        <v>1884</v>
      </c>
      <c r="F15" s="5" t="s">
        <v>1815</v>
      </c>
      <c r="G15" s="18" t="s">
        <v>1885</v>
      </c>
      <c r="H15" s="5" t="s">
        <v>27</v>
      </c>
      <c r="I15" s="18"/>
    </row>
    <row r="16" ht="17.25" spans="1:9">
      <c r="A16" s="5">
        <v>6</v>
      </c>
      <c r="B16" s="25" t="s">
        <v>21</v>
      </c>
      <c r="C16" s="5"/>
      <c r="D16" s="5" t="s">
        <v>1886</v>
      </c>
      <c r="E16" s="17" t="s">
        <v>1887</v>
      </c>
      <c r="F16" s="5" t="s">
        <v>1888</v>
      </c>
      <c r="G16" s="18" t="s">
        <v>1889</v>
      </c>
      <c r="H16" s="5" t="s">
        <v>27</v>
      </c>
      <c r="I16" s="18"/>
    </row>
    <row r="17" ht="17.25" spans="1:9">
      <c r="A17" s="5">
        <v>7</v>
      </c>
      <c r="B17" s="18"/>
      <c r="C17" s="5"/>
      <c r="D17" s="5" t="s">
        <v>1890</v>
      </c>
      <c r="E17" s="17" t="s">
        <v>1891</v>
      </c>
      <c r="F17" s="5" t="s">
        <v>1892</v>
      </c>
      <c r="G17" s="18" t="s">
        <v>1893</v>
      </c>
      <c r="H17" s="5" t="s">
        <v>27</v>
      </c>
      <c r="I17" s="18"/>
    </row>
    <row r="18" ht="17.25" spans="1:9">
      <c r="A18" s="5">
        <v>8</v>
      </c>
      <c r="B18" s="18"/>
      <c r="C18" s="5"/>
      <c r="D18" s="5" t="s">
        <v>1894</v>
      </c>
      <c r="E18" s="17" t="s">
        <v>1895</v>
      </c>
      <c r="F18" s="5" t="s">
        <v>1896</v>
      </c>
      <c r="G18" s="18" t="s">
        <v>1897</v>
      </c>
      <c r="H18" s="5" t="s">
        <v>27</v>
      </c>
      <c r="I18" s="18"/>
    </row>
    <row r="19" ht="17.25" spans="1:11">
      <c r="A19" s="5">
        <v>9</v>
      </c>
      <c r="B19" s="25" t="s">
        <v>21</v>
      </c>
      <c r="C19" s="5"/>
      <c r="D19" s="5" t="s">
        <v>1898</v>
      </c>
      <c r="E19" s="17" t="s">
        <v>1899</v>
      </c>
      <c r="F19" s="5" t="s">
        <v>1900</v>
      </c>
      <c r="G19" s="18" t="s">
        <v>1898</v>
      </c>
      <c r="H19" s="5" t="s">
        <v>27</v>
      </c>
      <c r="I19" s="18" t="s">
        <v>1901</v>
      </c>
      <c r="J19" t="s">
        <v>1902</v>
      </c>
      <c r="K19" t="s">
        <v>22</v>
      </c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workbookViewId="0">
      <selection activeCell="F4" sqref="F4:I4"/>
    </sheetView>
  </sheetViews>
  <sheetFormatPr defaultColWidth="9" defaultRowHeight="13.5"/>
  <cols>
    <col min="1" max="1" width="4.66666666666667" style="1" customWidth="1"/>
    <col min="2" max="2" width="5.66666666666667" customWidth="1"/>
    <col min="3" max="3" width="12.125" style="1" customWidth="1"/>
    <col min="4" max="5" width="20.6666666666667" style="1" customWidth="1"/>
    <col min="6" max="6" width="24.5" style="1" customWidth="1"/>
    <col min="7" max="7" width="26.375" customWidth="1"/>
    <col min="8" max="8" width="20.6666666666667" style="1" customWidth="1"/>
    <col min="9" max="9" width="8.125" customWidth="1"/>
    <col min="10" max="10" width="30.5" customWidth="1"/>
  </cols>
  <sheetData>
    <row r="1" ht="14.25" customHeight="1" spans="1:9">
      <c r="A1" s="2" t="s">
        <v>0</v>
      </c>
      <c r="B1" s="3" t="s">
        <v>1903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1904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1905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1868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/>
      <c r="H11" s="5" t="s">
        <v>219</v>
      </c>
      <c r="I11" s="18"/>
    </row>
    <row r="12" ht="17.25" spans="1:11">
      <c r="A12" s="5">
        <v>2</v>
      </c>
      <c r="B12" s="25" t="s">
        <v>21</v>
      </c>
      <c r="C12" s="5"/>
      <c r="D12" s="5" t="s">
        <v>1017</v>
      </c>
      <c r="E12" s="17" t="s">
        <v>1879</v>
      </c>
      <c r="F12" s="5" t="s">
        <v>1019</v>
      </c>
      <c r="G12" s="18"/>
      <c r="H12" s="5" t="s">
        <v>24</v>
      </c>
      <c r="I12" s="18"/>
      <c r="J12" t="s">
        <v>1707</v>
      </c>
      <c r="K12" t="s">
        <v>1019</v>
      </c>
    </row>
    <row r="13" ht="17.25" spans="1:11">
      <c r="A13" s="5">
        <v>3</v>
      </c>
      <c r="B13" s="25" t="s">
        <v>21</v>
      </c>
      <c r="C13" s="26"/>
      <c r="D13" s="26" t="s">
        <v>1906</v>
      </c>
      <c r="E13" s="17" t="s">
        <v>1907</v>
      </c>
      <c r="F13" s="5" t="s">
        <v>1908</v>
      </c>
      <c r="G13" s="18" t="s">
        <v>1909</v>
      </c>
      <c r="H13" s="5" t="s">
        <v>24</v>
      </c>
      <c r="I13" s="18"/>
      <c r="J13" t="s">
        <v>1910</v>
      </c>
      <c r="K13" t="s">
        <v>22</v>
      </c>
    </row>
    <row r="14" ht="17.25" spans="1:9">
      <c r="A14" s="5">
        <v>4</v>
      </c>
      <c r="B14" s="25" t="s">
        <v>21</v>
      </c>
      <c r="C14" s="26"/>
      <c r="D14" s="26" t="s">
        <v>1911</v>
      </c>
      <c r="E14" s="17" t="s">
        <v>1912</v>
      </c>
      <c r="F14" s="5" t="s">
        <v>1858</v>
      </c>
      <c r="G14" s="18"/>
      <c r="H14" s="5" t="s">
        <v>53</v>
      </c>
      <c r="I14" s="18"/>
    </row>
    <row r="15" ht="17.25" spans="1:9">
      <c r="A15" s="5">
        <v>5</v>
      </c>
      <c r="B15" s="25" t="s">
        <v>21</v>
      </c>
      <c r="C15" s="26"/>
      <c r="D15" s="26" t="s">
        <v>1913</v>
      </c>
      <c r="E15" s="17" t="s">
        <v>1914</v>
      </c>
      <c r="F15" s="5" t="s">
        <v>1815</v>
      </c>
      <c r="G15" s="18"/>
      <c r="H15" s="5" t="s">
        <v>1915</v>
      </c>
      <c r="I15" s="18"/>
    </row>
    <row r="16" ht="17.25" spans="1:9">
      <c r="A16" s="5">
        <v>6</v>
      </c>
      <c r="B16" s="25" t="s">
        <v>21</v>
      </c>
      <c r="C16" s="5"/>
      <c r="D16" s="5" t="s">
        <v>1654</v>
      </c>
      <c r="E16" s="17" t="s">
        <v>1916</v>
      </c>
      <c r="F16" s="5" t="s">
        <v>319</v>
      </c>
      <c r="G16" s="18" t="s">
        <v>1917</v>
      </c>
      <c r="H16" s="5" t="s">
        <v>243</v>
      </c>
      <c r="I16" s="18"/>
    </row>
    <row r="17" ht="17.25" spans="1:9">
      <c r="A17" s="5">
        <v>7</v>
      </c>
      <c r="B17" s="25" t="s">
        <v>21</v>
      </c>
      <c r="C17" s="5"/>
      <c r="D17" s="5" t="s">
        <v>378</v>
      </c>
      <c r="E17" s="17" t="s">
        <v>1880</v>
      </c>
      <c r="F17" s="5" t="s">
        <v>379</v>
      </c>
      <c r="G17" s="18"/>
      <c r="H17" s="5" t="s">
        <v>1206</v>
      </c>
      <c r="I17" s="18"/>
    </row>
    <row r="18" ht="17.25" spans="1:9">
      <c r="A18" s="5">
        <v>8</v>
      </c>
      <c r="B18" s="18"/>
      <c r="C18" s="5"/>
      <c r="D18" s="5" t="s">
        <v>382</v>
      </c>
      <c r="E18" s="17" t="s">
        <v>1882</v>
      </c>
      <c r="F18" s="5" t="s">
        <v>383</v>
      </c>
      <c r="G18" s="18"/>
      <c r="H18" s="5" t="s">
        <v>411</v>
      </c>
      <c r="I18" s="18"/>
    </row>
    <row r="19" ht="17.25" spans="1:9">
      <c r="A19" s="5">
        <v>10</v>
      </c>
      <c r="B19" s="25" t="s">
        <v>21</v>
      </c>
      <c r="C19" s="5"/>
      <c r="D19" s="5" t="s">
        <v>1918</v>
      </c>
      <c r="E19" s="17" t="s">
        <v>1919</v>
      </c>
      <c r="F19" s="5" t="s">
        <v>750</v>
      </c>
      <c r="G19" s="18" t="s">
        <v>1920</v>
      </c>
      <c r="H19" s="5" t="s">
        <v>27</v>
      </c>
      <c r="I19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zoomScale="85" zoomScaleNormal="85" topLeftCell="B4" workbookViewId="0">
      <selection activeCell="H21" sqref="H21"/>
    </sheetView>
  </sheetViews>
  <sheetFormatPr defaultColWidth="9" defaultRowHeight="13.5"/>
  <cols>
    <col min="1" max="1" width="4.66666666666667" style="1" customWidth="1"/>
    <col min="2" max="2" width="5.66666666666667" customWidth="1"/>
    <col min="3" max="6" width="20.6666666666667" style="1" customWidth="1"/>
    <col min="7" max="7" width="51.1666666666667" customWidth="1"/>
    <col min="8" max="8" width="20.6666666666667" style="1" customWidth="1"/>
    <col min="9" max="9" width="60.6666666666667" customWidth="1"/>
  </cols>
  <sheetData>
    <row r="1" ht="14.25" customHeight="1" spans="1:9">
      <c r="A1" s="2" t="s">
        <v>0</v>
      </c>
      <c r="B1" s="3" t="s">
        <v>1921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1902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1922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1868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25" t="s">
        <v>21</v>
      </c>
      <c r="C11" s="5"/>
      <c r="D11" s="5" t="s">
        <v>22</v>
      </c>
      <c r="E11" s="17" t="s">
        <v>22</v>
      </c>
      <c r="F11" s="5" t="s">
        <v>22</v>
      </c>
      <c r="G11" s="18" t="s">
        <v>1232</v>
      </c>
      <c r="H11" s="5" t="s">
        <v>24</v>
      </c>
      <c r="I11" s="18"/>
    </row>
    <row r="12" ht="17.25" spans="1:9">
      <c r="A12" s="5">
        <v>2</v>
      </c>
      <c r="B12" s="25" t="s">
        <v>21</v>
      </c>
      <c r="C12" s="26"/>
      <c r="D12" s="26" t="s">
        <v>1898</v>
      </c>
      <c r="E12" s="17" t="s">
        <v>1898</v>
      </c>
      <c r="F12" s="5" t="s">
        <v>26</v>
      </c>
      <c r="G12" s="18" t="s">
        <v>1923</v>
      </c>
      <c r="H12" s="5" t="s">
        <v>24</v>
      </c>
      <c r="I12" s="18"/>
    </row>
    <row r="13" ht="17.25" spans="1:9">
      <c r="A13" s="5">
        <v>3</v>
      </c>
      <c r="B13" s="25" t="s">
        <v>21</v>
      </c>
      <c r="C13" s="26"/>
      <c r="D13" s="26" t="s">
        <v>1924</v>
      </c>
      <c r="E13" s="17" t="s">
        <v>1924</v>
      </c>
      <c r="F13" s="5" t="s">
        <v>29</v>
      </c>
      <c r="G13" s="18"/>
      <c r="H13" s="5" t="s">
        <v>219</v>
      </c>
      <c r="I13" s="18"/>
    </row>
    <row r="14" ht="17.25" spans="1:9">
      <c r="A14" s="5">
        <v>4</v>
      </c>
      <c r="B14" s="25" t="s">
        <v>21</v>
      </c>
      <c r="C14" s="20" t="s">
        <v>224</v>
      </c>
      <c r="D14" s="20" t="s">
        <v>231</v>
      </c>
      <c r="E14" s="17" t="s">
        <v>231</v>
      </c>
      <c r="F14" s="5" t="s">
        <v>232</v>
      </c>
      <c r="G14" s="18" t="s">
        <v>1374</v>
      </c>
      <c r="H14" s="5" t="s">
        <v>1925</v>
      </c>
      <c r="I14" s="18"/>
    </row>
    <row r="15" ht="17.25" spans="1:9">
      <c r="A15" s="5">
        <v>5</v>
      </c>
      <c r="B15" s="18"/>
      <c r="C15" s="20" t="s">
        <v>224</v>
      </c>
      <c r="D15" s="20" t="s">
        <v>235</v>
      </c>
      <c r="E15" s="17" t="s">
        <v>235</v>
      </c>
      <c r="F15" s="5" t="s">
        <v>236</v>
      </c>
      <c r="G15" s="18"/>
      <c r="H15" s="5" t="s">
        <v>219</v>
      </c>
      <c r="I15" s="18"/>
    </row>
    <row r="16" ht="17.25" spans="1:9">
      <c r="A16" s="5">
        <v>6</v>
      </c>
      <c r="B16" s="25" t="s">
        <v>21</v>
      </c>
      <c r="C16" s="26"/>
      <c r="D16" s="26" t="s">
        <v>225</v>
      </c>
      <c r="E16" s="17" t="s">
        <v>225</v>
      </c>
      <c r="F16" s="5" t="s">
        <v>227</v>
      </c>
      <c r="G16" s="18" t="s">
        <v>1926</v>
      </c>
      <c r="H16" s="5" t="s">
        <v>24</v>
      </c>
      <c r="I16" s="18"/>
    </row>
    <row r="17" ht="17.25" spans="1:9">
      <c r="A17" s="5">
        <v>7</v>
      </c>
      <c r="B17" s="25" t="s">
        <v>21</v>
      </c>
      <c r="C17" s="20" t="s">
        <v>224</v>
      </c>
      <c r="D17" s="20" t="s">
        <v>1927</v>
      </c>
      <c r="E17" s="17" t="s">
        <v>1927</v>
      </c>
      <c r="F17" s="5" t="s">
        <v>229</v>
      </c>
      <c r="G17" s="5" t="s">
        <v>1928</v>
      </c>
      <c r="H17" s="5" t="s">
        <v>30</v>
      </c>
      <c r="I17" s="5"/>
    </row>
    <row r="18" ht="17.25" spans="1:9">
      <c r="A18" s="5">
        <v>8</v>
      </c>
      <c r="B18" s="25" t="s">
        <v>21</v>
      </c>
      <c r="C18" s="20" t="s">
        <v>224</v>
      </c>
      <c r="D18" s="20" t="s">
        <v>40</v>
      </c>
      <c r="E18" s="17" t="s">
        <v>40</v>
      </c>
      <c r="F18" s="5" t="s">
        <v>41</v>
      </c>
      <c r="G18" s="5"/>
      <c r="H18" s="5" t="s">
        <v>1925</v>
      </c>
      <c r="I18" s="5"/>
    </row>
    <row r="19" ht="17.25" spans="1:9">
      <c r="A19" s="5">
        <v>9</v>
      </c>
      <c r="B19" s="5"/>
      <c r="C19" s="26"/>
      <c r="D19" s="26" t="s">
        <v>950</v>
      </c>
      <c r="E19" s="17" t="s">
        <v>950</v>
      </c>
      <c r="F19" s="5" t="s">
        <v>952</v>
      </c>
      <c r="G19" s="5" t="s">
        <v>1929</v>
      </c>
      <c r="H19" s="5" t="s">
        <v>1930</v>
      </c>
      <c r="I19" s="5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pageSetup paperSize="9" orientation="portrait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B1" sqref="B1:I2"/>
    </sheetView>
  </sheetViews>
  <sheetFormatPr defaultColWidth="9" defaultRowHeight="13.5"/>
  <cols>
    <col min="1" max="1" width="4.66666666666667" style="1" customWidth="1"/>
    <col min="2" max="2" width="5.66666666666667" customWidth="1"/>
    <col min="3" max="6" width="20.6666666666667" style="1" customWidth="1"/>
    <col min="7" max="7" width="66.6666666666667" customWidth="1"/>
    <col min="8" max="8" width="20.6666666666667" style="1" customWidth="1"/>
    <col min="9" max="9" width="19.5" customWidth="1"/>
    <col min="10" max="10" width="22.625" customWidth="1"/>
  </cols>
  <sheetData>
    <row r="1" ht="14.25" customHeight="1" spans="1:9">
      <c r="A1" s="2" t="s">
        <v>0</v>
      </c>
      <c r="B1" s="3" t="s">
        <v>1931</v>
      </c>
      <c r="C1" s="4"/>
      <c r="D1" s="4"/>
      <c r="E1" s="4"/>
      <c r="F1" s="4"/>
      <c r="G1" s="4"/>
      <c r="H1" s="4"/>
      <c r="I1" s="21"/>
    </row>
    <row r="2" ht="17.25" spans="1:9">
      <c r="A2" s="5"/>
      <c r="B2" s="6"/>
      <c r="C2" s="7"/>
      <c r="D2" s="7"/>
      <c r="E2" s="7"/>
      <c r="F2" s="7"/>
      <c r="G2" s="7"/>
      <c r="H2" s="7"/>
      <c r="I2" s="22"/>
    </row>
    <row r="3" ht="17.25" spans="1:9">
      <c r="A3" s="8" t="s">
        <v>2</v>
      </c>
      <c r="B3" s="9"/>
      <c r="C3" s="9"/>
      <c r="D3" s="9"/>
      <c r="E3" s="9"/>
      <c r="F3" s="9"/>
      <c r="G3" s="9"/>
      <c r="H3" s="9"/>
      <c r="I3" s="23"/>
    </row>
    <row r="4" ht="17.25" spans="1:9">
      <c r="A4" s="5">
        <v>1</v>
      </c>
      <c r="B4" s="10" t="s">
        <v>3</v>
      </c>
      <c r="C4" s="11"/>
      <c r="D4" s="12"/>
      <c r="E4" s="11"/>
      <c r="F4" s="13" t="s">
        <v>1910</v>
      </c>
      <c r="G4" s="14"/>
      <c r="H4" s="14"/>
      <c r="I4" s="24"/>
    </row>
    <row r="5" ht="17.25" spans="1:9">
      <c r="A5" s="5">
        <v>2</v>
      </c>
      <c r="B5" s="10" t="s">
        <v>5</v>
      </c>
      <c r="C5" s="11"/>
      <c r="D5" s="12"/>
      <c r="E5" s="11"/>
      <c r="F5" s="13" t="s">
        <v>1932</v>
      </c>
      <c r="G5" s="14"/>
      <c r="H5" s="14"/>
      <c r="I5" s="24"/>
    </row>
    <row r="6" ht="17.25" spans="1:9">
      <c r="A6" s="5">
        <v>3</v>
      </c>
      <c r="B6" s="10" t="s">
        <v>6</v>
      </c>
      <c r="C6" s="11"/>
      <c r="D6" s="12"/>
      <c r="E6" s="11"/>
      <c r="F6" s="13"/>
      <c r="G6" s="14"/>
      <c r="H6" s="14"/>
      <c r="I6" s="24"/>
    </row>
    <row r="7" ht="17.25" spans="1:9">
      <c r="A7" s="5">
        <v>4</v>
      </c>
      <c r="B7" s="10" t="s">
        <v>8</v>
      </c>
      <c r="C7" s="11"/>
      <c r="D7" s="12"/>
      <c r="E7" s="11"/>
      <c r="F7" s="13" t="s">
        <v>1868</v>
      </c>
      <c r="G7" s="14"/>
      <c r="H7" s="14"/>
      <c r="I7" s="24"/>
    </row>
    <row r="8" ht="17.25" spans="1:9">
      <c r="A8" s="5">
        <v>5</v>
      </c>
      <c r="B8" s="10" t="s">
        <v>729</v>
      </c>
      <c r="C8" s="11"/>
      <c r="D8" s="12"/>
      <c r="E8" s="11"/>
      <c r="F8" s="13"/>
      <c r="G8" s="14"/>
      <c r="H8" s="14"/>
      <c r="I8" s="24"/>
    </row>
    <row r="9" ht="17.25" spans="1:9">
      <c r="A9" s="8" t="s">
        <v>12</v>
      </c>
      <c r="B9" s="9"/>
      <c r="C9" s="9"/>
      <c r="D9" s="9"/>
      <c r="E9" s="9"/>
      <c r="F9" s="9"/>
      <c r="G9" s="9"/>
      <c r="H9" s="9"/>
      <c r="I9" s="23"/>
    </row>
    <row r="10" ht="17.25" spans="1:9">
      <c r="A10" s="15"/>
      <c r="B10" s="16" t="s">
        <v>13</v>
      </c>
      <c r="C10" s="15" t="s">
        <v>14</v>
      </c>
      <c r="D10" s="15" t="s">
        <v>15</v>
      </c>
      <c r="E10" s="17" t="s">
        <v>16</v>
      </c>
      <c r="F10" s="15" t="s">
        <v>17</v>
      </c>
      <c r="G10" s="16" t="s">
        <v>18</v>
      </c>
      <c r="H10" s="15" t="s">
        <v>19</v>
      </c>
      <c r="I10" s="16" t="s">
        <v>20</v>
      </c>
    </row>
    <row r="11" ht="17.25" spans="1:9">
      <c r="A11" s="5">
        <v>1</v>
      </c>
      <c r="B11" s="18"/>
      <c r="C11" s="5"/>
      <c r="D11" s="5" t="s">
        <v>22</v>
      </c>
      <c r="E11" s="17" t="s">
        <v>22</v>
      </c>
      <c r="F11" s="5" t="s">
        <v>22</v>
      </c>
      <c r="G11" s="18"/>
      <c r="H11" s="5" t="s">
        <v>219</v>
      </c>
      <c r="I11" s="18"/>
    </row>
    <row r="12" ht="17.25" spans="1:9">
      <c r="A12" s="5">
        <v>2</v>
      </c>
      <c r="B12" s="18"/>
      <c r="C12" s="5"/>
      <c r="D12" s="5" t="s">
        <v>1933</v>
      </c>
      <c r="E12" s="17" t="s">
        <v>1934</v>
      </c>
      <c r="F12" s="5" t="s">
        <v>26</v>
      </c>
      <c r="G12" s="18"/>
      <c r="H12" s="5" t="s">
        <v>27</v>
      </c>
      <c r="I12" s="18"/>
    </row>
    <row r="13" ht="17.25" spans="1:11">
      <c r="A13" s="5">
        <v>3</v>
      </c>
      <c r="B13" s="18"/>
      <c r="C13" s="5"/>
      <c r="D13" s="5" t="s">
        <v>1898</v>
      </c>
      <c r="E13" s="17" t="s">
        <v>1899</v>
      </c>
      <c r="F13" s="5" t="s">
        <v>1900</v>
      </c>
      <c r="G13" s="18" t="s">
        <v>1935</v>
      </c>
      <c r="H13" s="5" t="s">
        <v>24</v>
      </c>
      <c r="I13" s="18"/>
      <c r="J13" t="s">
        <v>1902</v>
      </c>
      <c r="K13" t="s">
        <v>22</v>
      </c>
    </row>
    <row r="14" ht="17.25" spans="1:9">
      <c r="A14" s="5">
        <v>4</v>
      </c>
      <c r="B14" s="18"/>
      <c r="C14" s="5"/>
      <c r="D14" s="5" t="s">
        <v>1936</v>
      </c>
      <c r="E14" s="17" t="s">
        <v>1936</v>
      </c>
      <c r="F14" s="5" t="s">
        <v>1858</v>
      </c>
      <c r="G14" s="18"/>
      <c r="H14" s="5" t="s">
        <v>219</v>
      </c>
      <c r="I14" s="18"/>
    </row>
    <row r="15" ht="17.25" spans="1:11">
      <c r="A15" s="5">
        <v>5</v>
      </c>
      <c r="B15" s="18"/>
      <c r="C15" s="5"/>
      <c r="D15" s="5" t="s">
        <v>1937</v>
      </c>
      <c r="E15" s="17" t="s">
        <v>1938</v>
      </c>
      <c r="F15" s="5" t="s">
        <v>267</v>
      </c>
      <c r="G15" s="18" t="s">
        <v>1939</v>
      </c>
      <c r="H15" s="5" t="s">
        <v>24</v>
      </c>
      <c r="I15" s="18"/>
      <c r="J15" t="s">
        <v>1526</v>
      </c>
      <c r="K15" t="s">
        <v>22</v>
      </c>
    </row>
    <row r="16" ht="17.25" spans="1:9">
      <c r="A16" s="5">
        <v>6</v>
      </c>
      <c r="B16" s="18"/>
      <c r="C16" s="19"/>
      <c r="D16" s="19" t="s">
        <v>1940</v>
      </c>
      <c r="E16" s="17" t="s">
        <v>1941</v>
      </c>
      <c r="F16" s="5" t="s">
        <v>1815</v>
      </c>
      <c r="G16" s="18" t="s">
        <v>1942</v>
      </c>
      <c r="H16" s="5" t="s">
        <v>1915</v>
      </c>
      <c r="I16" s="18"/>
    </row>
    <row r="17" ht="17.25" spans="1:9">
      <c r="A17" s="5">
        <v>7</v>
      </c>
      <c r="B17" s="18"/>
      <c r="C17" s="19"/>
      <c r="D17" s="19" t="s">
        <v>1943</v>
      </c>
      <c r="E17" s="17" t="s">
        <v>1944</v>
      </c>
      <c r="F17" s="5" t="s">
        <v>1945</v>
      </c>
      <c r="G17" s="18" t="s">
        <v>630</v>
      </c>
      <c r="H17" s="5" t="s">
        <v>42</v>
      </c>
      <c r="I17" s="18"/>
    </row>
    <row r="18" ht="17.25" spans="1:9">
      <c r="A18" s="5">
        <v>8</v>
      </c>
      <c r="B18" s="18"/>
      <c r="C18" s="20" t="s">
        <v>224</v>
      </c>
      <c r="D18" s="20" t="s">
        <v>1946</v>
      </c>
      <c r="E18" s="17" t="s">
        <v>1947</v>
      </c>
      <c r="F18" s="5" t="s">
        <v>41</v>
      </c>
      <c r="G18" s="18" t="s">
        <v>630</v>
      </c>
      <c r="H18" s="5" t="s">
        <v>42</v>
      </c>
      <c r="I18" s="18"/>
    </row>
  </sheetData>
  <mergeCells count="13">
    <mergeCell ref="A3:I3"/>
    <mergeCell ref="B4:D4"/>
    <mergeCell ref="F4:I4"/>
    <mergeCell ref="B5:D5"/>
    <mergeCell ref="F5:I5"/>
    <mergeCell ref="B6:D6"/>
    <mergeCell ref="F6:I6"/>
    <mergeCell ref="B7:D7"/>
    <mergeCell ref="F7:I7"/>
    <mergeCell ref="B8:D8"/>
    <mergeCell ref="F8:I8"/>
    <mergeCell ref="A9:I9"/>
    <mergeCell ref="B1:I2"/>
  </mergeCells>
  <hyperlinks>
    <hyperlink ref="A1" location="总览!A1" display="首页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69</vt:i4>
      </vt:variant>
    </vt:vector>
  </HeadingPairs>
  <TitlesOfParts>
    <vt:vector size="69" baseType="lpstr">
      <vt:lpstr>代码表</vt:lpstr>
      <vt:lpstr>学校基本信息</vt:lpstr>
      <vt:lpstr>学校发展历史</vt:lpstr>
      <vt:lpstr>学校荣誉</vt:lpstr>
      <vt:lpstr>机构信息</vt:lpstr>
      <vt:lpstr>教研室或教学部信息</vt:lpstr>
      <vt:lpstr>教研室或教学部的成员</vt:lpstr>
      <vt:lpstr>行政班级信息</vt:lpstr>
      <vt:lpstr>教学场地（校区、教学楼、楼层、教室）信息</vt:lpstr>
      <vt:lpstr>学年学期</vt:lpstr>
      <vt:lpstr>节假日信息</vt:lpstr>
      <vt:lpstr>教职工基本信息</vt:lpstr>
      <vt:lpstr>教职工照片信息</vt:lpstr>
      <vt:lpstr>家庭成员信息</vt:lpstr>
      <vt:lpstr>合同信息</vt:lpstr>
      <vt:lpstr>每年的教职工基本信息</vt:lpstr>
      <vt:lpstr>每学期的教职工基本信息</vt:lpstr>
      <vt:lpstr>每个专业历年的任职教职工</vt:lpstr>
      <vt:lpstr>每个专业各学年的任职教职工</vt:lpstr>
      <vt:lpstr>教职工的聘用状态变动记录</vt:lpstr>
      <vt:lpstr>教职工延聘返聘记录</vt:lpstr>
      <vt:lpstr>教职工校内任职记录</vt:lpstr>
      <vt:lpstr>教职工教育经历信息</vt:lpstr>
      <vt:lpstr>教职工职称评定信息</vt:lpstr>
      <vt:lpstr>辅导员或班主任的任职信息</vt:lpstr>
      <vt:lpstr>辅导员或班主任所带班级</vt:lpstr>
      <vt:lpstr>荣誉成果信息</vt:lpstr>
      <vt:lpstr>荣誉成果中的成员</vt:lpstr>
      <vt:lpstr>荣誉成果中的参与部门</vt:lpstr>
      <vt:lpstr>教学成果信息</vt:lpstr>
      <vt:lpstr>教学成果中的成员</vt:lpstr>
      <vt:lpstr>教学成果中的参与部门</vt:lpstr>
      <vt:lpstr>教职工社会荣誉信息</vt:lpstr>
      <vt:lpstr>专业基本信息</vt:lpstr>
      <vt:lpstr>每学年的专业基本信息</vt:lpstr>
      <vt:lpstr>每年的专业基本信息</vt:lpstr>
      <vt:lpstr>专业带头人信息</vt:lpstr>
      <vt:lpstr>学校专业对应的国标专业</vt:lpstr>
      <vt:lpstr>国标专业目录</vt:lpstr>
      <vt:lpstr>专业备案信息</vt:lpstr>
      <vt:lpstr>专业的课程信息</vt:lpstr>
      <vt:lpstr>专业群信息</vt:lpstr>
      <vt:lpstr>专业群包含的专业</vt:lpstr>
      <vt:lpstr>课程基本信息</vt:lpstr>
      <vt:lpstr>教学周</vt:lpstr>
      <vt:lpstr>教学周包含的每天的时间</vt:lpstr>
      <vt:lpstr>上课时间信息</vt:lpstr>
      <vt:lpstr>教学班信息</vt:lpstr>
      <vt:lpstr>教学班的上课学生</vt:lpstr>
      <vt:lpstr>教学班的授课教师</vt:lpstr>
      <vt:lpstr>课程表</vt:lpstr>
      <vt:lpstr>课程表的授课教师</vt:lpstr>
      <vt:lpstr>每天的每节课信息</vt:lpstr>
      <vt:lpstr>每天的每节课的授课教师</vt:lpstr>
      <vt:lpstr>教学班所属的专业</vt:lpstr>
      <vt:lpstr>教学班所属的行政班</vt:lpstr>
      <vt:lpstr>学生基本信息</vt:lpstr>
      <vt:lpstr>每年的学生基本信息</vt:lpstr>
      <vt:lpstr>每学期的学生基本信息</vt:lpstr>
      <vt:lpstr>学生照片信息</vt:lpstr>
      <vt:lpstr>学生学籍异动信息</vt:lpstr>
      <vt:lpstr>评教结果信息</vt:lpstr>
      <vt:lpstr>学生评教（随堂评价、期中评价、期末评价）明细</vt:lpstr>
      <vt:lpstr>同行评价、督导评价、检查评价明细</vt:lpstr>
      <vt:lpstr>学生综合测评的总成绩</vt:lpstr>
      <vt:lpstr>学生综合测评的各类型的得分</vt:lpstr>
      <vt:lpstr>学生综合测评的加减分明细</vt:lpstr>
      <vt:lpstr>学生综合测评的测评类型</vt:lpstr>
      <vt:lpstr>学生综合测评的评分规则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静夜思</dc:creator>
  <cp:lastModifiedBy>企业用户_527534609</cp:lastModifiedBy>
  <dcterms:created xsi:type="dcterms:W3CDTF">2006-09-13T11:21:00Z</dcterms:created>
  <dcterms:modified xsi:type="dcterms:W3CDTF">2024-12-25T08:06:19Z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9672F2003E974B71B2A406C7FD2D0C92_13</vt:lpwstr>
  </property>
</Properties>
</file>