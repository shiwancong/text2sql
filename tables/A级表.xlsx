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tabRatio="920" firstSheet="107" activeTab="118"/>
  </bookViews>
  <sheets>
    <sheet name="总览" sheetId="2" r:id="rId1"/>
    <sheet name="勤工助学信息" sheetId="153" r:id="rId2"/>
    <sheet name="困难补助信息" sheetId="154" r:id="rId3"/>
    <sheet name="顶岗实习" sheetId="195" r:id="rId4"/>
    <sheet name="顶岗实习-学生实习信息" sheetId="142" r:id="rId5"/>
    <sheet name="顶岗实习-实习单位" sheetId="150" r:id="rId6"/>
    <sheet name="顶岗实习-实习批次" sheetId="143" r:id="rId7"/>
    <sheet name="顶岗实习-学生考勤信息" sheetId="144" r:id="rId8"/>
    <sheet name="顶岗实习-学生考勤统计" sheetId="145" r:id="rId9"/>
    <sheet name="顶岗实习-班级考勤统计" sheetId="146" r:id="rId10"/>
    <sheet name="顶岗实习-学生请假信息" sheetId="147" r:id="rId11"/>
    <sheet name="顶岗实习-学生实习总结" sheetId="148" r:id="rId12"/>
    <sheet name="顶岗实习-学生实习汇报" sheetId="149" r:id="rId13"/>
    <sheet name="校区基本信息" sheetId="23" r:id="rId14"/>
    <sheet name="组织机构-教研室-课程" sheetId="161" r:id="rId15"/>
    <sheet name="教研团队" sheetId="139" r:id="rId16"/>
    <sheet name="教研团队-成员" sheetId="140" r:id="rId17"/>
    <sheet name="招生-招生计划" sheetId="3" r:id="rId18"/>
    <sheet name="招生录取表" sheetId="162" r:id="rId19"/>
    <sheet name="迎新报到表" sheetId="163" r:id="rId20"/>
    <sheet name="新生录取报到-统招" sheetId="4" r:id="rId21"/>
    <sheet name="新生录取报到-统招高考成绩" sheetId="5" r:id="rId22"/>
    <sheet name="新生录取报到-统招批次分数线" sheetId="6" r:id="rId23"/>
    <sheet name="新生录取报到-统招一分一段表" sheetId="7" r:id="rId24"/>
    <sheet name="新生录取报到-非统招" sheetId="8" r:id="rId25"/>
    <sheet name="就业信息表" sheetId="9" r:id="rId26"/>
    <sheet name="一卡通卡信息" sheetId="10" r:id="rId27"/>
    <sheet name="（AI不要）一卡通持卡人身份" sheetId="11" r:id="rId28"/>
    <sheet name="一卡通商户信息" sheetId="12" r:id="rId29"/>
    <sheet name="（AI不要）一卡通刷卡端口信息" sheetId="13" r:id="rId30"/>
    <sheet name="（AI不要）一卡通消费类型信息" sheetId="14" r:id="rId31"/>
    <sheet name="一卡通消费信息" sheetId="15" r:id="rId32"/>
    <sheet name="一卡通充值信息" sheetId="16" r:id="rId33"/>
    <sheet name="宿管门禁记录" sheetId="18" r:id="rId34"/>
    <sheet name="宿管门禁卡" sheetId="17" r:id="rId35"/>
    <sheet name="校园门禁卡信息" sheetId="179" r:id="rId36"/>
    <sheet name="校园门禁点信息" sheetId="180" r:id="rId37"/>
    <sheet name="校园门禁设备信息" sheetId="181" r:id="rId38"/>
    <sheet name="校园门禁读卡器信息" sheetId="182" r:id="rId39"/>
    <sheet name="校园门禁记录" sheetId="183" r:id="rId40"/>
    <sheet name="支付宝卡信息" sheetId="194" r:id="rId41"/>
    <sheet name="图书馆门禁记录" sheetId="178" r:id="rId42"/>
    <sheet name="图书-图书基本信息" sheetId="19" r:id="rId43"/>
    <sheet name="图书-图书借阅基本信息" sheetId="22" r:id="rId44"/>
    <sheet name="宿舍楼基本信息" sheetId="30" r:id="rId45"/>
    <sheet name="宿舍楼-管理员" sheetId="141" r:id="rId46"/>
    <sheet name="宿舍楼层信息" sheetId="173" r:id="rId47"/>
    <sheet name="宿舍基本信息" sheetId="31" r:id="rId48"/>
    <sheet name="宿舍床位基本信息" sheetId="174" r:id="rId49"/>
    <sheet name="教师技能证书表" sheetId="36" r:id="rId50"/>
    <sheet name="教师参赛获奖信息" sheetId="35" r:id="rId51"/>
    <sheet name="教师参赛成员" sheetId="133" r:id="rId52"/>
    <sheet name="行政获奖信息表" sheetId="34" r:id="rId53"/>
    <sheet name="培训进修记录" sheetId="33" r:id="rId54"/>
    <sheet name="社会实践记录表" sheetId="32" r:id="rId55"/>
    <sheet name="挂职锻炼表" sheetId="132" r:id="rId56"/>
    <sheet name="工作经历表" sheetId="156" r:id="rId57"/>
    <sheet name="名师信息表" sheetId="137" r:id="rId58"/>
    <sheet name="名师团队表" sheetId="170" r:id="rId59"/>
    <sheet name="名师团队成员表" sheetId="171" r:id="rId60"/>
    <sheet name="出版教材表" sheetId="134" r:id="rId61"/>
    <sheet name="出版教材参编人员" sheetId="135" r:id="rId62"/>
    <sheet name="出版教材支撑课程" sheetId="136" r:id="rId63"/>
    <sheet name="教师国境外访学" sheetId="167" r:id="rId64"/>
    <sheet name="论文信息" sheetId="40" r:id="rId65"/>
    <sheet name="论文作者信息" sheetId="37" r:id="rId66"/>
    <sheet name="论文转载信息" sheetId="38" r:id="rId67"/>
    <sheet name="论文收录信息" sheetId="39" r:id="rId68"/>
    <sheet name="纵向项目" sheetId="42" r:id="rId69"/>
    <sheet name="横向项目" sheetId="41" r:id="rId70"/>
    <sheet name="项目人员信息" sheetId="47" r:id="rId71"/>
    <sheet name="著作" sheetId="44" r:id="rId72"/>
    <sheet name="著作人员" sheetId="43" r:id="rId73"/>
    <sheet name="专利" sheetId="46" r:id="rId74"/>
    <sheet name="专利人员信息" sheetId="45" r:id="rId75"/>
    <sheet name="获奖成果信息" sheetId="51" r:id="rId76"/>
    <sheet name="获奖成果人员" sheetId="50" r:id="rId77"/>
    <sheet name="鉴定成果信息" sheetId="49" r:id="rId78"/>
    <sheet name="鉴定成果成员" sheetId="48" r:id="rId79"/>
    <sheet name="鉴定成果形式" sheetId="52" r:id="rId80"/>
    <sheet name="文艺作品" sheetId="185" r:id="rId81"/>
    <sheet name="文艺作品成员" sheetId="186" r:id="rId82"/>
    <sheet name="技术服务到款" sheetId="168" r:id="rId83"/>
    <sheet name="专利转化到款" sheetId="169" r:id="rId84"/>
    <sheet name="部门科研得分" sheetId="131" r:id="rId85"/>
    <sheet name="学术讲座" sheetId="188" r:id="rId86"/>
    <sheet name="研究机构" sheetId="189" r:id="rId87"/>
    <sheet name="研究机构-成员" sheetId="190" r:id="rId88"/>
    <sheet name="科研-横向-中期检查" sheetId="191" r:id="rId89"/>
    <sheet name="著作权" sheetId="192" r:id="rId90"/>
    <sheet name="著作权-成员" sheetId="193" r:id="rId91"/>
    <sheet name="学生基本扩展信息" sheetId="53" r:id="rId92"/>
    <sheet name="学生评优信息" sheetId="56" r:id="rId93"/>
    <sheet name="学生贷款信息" sheetId="57" r:id="rId94"/>
    <sheet name="学生奖学金" sheetId="59" r:id="rId95"/>
    <sheet name="学生助学金" sheetId="58" r:id="rId96"/>
    <sheet name="困难生信息" sheetId="151" r:id="rId97"/>
    <sheet name="违纪处分" sheetId="60" r:id="rId98"/>
    <sheet name="学生资格证书信息" sheetId="61" r:id="rId99"/>
    <sheet name="扩展信息-证书颁发机构" sheetId="66" r:id="rId100"/>
    <sheet name="扩展信息 - 职业技能鉴定记录" sheetId="65" r:id="rId101"/>
    <sheet name="学生参赛信息" sheetId="63" r:id="rId102"/>
    <sheet name="学生比赛-参赛学生" sheetId="62" r:id="rId103"/>
    <sheet name="学生比赛-指导教师" sheetId="138" r:id="rId104"/>
    <sheet name="体能测试" sheetId="64" r:id="rId105"/>
    <sheet name="学生心理健康信息" sheetId="152" r:id="rId106"/>
    <sheet name="学生历次心理健康测试信息" sheetId="155" r:id="rId107"/>
    <sheet name="学生床位变动信息" sheetId="68" r:id="rId108"/>
    <sheet name="床位基本信息" sheetId="69" r:id="rId109"/>
    <sheet name="校企合作-合作企业" sheetId="157" r:id="rId110"/>
    <sheet name="企业订单培养" sheetId="159" r:id="rId111"/>
    <sheet name="企业订单培养-学生" sheetId="164" r:id="rId112"/>
    <sheet name="学徒制培养" sheetId="165" r:id="rId113"/>
    <sheet name="学徒制培养-学生" sheetId="166" r:id="rId114"/>
    <sheet name="企业接受毕业生" sheetId="160" r:id="rId115"/>
    <sheet name="选课课程信息" sheetId="177" r:id="rId116"/>
    <sheet name="学生选课信息" sheetId="175" r:id="rId117"/>
    <sheet name="学生选课学分统计" sheetId="176" r:id="rId118"/>
    <sheet name="综合成绩表" sheetId="54" r:id="rId119"/>
    <sheet name="历次考试成绩表" sheetId="55" r:id="rId120"/>
    <sheet name="课堂教学-点名" sheetId="73" r:id="rId121"/>
    <sheet name="调停课信息" sheetId="72" r:id="rId122"/>
    <sheet name="课堂教学-点名-学生签到" sheetId="74" r:id="rId123"/>
    <sheet name="!课堂教学-消息" sheetId="75" r:id="rId124"/>
    <sheet name="！课堂教学-消息-学生阅读情况" sheetId="76" r:id="rId125"/>
    <sheet name="课堂教学-知识树" sheetId="77" r:id="rId126"/>
    <sheet name="课堂教学-题库-材料" sheetId="78" r:id="rId127"/>
    <sheet name="课堂教学-题库-题干" sheetId="79" r:id="rId128"/>
    <sheet name="课堂教学-题库-选项" sheetId="80" r:id="rId129"/>
    <sheet name="课堂教学-资源" sheetId="81" r:id="rId130"/>
    <sheet name="课堂教学-资源-学生浏览情况" sheetId="82" r:id="rId131"/>
    <sheet name="课堂教学-活动总表" sheetId="83" r:id="rId132"/>
    <sheet name="课堂教学-活动学生参与情况总表" sheetId="84" r:id="rId133"/>
    <sheet name="课堂教学-活动-即时问答-选项" sheetId="85" r:id="rId134"/>
    <sheet name="课堂教学-活动-头脑风暴-评论" sheetId="86" r:id="rId135"/>
    <sheet name="课堂教学-活动-头脑风暴-评论回复" sheetId="87" r:id="rId136"/>
    <sheet name="课堂教学-活动-头脑风暴-标签" sheetId="88" r:id="rId137"/>
    <sheet name="课堂教学-活动-随堂测验" sheetId="89" r:id="rId138"/>
    <sheet name="课堂教学-活动-随堂测验-试题" sheetId="90" r:id="rId139"/>
    <sheet name="课堂教学-活动-随堂测验-学生答题" sheetId="91" r:id="rId140"/>
    <sheet name="课堂教学-活动-随堂测验-学生答题明细" sheetId="92" r:id="rId141"/>
    <sheet name="课堂教学-活动-投票问卷-问卷题干" sheetId="93" r:id="rId142"/>
    <sheet name="课堂教学-活动-投票问卷-问卷选项" sheetId="94" r:id="rId143"/>
    <sheet name="课堂教学-活动-投票问卷-学生投票" sheetId="95" r:id="rId144"/>
    <sheet name="课堂教学-活动-答疑讨论-评论" sheetId="96" r:id="rId145"/>
    <sheet name="课堂教学-活动-答疑讨论-评论回复" sheetId="97" r:id="rId146"/>
    <sheet name="课堂教学-活动-答疑讨论-评论收藏" sheetId="98" r:id="rId147"/>
    <sheet name="课堂教学-活动-作业任务" sheetId="99" r:id="rId148"/>
    <sheet name="课堂教学-活动-作业任务-评分点" sheetId="100" r:id="rId149"/>
    <sheet name="课堂教学-活动-作业任务-小组" sheetId="101" r:id="rId150"/>
    <sheet name="课堂教学-活动-作业任务-小组人员" sheetId="102" r:id="rId151"/>
    <sheet name="课堂教学-活动-作业任务-学生作业" sheetId="103" r:id="rId152"/>
    <sheet name="课堂教学-活动-作业任务-学生作业附件" sheetId="104" r:id="rId153"/>
    <sheet name="课堂教学-活动-作业任务-学生作业提交日志" sheetId="105" r:id="rId154"/>
    <sheet name="课堂教学-活动-作业任务-学生作业评分" sheetId="106" r:id="rId155"/>
    <sheet name="课堂教学-活动-作业任务-学生作业评分明细" sheetId="107" r:id="rId156"/>
    <sheet name="课堂教学-活动-作业任务-学生作业评价" sheetId="108" r:id="rId157"/>
    <sheet name="课堂教学-活动-作业任务-学生作业评价点赞" sheetId="109" r:id="rId158"/>
    <sheet name="课堂教学-活动-小组评价" sheetId="110" r:id="rId159"/>
    <sheet name="课堂教学-活动-小组评价-小组人员" sheetId="111" r:id="rId160"/>
    <sheet name="!课堂教学-活动-电子白板" sheetId="112" r:id="rId161"/>
    <sheet name="课堂教学-活动-评分" sheetId="113" r:id="rId162"/>
    <sheet name="GXZC01 学校用地" sheetId="114" r:id="rId163"/>
    <sheet name="GXZC0201 建筑物基本数据" sheetId="115" r:id="rId164"/>
    <sheet name="GXZC0202 建筑物房间" sheetId="116" r:id="rId165"/>
    <sheet name="GXZC0203 建筑物修缮子类" sheetId="117" r:id="rId166"/>
    <sheet name="JCBX0203 学校设施" sheetId="118" r:id="rId167"/>
    <sheet name="GXZC0401 实验室基本数据" sheetId="119" r:id="rId168"/>
    <sheet name="GXZC0402 实验室运行" sheetId="120" r:id="rId169"/>
    <sheet name="GXZC0403 实验室人员" sheetId="121" r:id="rId170"/>
    <sheet name="GXZC0404 实验室评估" sheetId="122" r:id="rId171"/>
    <sheet name="GXZC0405 实验项目" sheetId="123" r:id="rId172"/>
    <sheet name="GXZC0501 (JCBX0301) 仪器设备基本数据" sheetId="124" r:id="rId173"/>
    <sheet name="GXZC0502（JCBX0302 ） 仪器设备附件" sheetId="125" r:id="rId174"/>
    <sheet name="GXZC0503(JCBX0303 ) 仪器设备管理" sheetId="126" r:id="rId175"/>
    <sheet name="GXZC0504 精密贵重仪器设备" sheetId="127" r:id="rId176"/>
    <sheet name="GXZC0505 仪器设备维修" sheetId="128" r:id="rId177"/>
    <sheet name="GXZC0506 仪器设备报损、报废" sheetId="129" r:id="rId178"/>
    <sheet name="仪器设备捐赠" sheetId="158" r:id="rId179"/>
    <sheet name="GXZC0507(JCBX0305) 软件资源" sheetId="130" r:id="rId180"/>
    <sheet name="固定资产基础表" sheetId="184" r:id="rId181"/>
  </sheets>
  <definedNames>
    <definedName name="_xlnm._FilterDatabase" localSheetId="0" hidden="1">总览!$A$9:$Q$180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<sst xmlns="http://schemas.openxmlformats.org/spreadsheetml/2006/main" count="15747" uniqueCount="3498">
  <si>
    <t>指导思路</t>
  </si>
  <si>
    <r>
      <rPr>
        <b/>
        <sz val="12"/>
        <color theme="1"/>
        <rFont val="宋体"/>
        <charset val="134"/>
        <scheme val="minor"/>
      </rPr>
      <t>标准（</t>
    </r>
    <r>
      <rPr>
        <b/>
        <sz val="12"/>
        <color rgb="FF00B050"/>
        <rFont val="宋体"/>
        <charset val="134"/>
        <scheme val="minor"/>
      </rPr>
      <t>表S/A……；</t>
    </r>
    <r>
      <rPr>
        <b/>
        <sz val="12"/>
        <color theme="1"/>
        <rFont val="宋体"/>
        <charset val="134"/>
        <scheme val="minor"/>
      </rPr>
      <t>字段是否必填；表索引）；实施手册（目标、要求、关键字段、工期、来源）；监控（进度、质量）；考核</t>
    </r>
  </si>
  <si>
    <t>数据采集分2块：内部（保证当前上线系统的运行）、厂商对接（集成时倾向于全部表字段）</t>
  </si>
  <si>
    <t>采集顺序（重要性）、表、字段（说明）、编码、规则</t>
  </si>
  <si>
    <t>梳理数据集（薛为准）</t>
  </si>
  <si>
    <t>指导方案</t>
  </si>
  <si>
    <t>历史数据方案：新建变动数据表（存储最原始数据，数据消亡问题），周期备份数据（年、学年、学期）</t>
  </si>
  <si>
    <t>S</t>
  </si>
  <si>
    <t>必须100%完成</t>
  </si>
  <si>
    <t>监控：1：采集进度（数量、必填项、填充率、支持下钻、不同级别、变化趋势、多个系统、自动化程度）；2：数据质量（分数、支持下钻、不同级别、变化趋势、多个系统）；</t>
  </si>
  <si>
    <t>A</t>
  </si>
  <si>
    <t>有条件完成80%</t>
  </si>
  <si>
    <t>考核：工期</t>
  </si>
  <si>
    <t>B</t>
  </si>
  <si>
    <t>锦上添花</t>
  </si>
  <si>
    <t>系统内数据集成方式：1，DBLINK；2，各系统自行获取，高质量库提供服务（按表、分页提供增量、全量的接口，源头数据ID策略要一致，服务授权认证）</t>
  </si>
  <si>
    <t>数据集</t>
  </si>
  <si>
    <t>数据表</t>
  </si>
  <si>
    <t>责任部门</t>
  </si>
  <si>
    <t>风速责任人</t>
  </si>
  <si>
    <t>智慧课堂</t>
  </si>
  <si>
    <t>专题分析</t>
  </si>
  <si>
    <t>内部质量</t>
  </si>
  <si>
    <t>发展中心</t>
  </si>
  <si>
    <t>画像</t>
  </si>
  <si>
    <t>评教</t>
  </si>
  <si>
    <t>补采</t>
  </si>
  <si>
    <t>人才培养方案</t>
  </si>
  <si>
    <r>
      <rPr>
        <sz val="12"/>
        <color theme="1"/>
        <rFont val="宋体"/>
        <charset val="134"/>
        <scheme val="minor"/>
      </rPr>
      <t xml:space="preserve">总级别
</t>
    </r>
    <r>
      <rPr>
        <sz val="8"/>
        <color theme="1"/>
        <rFont val="宋体"/>
        <charset val="134"/>
        <scheme val="minor"/>
      </rPr>
      <t>(S/A/B/C)</t>
    </r>
  </si>
  <si>
    <t>采集顺序</t>
  </si>
  <si>
    <r>
      <rPr>
        <sz val="12"/>
        <color theme="1"/>
        <rFont val="宋体"/>
        <charset val="134"/>
        <scheme val="minor"/>
      </rPr>
      <t xml:space="preserve">标准工期
</t>
    </r>
    <r>
      <rPr>
        <sz val="9"/>
        <color theme="1"/>
        <rFont val="宋体"/>
        <charset val="134"/>
        <scheme val="minor"/>
      </rPr>
      <t>（天）</t>
    </r>
  </si>
  <si>
    <t>历史数据</t>
  </si>
  <si>
    <t>表缺失</t>
  </si>
  <si>
    <t>C</t>
  </si>
  <si>
    <t>有最好</t>
  </si>
  <si>
    <t>基础</t>
  </si>
  <si>
    <t>校区基本信息</t>
  </si>
  <si>
    <t>薛冰林</t>
  </si>
  <si>
    <t>组织机构-教研室-课程</t>
  </si>
  <si>
    <t>组织机构-教研团队</t>
  </si>
  <si>
    <t>组织机构-教研团队-成员</t>
  </si>
  <si>
    <t>宿舍楼基本信息</t>
  </si>
  <si>
    <t>宿舍楼-管理员</t>
  </si>
  <si>
    <t>宿舍基本信息</t>
  </si>
  <si>
    <t>专业相关</t>
  </si>
  <si>
    <t>专业群基本信息</t>
  </si>
  <si>
    <t>张玉川</t>
  </si>
  <si>
    <t>专业群与专业关联信息</t>
  </si>
  <si>
    <t>教师相关</t>
  </si>
  <si>
    <t>教师技能证书表</t>
  </si>
  <si>
    <t>教师参赛获奖信息</t>
  </si>
  <si>
    <t>教师参赛成员</t>
  </si>
  <si>
    <t>行政获奖信息表</t>
  </si>
  <si>
    <t>培训进修记录</t>
  </si>
  <si>
    <t>社会实践记录表</t>
  </si>
  <si>
    <t>工作经历表</t>
  </si>
  <si>
    <t>挂职锻炼表</t>
  </si>
  <si>
    <t>名师信息表</t>
  </si>
  <si>
    <t>名师团队表</t>
  </si>
  <si>
    <t>名师团队成员表</t>
  </si>
  <si>
    <t>出版教材表</t>
  </si>
  <si>
    <t>出版教材参编人员</t>
  </si>
  <si>
    <t>出版教材支撑课程</t>
  </si>
  <si>
    <t>教师访学</t>
  </si>
  <si>
    <t>学生相关</t>
  </si>
  <si>
    <t>学生奖学金</t>
  </si>
  <si>
    <t>学生助学金</t>
  </si>
  <si>
    <t>学生贷款信息</t>
  </si>
  <si>
    <t>困难生信息</t>
  </si>
  <si>
    <t>学生困难补助</t>
  </si>
  <si>
    <t>勤工助学信息</t>
  </si>
  <si>
    <t>学生违纪处分</t>
  </si>
  <si>
    <t>学生评优信息</t>
  </si>
  <si>
    <t>学生资格证书/职业技能证书</t>
  </si>
  <si>
    <t>证书颁发机构</t>
  </si>
  <si>
    <t>职业技能鉴定记录</t>
  </si>
  <si>
    <t>学生参赛获奖信息</t>
  </si>
  <si>
    <t>学生参赛获奖-学生名单</t>
  </si>
  <si>
    <t>学生参赛获奖-指导教师</t>
  </si>
  <si>
    <t>学生体测信息</t>
  </si>
  <si>
    <t>学生心理健康信息</t>
  </si>
  <si>
    <t>学生历次心理健康测试信息</t>
  </si>
  <si>
    <t>床位基本信息</t>
  </si>
  <si>
    <t>学生床位变动信息</t>
  </si>
  <si>
    <t>顶岗实习-学生实习信息</t>
  </si>
  <si>
    <t>顶岗实习-学生实习批次</t>
  </si>
  <si>
    <t>顶岗实习-学生考勤信息</t>
  </si>
  <si>
    <t>顶岗实习-学生考勤统计</t>
  </si>
  <si>
    <t>顶岗实习-班级考勤统计</t>
  </si>
  <si>
    <t>顶岗实习-学生请假信息</t>
  </si>
  <si>
    <t>顶岗实习-学生实习总结</t>
  </si>
  <si>
    <t>顶岗实习-学生实习汇报</t>
  </si>
  <si>
    <t>顶岗实习-实习单位</t>
  </si>
  <si>
    <t>科研</t>
  </si>
  <si>
    <t>论文信息</t>
  </si>
  <si>
    <t>论文收录信息</t>
  </si>
  <si>
    <t>论文转载信息</t>
  </si>
  <si>
    <t>论文作者信息</t>
  </si>
  <si>
    <t>纵向项目</t>
  </si>
  <si>
    <t>横向项目</t>
  </si>
  <si>
    <t>项目人员信息</t>
  </si>
  <si>
    <t>专利</t>
  </si>
  <si>
    <t>专利人员</t>
  </si>
  <si>
    <t>著作</t>
  </si>
  <si>
    <t>著作人员</t>
  </si>
  <si>
    <t>获奖成果信息</t>
  </si>
  <si>
    <t>获奖成果人员</t>
  </si>
  <si>
    <t>鉴定成果信息</t>
  </si>
  <si>
    <t>鉴定成果成员</t>
  </si>
  <si>
    <t>鉴定成果形式</t>
  </si>
  <si>
    <t>文艺作品</t>
  </si>
  <si>
    <t>文艺作品成员</t>
  </si>
  <si>
    <t>技术服务到款</t>
  </si>
  <si>
    <t>专利转化到款</t>
  </si>
  <si>
    <t>部门科研得分</t>
  </si>
  <si>
    <t>招生、就业</t>
  </si>
  <si>
    <t>招生计划（统招、单招）</t>
  </si>
  <si>
    <t>张朋沙</t>
  </si>
  <si>
    <t>招生录取</t>
  </si>
  <si>
    <t>迎新报到</t>
  </si>
  <si>
    <t>新生录取报到-统招（v1.3.3废弃）</t>
  </si>
  <si>
    <t>新生录取报到-统招高考成绩</t>
  </si>
  <si>
    <t>新生录取报到-统招批次分数线</t>
  </si>
  <si>
    <t>新生录取报到-统招一分一段表</t>
  </si>
  <si>
    <t>新生录取报到-非统招（v1.3.3废弃）</t>
  </si>
  <si>
    <t>就业信息表</t>
  </si>
  <si>
    <t>图书</t>
  </si>
  <si>
    <t>图书基本信息</t>
  </si>
  <si>
    <t>图书借阅基本信息</t>
  </si>
  <si>
    <t>图书馆门禁</t>
  </si>
  <si>
    <t>一卡通</t>
  </si>
  <si>
    <t>卡信息</t>
  </si>
  <si>
    <t>持卡人身份</t>
  </si>
  <si>
    <t>商户信息</t>
  </si>
  <si>
    <t>刷卡终端(端口)信息</t>
  </si>
  <si>
    <t>消费类型信息</t>
  </si>
  <si>
    <t>消费信息</t>
  </si>
  <si>
    <t>充值信息</t>
  </si>
  <si>
    <t>宿舍门禁卡信息</t>
  </si>
  <si>
    <t>宿管门禁记录</t>
  </si>
  <si>
    <t>校园门禁卡信息</t>
  </si>
  <si>
    <t>校园门禁点信息</t>
  </si>
  <si>
    <t>校园门禁设备信息</t>
  </si>
  <si>
    <t>校园门禁读卡器信息</t>
  </si>
  <si>
    <t>校园门禁记录</t>
  </si>
  <si>
    <t>资产</t>
  </si>
  <si>
    <t>学校用地</t>
  </si>
  <si>
    <t>袁红燕</t>
  </si>
  <si>
    <t>建筑物基本数据</t>
  </si>
  <si>
    <t>建筑物房间</t>
  </si>
  <si>
    <t>建筑物修缮</t>
  </si>
  <si>
    <t>实验室基本数据</t>
  </si>
  <si>
    <t>学校设施</t>
  </si>
  <si>
    <t>实验室运行</t>
  </si>
  <si>
    <t>实验室人员</t>
  </si>
  <si>
    <t>实验室评估</t>
  </si>
  <si>
    <t>实验项目</t>
  </si>
  <si>
    <t>仪器设备基本数据</t>
  </si>
  <si>
    <t>仪器设备附件</t>
  </si>
  <si>
    <t>仪器设备管理</t>
  </si>
  <si>
    <t>精密贵重仪器设备</t>
  </si>
  <si>
    <t>仪器设备维修</t>
  </si>
  <si>
    <t>仪器设备报损、报废</t>
  </si>
  <si>
    <t>仪器设备捐赠</t>
  </si>
  <si>
    <t>软件资源</t>
  </si>
  <si>
    <t>固定资产基础表</t>
  </si>
  <si>
    <t>校企合作相关</t>
  </si>
  <si>
    <t>校企合作-合作企业</t>
  </si>
  <si>
    <t>企业订单培养</t>
  </si>
  <si>
    <t>企业订单培养-学生</t>
  </si>
  <si>
    <t>学徒制培养</t>
  </si>
  <si>
    <t>学徒制培养-学生</t>
  </si>
  <si>
    <t>企业接收毕业生</t>
  </si>
  <si>
    <t>教务运行</t>
  </si>
  <si>
    <t>学生选课信息</t>
  </si>
  <si>
    <t>学生选课学分统计</t>
  </si>
  <si>
    <t>综合成绩表</t>
  </si>
  <si>
    <t>历次考试成绩表</t>
  </si>
  <si>
    <t>国标课程代码（数据联盟）</t>
  </si>
  <si>
    <t>调停课信息（涉及多数据来源）</t>
  </si>
  <si>
    <t>教学运行</t>
  </si>
  <si>
    <t>课堂教学-点名</t>
  </si>
  <si>
    <t>高常恩</t>
  </si>
  <si>
    <t>课堂教学-点名-学生签到</t>
  </si>
  <si>
    <t>课堂教学-消息</t>
  </si>
  <si>
    <t>课堂教学-消息-学生阅读情况</t>
  </si>
  <si>
    <t>课堂教学-知识树</t>
  </si>
  <si>
    <t>课堂教学-题库-题干</t>
  </si>
  <si>
    <t>课堂教学-题库-选项</t>
  </si>
  <si>
    <t>课堂教学-题库-试题组</t>
  </si>
  <si>
    <t>课堂教学-资源</t>
  </si>
  <si>
    <t>课堂教学-资源-学生浏览情况</t>
  </si>
  <si>
    <t>课堂教学-活动总表</t>
  </si>
  <si>
    <t>课堂教学-活动学生参与情况总表</t>
  </si>
  <si>
    <t>课堂教学-活动-即时问答-选项</t>
  </si>
  <si>
    <t>课堂教学-活动-头脑风暴-评论</t>
  </si>
  <si>
    <t>课堂教学-活动-头脑风暴-评论回复</t>
  </si>
  <si>
    <t>课堂教学-活动-头脑风暴-标签</t>
  </si>
  <si>
    <t>课堂教学-活动-随堂测验</t>
  </si>
  <si>
    <t>课堂教学-活动-随堂测验-试题</t>
  </si>
  <si>
    <t>课堂教学-活动-随堂测验-学生答题</t>
  </si>
  <si>
    <t>课堂教学-活动-随堂测验-学生答题明细</t>
  </si>
  <si>
    <t>课堂教学-活动-投票问卷-问卷题干</t>
  </si>
  <si>
    <t>课堂教学-活动-投票问卷-问卷选项</t>
  </si>
  <si>
    <t>课堂教学-活动-投票问卷-学生投票</t>
  </si>
  <si>
    <t>课堂教学-活动-答疑讨论-评论</t>
  </si>
  <si>
    <t>课堂教学-活动-答疑讨论-评论回复</t>
  </si>
  <si>
    <t>课堂教学-活动-答疑讨论-评论收藏</t>
  </si>
  <si>
    <t>课堂教学-活动-作业任务</t>
  </si>
  <si>
    <t>课堂教学-活动-作业任务-评分点</t>
  </si>
  <si>
    <t>课堂教学-活动-作业任务-小组</t>
  </si>
  <si>
    <t>课堂教学-活动-作业任务-小组人员</t>
  </si>
  <si>
    <t>课堂教学-活动-作业任务-学生作业</t>
  </si>
  <si>
    <t>课堂教学-活动-作业任务-学生作业附件</t>
  </si>
  <si>
    <t>课堂教学-活动-作业任务-学生作业提交日志</t>
  </si>
  <si>
    <t>课堂教学-活动-作业任务-学生作业评分</t>
  </si>
  <si>
    <t>课堂教学-活动-作业任务-学生作业评分明细</t>
  </si>
  <si>
    <t>课堂教学-活动-作业任务-学生作业评价</t>
  </si>
  <si>
    <t>课堂教学-活动-作业任务-学生作业评价点赞</t>
  </si>
  <si>
    <t>课堂教学-活动-小组评价</t>
  </si>
  <si>
    <t>课堂教学-活动-小组评价-小组人员</t>
  </si>
  <si>
    <t>课堂教学-活动-电子白板</t>
  </si>
  <si>
    <t>课堂教学-活动-评分</t>
  </si>
  <si>
    <t>首页</t>
  </si>
  <si>
    <t>学生-奖助贷-勤工助学信息</t>
  </si>
  <si>
    <t>数据表基本信息</t>
  </si>
  <si>
    <t>表名</t>
  </si>
  <si>
    <t>HQ_XS_JZD_QGZX</t>
  </si>
  <si>
    <t>描述</t>
  </si>
  <si>
    <t>注意事项</t>
  </si>
  <si>
    <t>这些信息学校都会有</t>
  </si>
  <si>
    <t>数据责任部门</t>
  </si>
  <si>
    <t>各院系</t>
  </si>
  <si>
    <t>标准工期（天）</t>
  </si>
  <si>
    <t>字段信息</t>
  </si>
  <si>
    <t>必填</t>
  </si>
  <si>
    <t>字段中文名</t>
  </si>
  <si>
    <t>关键字</t>
  </si>
  <si>
    <t>字段</t>
  </si>
  <si>
    <t>数据采集要求</t>
  </si>
  <si>
    <t>字段类型</t>
  </si>
  <si>
    <t>编码表</t>
  </si>
  <si>
    <t>*</t>
  </si>
  <si>
    <t>ID</t>
  </si>
  <si>
    <t>主键，无特殊含义，唯一标识，不可重复；</t>
  </si>
  <si>
    <t>VARCHAR2(128)</t>
  </si>
  <si>
    <t>学号</t>
  </si>
  <si>
    <t>STU_NO</t>
  </si>
  <si>
    <t>VARCHAR2(60)</t>
  </si>
  <si>
    <t>HQ_XS_STU</t>
  </si>
  <si>
    <r>
      <rPr>
        <sz val="12"/>
        <color theme="1"/>
        <rFont val="微软雅黑"/>
        <charset val="134"/>
      </rPr>
      <t>班级</t>
    </r>
    <r>
      <rPr>
        <sz val="11"/>
        <color theme="1"/>
        <rFont val="宋体"/>
        <charset val="134"/>
        <scheme val="minor"/>
      </rPr>
      <t>ID</t>
    </r>
  </si>
  <si>
    <t>学生所在班级</t>
  </si>
  <si>
    <t>CLASS_ID</t>
  </si>
  <si>
    <t>HQ_CODE_CLASSES</t>
  </si>
  <si>
    <t>用人部门ID</t>
  </si>
  <si>
    <t>助学部门</t>
  </si>
  <si>
    <t>DEPT_ID</t>
  </si>
  <si>
    <t>组织机构部门ID</t>
  </si>
  <si>
    <t>HQ_CODE_DEPT</t>
  </si>
  <si>
    <t>勤工类别代码</t>
  </si>
  <si>
    <t>勤工助学类别</t>
  </si>
  <si>
    <t>QGLB_CODE</t>
  </si>
  <si>
    <t>JY/T 1001 QGLB 勤工类别代码
1：辅助教学；2：辅助科研；3：辅助管理；4：卫生清洁；5：校园保安；6：校园修缮；7：家教；9：其他</t>
  </si>
  <si>
    <t>VARCHAR2(20)</t>
  </si>
  <si>
    <t>HQ_CODE</t>
  </si>
  <si>
    <t>CODE_</t>
  </si>
  <si>
    <t>勤工助学岗位</t>
  </si>
  <si>
    <t>GW</t>
  </si>
  <si>
    <t>勤工助学性质</t>
  </si>
  <si>
    <t>QGXZ_CODE</t>
  </si>
  <si>
    <t>1：固定；2：临时</t>
  </si>
  <si>
    <t>月平均工作小时</t>
  </si>
  <si>
    <t>MONTH_HOURS</t>
  </si>
  <si>
    <t>NUMBER(10,2)</t>
  </si>
  <si>
    <t>总工作小时</t>
  </si>
  <si>
    <t>TOTAL_HOURS</t>
  </si>
  <si>
    <t>月发放金额</t>
  </si>
  <si>
    <t>MONTH_MONEY</t>
  </si>
  <si>
    <t>总发放金额</t>
  </si>
  <si>
    <t>TOTAL_MONEY</t>
  </si>
  <si>
    <t>月发放日期</t>
  </si>
  <si>
    <t>MONTH_DATE</t>
  </si>
  <si>
    <t>VARCHAR2(10)</t>
  </si>
  <si>
    <t>资金来源</t>
  </si>
  <si>
    <t>ZJLY</t>
  </si>
  <si>
    <t>开始日期</t>
  </si>
  <si>
    <t>BEGIN_DATE</t>
  </si>
  <si>
    <t>结束时间</t>
  </si>
  <si>
    <t>END_DATE</t>
  </si>
  <si>
    <t>学生-奖助贷-困难补助信息</t>
  </si>
  <si>
    <t>HQ_XS_JZD_KNBZ</t>
  </si>
  <si>
    <r>
      <rPr>
        <sz val="12"/>
        <color theme="1"/>
        <rFont val="微软雅黑"/>
        <charset val="134"/>
      </rPr>
      <t>VARCHAR2(60</t>
    </r>
    <r>
      <rPr>
        <sz val="10"/>
        <rFont val="宋体"/>
        <charset val="134"/>
      </rPr>
      <t>）</t>
    </r>
  </si>
  <si>
    <t>困难补助原因</t>
  </si>
  <si>
    <t>KNBZ_REASON_CODE</t>
  </si>
  <si>
    <t>1：家庭贫困（校标）</t>
  </si>
  <si>
    <t>补助金额</t>
  </si>
  <si>
    <t>MONEY</t>
  </si>
  <si>
    <t>补助日期</t>
  </si>
  <si>
    <t>补助发放日期</t>
  </si>
  <si>
    <t>DATE_</t>
  </si>
  <si>
    <t>资助单位/个人</t>
  </si>
  <si>
    <t>资助单位或个人</t>
  </si>
  <si>
    <t>ZZDWGR</t>
  </si>
  <si>
    <t>VARCHAR2(100)</t>
  </si>
  <si>
    <t>学生顶岗实习数据</t>
  </si>
  <si>
    <t>HQ_XS_DGSX</t>
  </si>
  <si>
    <t>VARCHAR2(512)</t>
  </si>
  <si>
    <t>实习单位</t>
  </si>
  <si>
    <t>DGSX_DW_NAME</t>
  </si>
  <si>
    <t>实习岗位</t>
  </si>
  <si>
    <t>DGSX_GW_NAME</t>
  </si>
  <si>
    <t>实习开始时间</t>
  </si>
  <si>
    <t>实习结束时间</t>
  </si>
  <si>
    <t>是否对口</t>
  </si>
  <si>
    <t>IS_DK</t>
  </si>
  <si>
    <t>number(1)</t>
  </si>
  <si>
    <t>是否被录用</t>
  </si>
  <si>
    <t>IS_ACCEPTED</t>
  </si>
  <si>
    <t>参加保险全称</t>
  </si>
  <si>
    <t>INSURANCE_NAME</t>
  </si>
  <si>
    <t>VARCHAR2(200)</t>
  </si>
  <si>
    <t>HQ_XS_DGSX_SXXX</t>
  </si>
  <si>
    <t>VARCHAR2(256)</t>
  </si>
  <si>
    <t>实习批次号</t>
  </si>
  <si>
    <t>DGSX_PCNO</t>
  </si>
  <si>
    <t>记录同一批实习的学生</t>
  </si>
  <si>
    <t>HQ_XS_DGSX_PC</t>
  </si>
  <si>
    <t>实习分类</t>
  </si>
  <si>
    <t>DGSX_TYPE_CODE</t>
  </si>
  <si>
    <t>1：顶岗实习；2：工学交替（校标、可新增校标代码，代码3位）</t>
  </si>
  <si>
    <t>学年</t>
  </si>
  <si>
    <t>实习学年</t>
  </si>
  <si>
    <t>SCHOOL_YEAR</t>
  </si>
  <si>
    <t>例：2019-2020</t>
  </si>
  <si>
    <t>VARCHAR2(9)</t>
  </si>
  <si>
    <t>学期</t>
  </si>
  <si>
    <t>实习学期</t>
  </si>
  <si>
    <t>TERM_CODE</t>
  </si>
  <si>
    <t>VARCHAR2(2)</t>
  </si>
  <si>
    <t>实习开始日期</t>
  </si>
  <si>
    <t>实习结束日期</t>
  </si>
  <si>
    <t>实习天数</t>
  </si>
  <si>
    <t>DAY_COUNT</t>
  </si>
  <si>
    <t>SXGW</t>
  </si>
  <si>
    <t>实习薪资(元)</t>
  </si>
  <si>
    <t>实习薪资</t>
  </si>
  <si>
    <t>校内指导教师</t>
  </si>
  <si>
    <t>校内实习指导教师</t>
  </si>
  <si>
    <t>IN_TEA_NAME</t>
  </si>
  <si>
    <t>校内指导教师工号</t>
  </si>
  <si>
    <t>校内实习指导教师工号</t>
  </si>
  <si>
    <t>IN_TEA_NO</t>
  </si>
  <si>
    <t>HQ_RS_TEA</t>
  </si>
  <si>
    <t>TEA_NO</t>
  </si>
  <si>
    <t>校内指导教师联系电话</t>
  </si>
  <si>
    <t>IN_TEA_PHONE</t>
  </si>
  <si>
    <t>是否学校指定企业</t>
  </si>
  <si>
    <t>IS_TEAM_COMPANY</t>
  </si>
  <si>
    <t>是：1；否：0</t>
  </si>
  <si>
    <t>NUMBER(1)</t>
  </si>
  <si>
    <t>是否个人联系企业实习</t>
  </si>
  <si>
    <t>IS_DGSX_ONESELF</t>
  </si>
  <si>
    <t>实习状态</t>
  </si>
  <si>
    <t>DGSX_STATUS_CODE</t>
  </si>
  <si>
    <t>NOT_STARTED：未开始；ING：实习中；FINISH：实习结束</t>
  </si>
  <si>
    <t>NAME_</t>
  </si>
  <si>
    <t>企业校内编号</t>
  </si>
  <si>
    <t>COMPANY_NO</t>
  </si>
  <si>
    <t>HQ_XS_DGSX_COMPANY</t>
  </si>
  <si>
    <t>实习企业名称</t>
  </si>
  <si>
    <t>COMPANY_NAME</t>
  </si>
  <si>
    <t>企业指导老师</t>
  </si>
  <si>
    <t>OUT_TEA_NAME</t>
  </si>
  <si>
    <t>企业指导老师联系电话</t>
  </si>
  <si>
    <t>OUT_TEA_PHONE</t>
  </si>
  <si>
    <t>企业性质</t>
  </si>
  <si>
    <t>COMPANY_NATURE_CODE</t>
  </si>
  <si>
    <r>
      <rPr>
        <sz val="12"/>
        <color theme="1"/>
        <rFont val="微软雅黑"/>
        <charset val="134"/>
      </rPr>
      <t>JY/T 1001 SHDWXZ 社会单位性质代码。20：事业单位；21：科研设计单位；22：高等学校；30：企业；31：国有企业；32：中外合资企业；99：其他</t>
    </r>
    <r>
      <rPr>
        <b/>
        <sz val="12"/>
        <color rgb="FFFF0000"/>
        <rFont val="微软雅黑"/>
        <charset val="134"/>
      </rPr>
      <t>（国标、未完，可新增校标代码3位数字，如新增联营企业代码为301）</t>
    </r>
  </si>
  <si>
    <t>企业所属行业</t>
  </si>
  <si>
    <t>COMPANY_INDUSTY_CODE</t>
  </si>
  <si>
    <r>
      <rPr>
        <sz val="12"/>
        <color theme="1"/>
        <rFont val="微软雅黑"/>
        <charset val="134"/>
      </rPr>
      <t>GB/T 4754 国民经济行业分类。A：农、林、牧、渔业；B：采矿业；C：制造业；T：国际组织</t>
    </r>
    <r>
      <rPr>
        <b/>
        <sz val="12"/>
        <color rgb="FFFF0000"/>
        <rFont val="微软雅黑"/>
        <charset val="134"/>
      </rPr>
      <t>（国标、未完，可新增校标代码4位，如重工代码为C001）</t>
    </r>
  </si>
  <si>
    <t>企业所在省份</t>
  </si>
  <si>
    <t>COMPANY_SHENG_XZQH_ID</t>
  </si>
  <si>
    <t>select * from HQ_CODE_XZQH where level_ = 2</t>
  </si>
  <si>
    <t xml:space="preserve">HQ_CODE_XZQH </t>
  </si>
  <si>
    <t>企业所在地市</t>
  </si>
  <si>
    <t>COMPANY_SHI_XZQH_ID</t>
  </si>
  <si>
    <t>select * from HQ_CODE_XZQH where level_ = 3</t>
  </si>
  <si>
    <t>企业地址</t>
  </si>
  <si>
    <t>COMPANY_ADDRESS</t>
  </si>
  <si>
    <t>VARCHAR2(300)</t>
  </si>
  <si>
    <t>企业联系人</t>
  </si>
  <si>
    <t>COMPANY_LXR_NAME</t>
  </si>
  <si>
    <t>企业联系人电话</t>
  </si>
  <si>
    <t>COMPANY_LXR_PHONE</t>
  </si>
  <si>
    <t>是否录用</t>
  </si>
  <si>
    <t>IS_LY</t>
  </si>
  <si>
    <t>企业在校内的编号</t>
  </si>
  <si>
    <t>COMPONEY_NO</t>
  </si>
  <si>
    <t>企业名称</t>
  </si>
  <si>
    <t>企业识别号/税号</t>
  </si>
  <si>
    <t>企业税号</t>
  </si>
  <si>
    <t>QYSBH</t>
  </si>
  <si>
    <t>所属行业</t>
  </si>
  <si>
    <t>所在省份</t>
  </si>
  <si>
    <t>SHENG_XZQH_ID</t>
  </si>
  <si>
    <t>行政区划代码</t>
  </si>
  <si>
    <t>所在地市</t>
  </si>
  <si>
    <t>SHI_XZQH_ID</t>
  </si>
  <si>
    <t>地址</t>
  </si>
  <si>
    <t>ADDRESS_</t>
  </si>
  <si>
    <t>联系人</t>
  </si>
  <si>
    <t>LXR_NAME</t>
  </si>
  <si>
    <t>联系方式</t>
  </si>
  <si>
    <t>LXR_PHONE</t>
  </si>
  <si>
    <t>是否启用</t>
  </si>
  <si>
    <t>ISTRUE</t>
  </si>
  <si>
    <t>顶岗实习-实习批次</t>
  </si>
  <si>
    <t>结束日期</t>
  </si>
  <si>
    <t>计划实习天数</t>
  </si>
  <si>
    <t>PLAN_DAY_COUNT</t>
  </si>
  <si>
    <t>NUMBER(4)</t>
  </si>
  <si>
    <t>HQ_XS_DGSX_XSKQ</t>
  </si>
  <si>
    <t>学生实习ID</t>
  </si>
  <si>
    <t>学生实习信息编号</t>
  </si>
  <si>
    <t>DGSX_ID</t>
  </si>
  <si>
    <t>学生实习信息ID</t>
  </si>
  <si>
    <r>
      <rPr>
        <sz val="12"/>
        <color theme="1"/>
        <rFont val="微软雅黑"/>
        <charset val="134"/>
      </rPr>
      <t>HQ_XS_DGSX_SXXX</t>
    </r>
    <r>
      <rPr>
        <sz val="12"/>
        <color theme="1"/>
        <rFont val="Arial"/>
        <charset val="134"/>
      </rPr>
      <t xml:space="preserve">	</t>
    </r>
  </si>
  <si>
    <t>是否签到</t>
  </si>
  <si>
    <t>IS_SIGN</t>
  </si>
  <si>
    <t>签到时间</t>
  </si>
  <si>
    <t>SIGN_TIME</t>
  </si>
  <si>
    <t>YYYY-MM-DD HH:MM:SS</t>
  </si>
  <si>
    <t>是否异常签到</t>
  </si>
  <si>
    <t>IS_ABNORMAL_SIGN</t>
  </si>
  <si>
    <t>是否考勤正常</t>
  </si>
  <si>
    <t>IS_NORMAL_CHECK</t>
  </si>
  <si>
    <t>考勤异常类型</t>
  </si>
  <si>
    <t>DGSX_CHECK_ABNORMAL_CODE</t>
  </si>
  <si>
    <t>1：迟到；2：旷工；3：请假（校标，可自定义校标，代码3位）</t>
  </si>
  <si>
    <t>HQ_XS_DGSX_XSKQTJ</t>
  </si>
  <si>
    <t xml:space="preserve">HQ_XS_DGSX_SXXX	</t>
  </si>
  <si>
    <t>应签到次数</t>
  </si>
  <si>
    <t>实习期间应签到次数</t>
  </si>
  <si>
    <t>SHOULD_SIGN_COUNT</t>
  </si>
  <si>
    <t>实际签到次数</t>
  </si>
  <si>
    <t>实习期间实际签到次数</t>
  </si>
  <si>
    <t>REAL_SIGN_COUNT</t>
  </si>
  <si>
    <t>未签到次数</t>
  </si>
  <si>
    <t>实习期间未签到次数</t>
  </si>
  <si>
    <t>NOT_SIGN_COUNT</t>
  </si>
  <si>
    <t>默认0</t>
  </si>
  <si>
    <t>签到率</t>
  </si>
  <si>
    <t>实习期间签到率</t>
  </si>
  <si>
    <t>SIGN_SCALE</t>
  </si>
  <si>
    <t>NUMBER(6,2)</t>
  </si>
  <si>
    <t>正常签到次数</t>
  </si>
  <si>
    <t>实习期间正常签到次数</t>
  </si>
  <si>
    <t>NORMAL_SIGN_COUNT</t>
  </si>
  <si>
    <t>异常签到次数</t>
  </si>
  <si>
    <t>实习期间异常签到次数</t>
  </si>
  <si>
    <t>ABNORMAL_SIGN_COUNT</t>
  </si>
  <si>
    <t>正常签到率</t>
  </si>
  <si>
    <t>实习期间正常签到率</t>
  </si>
  <si>
    <t>NORMAL_SIGN_SCALE</t>
  </si>
  <si>
    <t>HQ_XS_DGSX_BJKQTJ</t>
  </si>
  <si>
    <t>班级ID</t>
  </si>
  <si>
    <t>班级</t>
  </si>
  <si>
    <t>班级人数</t>
  </si>
  <si>
    <t>CLASS_STU_COUNT</t>
  </si>
  <si>
    <t>实习人数</t>
  </si>
  <si>
    <t>DGSX_STU_COUNT</t>
  </si>
  <si>
    <t>NUMBER(10)</t>
  </si>
  <si>
    <t>NUMBER(5,2)</t>
  </si>
  <si>
    <t>请假天数</t>
  </si>
  <si>
    <t>实习期间请假天数</t>
  </si>
  <si>
    <t>XSQJ_DAY_COUNT</t>
  </si>
  <si>
    <t>NUMBER(6,1)</t>
  </si>
  <si>
    <t>HQ_XS_DGSX_XSQJ</t>
  </si>
  <si>
    <t>请假类型</t>
  </si>
  <si>
    <t>XSQJ_TYPE_CODE</t>
  </si>
  <si>
    <t>1：事假；2：病假；9：其他（校标，可自定义校标，代码3位）</t>
  </si>
  <si>
    <t>请假开始时间</t>
  </si>
  <si>
    <t>BEGIN_TIME</t>
  </si>
  <si>
    <t>YYYY-MM-DD HH:MM</t>
  </si>
  <si>
    <t>请假结束时间</t>
  </si>
  <si>
    <t>END_TIME</t>
  </si>
  <si>
    <t>HQ_XS_DGSX_SXZJ</t>
  </si>
  <si>
    <t>实习总结内容</t>
  </si>
  <si>
    <t>实习总结文字内容</t>
  </si>
  <si>
    <t>CONTENT_</t>
  </si>
  <si>
    <t>CLOB</t>
  </si>
  <si>
    <t>自我评分</t>
  </si>
  <si>
    <t>ONESELF_SCORE</t>
  </si>
  <si>
    <t>自我评分等级</t>
  </si>
  <si>
    <t>ONESELF_LEVEL</t>
  </si>
  <si>
    <t>1：优秀，2：良好，3：合格，4：不合格（可自定义）</t>
  </si>
  <si>
    <t>自我评价时间</t>
  </si>
  <si>
    <t>ONESELF_TIME</t>
  </si>
  <si>
    <t>校内指导老师评分</t>
  </si>
  <si>
    <t>校内实习指导老师评分</t>
  </si>
  <si>
    <t>IN_TEA_SCORE</t>
  </si>
  <si>
    <t>校内指导老师评分等级</t>
  </si>
  <si>
    <t>校内实习指导老师评分等级</t>
  </si>
  <si>
    <t>IN_TEA_LEVEL</t>
  </si>
  <si>
    <t>校内指导老师评价时间</t>
  </si>
  <si>
    <t>校内实习指导老师评价时间</t>
  </si>
  <si>
    <t>IN_TEA_TIME</t>
  </si>
  <si>
    <t>校内指导老师评价意见</t>
  </si>
  <si>
    <t>校内实习指导老师评价意见</t>
  </si>
  <si>
    <t>IN_TEA_OPINION</t>
  </si>
  <si>
    <t>企业评分</t>
  </si>
  <si>
    <t>实习企业评分</t>
  </si>
  <si>
    <t>COMPANY_SCORE</t>
  </si>
  <si>
    <t>企业评分等级</t>
  </si>
  <si>
    <t>COMPANY_LEVEL</t>
  </si>
  <si>
    <t>企业评价时间</t>
  </si>
  <si>
    <t>COMPANY_TIME</t>
  </si>
  <si>
    <t>企业评价意见</t>
  </si>
  <si>
    <t>COMPANY_OPINION</t>
  </si>
  <si>
    <t>HQ_XS_DGSX_SXHB</t>
  </si>
  <si>
    <t>汇报类型</t>
  </si>
  <si>
    <t>DGSX_REPORT_TYPE_CODE</t>
  </si>
  <si>
    <t>DAY：日报；WEEK：周报；MONTH：月报；9：其他</t>
  </si>
  <si>
    <t>汇报内容</t>
  </si>
  <si>
    <t>实习汇报内容</t>
  </si>
  <si>
    <t>汇报时间</t>
  </si>
  <si>
    <t>TIME_</t>
  </si>
  <si>
    <t>批阅人</t>
  </si>
  <si>
    <t>READOVER_TEA_NAME</t>
  </si>
  <si>
    <t>批阅人工号</t>
  </si>
  <si>
    <t>READOVER_TEA_NO</t>
  </si>
  <si>
    <t>批阅时间</t>
  </si>
  <si>
    <t>READOVER_TIME</t>
  </si>
  <si>
    <t>校区基本信息表</t>
  </si>
  <si>
    <t>HQ_JC_XQ</t>
  </si>
  <si>
    <t>校区基本信息（结合人才培养状态数据和高基报表）。用途：***，影响：***</t>
  </si>
  <si>
    <t>党办（通常来源党办部门、人才培养状态数据库、高基报表）</t>
  </si>
  <si>
    <t>1天。备注：获得集成方案要求的数据后的处理时间，直到数据质量达标（需要数据治理的数据采集和质量检测模块）</t>
  </si>
  <si>
    <t>校区代码</t>
  </si>
  <si>
    <t>校区编码</t>
  </si>
  <si>
    <t>校区名称</t>
  </si>
  <si>
    <t>学校代码</t>
  </si>
  <si>
    <t>XX_ID</t>
  </si>
  <si>
    <t>所在省/自治区/直辖市_ID</t>
  </si>
  <si>
    <t>所在省/自治区/直辖市</t>
  </si>
  <si>
    <t>ORIGIN_PID</t>
  </si>
  <si>
    <t>行政区划代码（6位）</t>
  </si>
  <si>
    <t>所在城市/区/地市_ID</t>
  </si>
  <si>
    <t>所在城市/区/地市</t>
  </si>
  <si>
    <t>ORIGIN_ID</t>
  </si>
  <si>
    <t>校区建立年月</t>
  </si>
  <si>
    <t>XX_CREATE_YEAR_MONTH</t>
  </si>
  <si>
    <t>NUMBER(7)</t>
  </si>
  <si>
    <t>校区地址</t>
  </si>
  <si>
    <t>ADDRESS</t>
  </si>
  <si>
    <t>可用</t>
  </si>
  <si>
    <t>是否可用</t>
  </si>
  <si>
    <t>排序号</t>
  </si>
  <si>
    <t>校区排序</t>
  </si>
  <si>
    <t>ORDER_</t>
  </si>
  <si>
    <t>区号-办公电话</t>
  </si>
  <si>
    <t>OFFICE_PHONE</t>
  </si>
  <si>
    <t>例：0396-1234567</t>
  </si>
  <si>
    <t>VARCHAR2(30)</t>
  </si>
  <si>
    <t>区号-传真电话</t>
  </si>
  <si>
    <t>FAX_PHONE</t>
  </si>
  <si>
    <t>校区(局域)网域名</t>
  </si>
  <si>
    <t>DOMAIN</t>
  </si>
  <si>
    <t>备注</t>
  </si>
  <si>
    <t>BZ</t>
  </si>
  <si>
    <t>VARCHAR2(600)</t>
  </si>
  <si>
    <t>创建人</t>
  </si>
  <si>
    <t>CREATE_USER</t>
  </si>
  <si>
    <t>创建时间</t>
  </si>
  <si>
    <t>CREATE_TIME</t>
  </si>
  <si>
    <t>VARCHAR2(23)</t>
  </si>
  <si>
    <t>更新人</t>
  </si>
  <si>
    <t>UPDATE_USER</t>
  </si>
  <si>
    <t>更新时间</t>
  </si>
  <si>
    <t>UPDATE_TIME</t>
  </si>
  <si>
    <t>组织机构-教研室-课程表</t>
  </si>
  <si>
    <t>HQ_CODE_DEPT_JYS_KC</t>
  </si>
  <si>
    <t>教务处</t>
  </si>
  <si>
    <t>教研室ID</t>
  </si>
  <si>
    <t>教研室信息</t>
  </si>
  <si>
    <t>JYS_ID</t>
  </si>
  <si>
    <t>HQ_CODE_DEPT_JYS</t>
  </si>
  <si>
    <t>课程CODE</t>
  </si>
  <si>
    <t>课程信息</t>
  </si>
  <si>
    <t>COURSE_CODE</t>
  </si>
  <si>
    <t>SELECT * FROM HQ_CODE_COURSE;</t>
  </si>
  <si>
    <t>HQ_CODE_COURSE</t>
  </si>
  <si>
    <t>排序</t>
  </si>
  <si>
    <t>ID_USER_CREATE</t>
  </si>
  <si>
    <t>修改人</t>
  </si>
  <si>
    <t>ID_USER_UPDATE</t>
  </si>
  <si>
    <t>修改时间</t>
  </si>
  <si>
    <t>组织机构-教研团队表</t>
  </si>
  <si>
    <t>HQ_ZZJG_JYTD</t>
  </si>
  <si>
    <t>院系</t>
  </si>
  <si>
    <t>专业</t>
  </si>
  <si>
    <t>MAJOR_CODE</t>
  </si>
  <si>
    <t>库里面存在,新增字段(2024-11-22)</t>
  </si>
  <si>
    <t>HQ_CODE_MAJOR</t>
  </si>
  <si>
    <t>团队代码</t>
  </si>
  <si>
    <t>团队名称</t>
  </si>
  <si>
    <t>团队级别</t>
  </si>
  <si>
    <t>JYTD_LEVEL_CODE</t>
  </si>
  <si>
    <r>
      <rPr>
        <sz val="12"/>
        <color theme="1"/>
        <rFont val="微软雅黑"/>
        <charset val="134"/>
      </rPr>
      <t>1：国家级；2：省部级；</t>
    </r>
    <r>
      <rPr>
        <sz val="12"/>
        <color theme="1"/>
        <rFont val="微软雅黑"/>
        <charset val="134"/>
      </rPr>
      <t>3：市厅局级；</t>
    </r>
    <r>
      <rPr>
        <sz val="12"/>
        <color theme="1"/>
        <rFont val="微软雅黑"/>
        <charset val="134"/>
      </rPr>
      <t>4：院</t>
    </r>
    <r>
      <rPr>
        <sz val="12"/>
        <color theme="1"/>
        <rFont val="微软雅黑"/>
        <charset val="134"/>
      </rPr>
      <t>/</t>
    </r>
    <r>
      <rPr>
        <sz val="12"/>
        <color theme="1"/>
        <rFont val="微软雅黑"/>
        <charset val="134"/>
      </rPr>
      <t>校级；9：其他</t>
    </r>
  </si>
  <si>
    <t>年份</t>
  </si>
  <si>
    <r>
      <rPr>
        <sz val="12"/>
        <color theme="1"/>
        <rFont val="微软雅黑"/>
        <charset val="134"/>
      </rPr>
      <t>Y</t>
    </r>
    <r>
      <rPr>
        <sz val="12"/>
        <color theme="1"/>
        <rFont val="微软雅黑"/>
        <charset val="134"/>
      </rPr>
      <t>EAR_</t>
    </r>
  </si>
  <si>
    <t>认定年份</t>
  </si>
  <si>
    <t>组织机构-教研团队-成员表</t>
  </si>
  <si>
    <t>HQ_ZZJG_JYTD_CY</t>
  </si>
  <si>
    <t>教研团队ID</t>
  </si>
  <si>
    <t>教研团队</t>
  </si>
  <si>
    <t>JYTD_ID</t>
  </si>
  <si>
    <t>职工号</t>
  </si>
  <si>
    <t>职工名称</t>
  </si>
  <si>
    <t>TEA_NAME</t>
  </si>
  <si>
    <t>成员类型</t>
  </si>
  <si>
    <t>MEMBER_TYPE</t>
  </si>
  <si>
    <t>1:组长；2：成员</t>
  </si>
  <si>
    <t>招生计划表</t>
  </si>
  <si>
    <t>HQ_ZS_PLAN</t>
  </si>
  <si>
    <t>学校招生计划，包括统招和自主招生的计划数据；</t>
  </si>
  <si>
    <t>标准工期（人天）</t>
  </si>
  <si>
    <t>招生年份</t>
  </si>
  <si>
    <t>YEAR_</t>
  </si>
  <si>
    <t>招生的年度比如2019年的招生计划</t>
  </si>
  <si>
    <t>考试批次</t>
  </si>
  <si>
    <t>EXAM_BATCH_CODE</t>
  </si>
  <si>
    <r>
      <rPr>
        <sz val="12"/>
        <color rgb="FF000000"/>
        <rFont val="Arial"/>
        <charset val="134"/>
      </rPr>
      <t>1</t>
    </r>
    <r>
      <rPr>
        <sz val="12"/>
        <color rgb="FF000000"/>
        <rFont val="宋体"/>
        <charset val="134"/>
      </rPr>
      <t>：春季；</t>
    </r>
    <r>
      <rPr>
        <sz val="12"/>
        <color rgb="FF000000"/>
        <rFont val="Arial"/>
        <charset val="134"/>
      </rPr>
      <t>2</t>
    </r>
    <r>
      <rPr>
        <sz val="12"/>
        <color rgb="FF000000"/>
        <rFont val="宋体"/>
        <charset val="134"/>
      </rPr>
      <t>：夏季</t>
    </r>
  </si>
  <si>
    <t>招生方式</t>
  </si>
  <si>
    <t>RECRUIT_CODE</t>
  </si>
  <si>
    <t>1基于高考的“知识+技能”录取,
2对口录取
3单独考试招生录取 
4综合评价录取
5中高职贯通录取
6技能拔尖人才免试录取
7其它录取方式</t>
  </si>
  <si>
    <t>select * from data_hq.HQ_CODE t where t.group_type = 'RECRUIT_CODE'</t>
  </si>
  <si>
    <t>专业CODE(国标)</t>
  </si>
  <si>
    <t>专业代码</t>
  </si>
  <si>
    <t>LQZY_CODE</t>
  </si>
  <si>
    <t>国标专业代码</t>
  </si>
  <si>
    <t>select * from HQ_GB_MAJOR_CATALOGUE</t>
  </si>
  <si>
    <t xml:space="preserve"> HQ_GB_MAJOR_CATALOGUE</t>
  </si>
  <si>
    <t>报考科类</t>
  </si>
  <si>
    <t>EXAM_SUBJECT_CODE</t>
  </si>
  <si>
    <t>11：普通类；12：文史类；13：理工类；14：艺术（文）:15：艺术（理）；16：体育；
21：农林果蔬；22：畜牧养殖；23：土建；24：机械……（春季高考有18类）</t>
  </si>
  <si>
    <t>招考方向</t>
  </si>
  <si>
    <t>招生考试方向</t>
  </si>
  <si>
    <t>RECRUIT_DIRECTION_CODE</t>
  </si>
  <si>
    <r>
      <rPr>
        <sz val="12"/>
        <color rgb="FF000000"/>
        <rFont val="Arial"/>
        <charset val="134"/>
      </rPr>
      <t>1.</t>
    </r>
    <r>
      <rPr>
        <sz val="12"/>
        <color rgb="FF000000"/>
        <rFont val="SimSun"/>
        <charset val="134"/>
      </rPr>
      <t xml:space="preserve">普通大专
</t>
    </r>
    <r>
      <rPr>
        <sz val="12"/>
        <color rgb="FF000000"/>
        <rFont val="Arial"/>
        <charset val="134"/>
      </rPr>
      <t>2.</t>
    </r>
    <r>
      <rPr>
        <sz val="12"/>
        <color rgb="FF000000"/>
        <rFont val="SimSun"/>
        <charset val="134"/>
      </rPr>
      <t xml:space="preserve">五年制高职
</t>
    </r>
    <r>
      <rPr>
        <sz val="12"/>
        <color rgb="FF000000"/>
        <rFont val="Arial"/>
        <charset val="134"/>
      </rPr>
      <t>3.</t>
    </r>
    <r>
      <rPr>
        <sz val="12"/>
        <color rgb="FF000000"/>
        <rFont val="SimSun"/>
        <charset val="134"/>
      </rPr>
      <t xml:space="preserve">专本贯通
</t>
    </r>
    <r>
      <rPr>
        <sz val="12"/>
        <color rgb="FF000000"/>
        <rFont val="Arial"/>
        <charset val="134"/>
      </rPr>
      <t>4.</t>
    </r>
    <r>
      <rPr>
        <sz val="12"/>
        <color rgb="FF000000"/>
        <rFont val="SimSun"/>
        <charset val="134"/>
      </rPr>
      <t xml:space="preserve">校企合作
</t>
    </r>
    <r>
      <rPr>
        <sz val="12"/>
        <color rgb="FF000000"/>
        <rFont val="Arial"/>
        <charset val="134"/>
      </rPr>
      <t>5.</t>
    </r>
    <r>
      <rPr>
        <sz val="12"/>
        <color rgb="FF000000"/>
        <rFont val="SimSun"/>
        <charset val="134"/>
      </rPr>
      <t xml:space="preserve">中外合作办学
</t>
    </r>
    <r>
      <rPr>
        <sz val="12"/>
        <color rgb="FF000000"/>
        <rFont val="Arial"/>
        <charset val="134"/>
      </rPr>
      <t>6.</t>
    </r>
    <r>
      <rPr>
        <sz val="12"/>
        <color rgb="FF000000"/>
        <rFont val="SimSun"/>
        <charset val="134"/>
      </rPr>
      <t xml:space="preserve">高职院校专项计划（建档立卡贫困）
</t>
    </r>
    <r>
      <rPr>
        <sz val="12"/>
        <color rgb="FF000000"/>
        <rFont val="Arial"/>
        <charset val="134"/>
      </rPr>
      <t>7.</t>
    </r>
    <r>
      <rPr>
        <sz val="12"/>
        <color rgb="FF000000"/>
        <rFont val="SimSun"/>
        <charset val="134"/>
      </rPr>
      <t xml:space="preserve">退役军人专项
</t>
    </r>
    <r>
      <rPr>
        <sz val="12"/>
        <color rgb="FF000000"/>
        <rFont val="Arial"/>
        <charset val="134"/>
      </rPr>
      <t>8.</t>
    </r>
    <r>
      <rPr>
        <sz val="12"/>
        <color rgb="FF000000"/>
        <rFont val="SimSun"/>
        <charset val="134"/>
      </rPr>
      <t xml:space="preserve">定向
</t>
    </r>
    <r>
      <rPr>
        <sz val="12"/>
        <color rgb="FF000000"/>
        <rFont val="Arial"/>
        <charset val="134"/>
      </rPr>
      <t>11.</t>
    </r>
    <r>
      <rPr>
        <sz val="12"/>
        <color rgb="FF000000"/>
        <rFont val="SimSun"/>
        <charset val="134"/>
      </rPr>
      <t xml:space="preserve">三二转段
</t>
    </r>
    <r>
      <rPr>
        <sz val="12"/>
        <color rgb="FF000000"/>
        <rFont val="Arial"/>
        <charset val="134"/>
      </rPr>
      <t>12.</t>
    </r>
    <r>
      <rPr>
        <sz val="12"/>
        <color rgb="FF000000"/>
        <rFont val="SimSun"/>
        <charset val="134"/>
      </rPr>
      <t>五年制高职第</t>
    </r>
    <r>
      <rPr>
        <sz val="12"/>
        <color rgb="FF000000"/>
        <rFont val="Arial"/>
        <charset val="134"/>
      </rPr>
      <t>4</t>
    </r>
    <r>
      <rPr>
        <sz val="12"/>
        <color rgb="FF000000"/>
        <rFont val="SimSun"/>
        <charset val="134"/>
      </rPr>
      <t>学年</t>
    </r>
  </si>
  <si>
    <t>学制</t>
  </si>
  <si>
    <t>LENGTH_SCHOOLING</t>
  </si>
  <si>
    <t>省份CODE</t>
  </si>
  <si>
    <t>省份</t>
  </si>
  <si>
    <t>省份的行政区划代码</t>
  </si>
  <si>
    <t>select * from HQ_CODE_XZQH</t>
  </si>
  <si>
    <t>HQ_CODE_XZQH</t>
  </si>
  <si>
    <t>计划招生人数</t>
  </si>
  <si>
    <t>PLAN_COUNT</t>
  </si>
  <si>
    <t>考试类别CODE</t>
  </si>
  <si>
    <t>EXAM_TYPE_CODE</t>
  </si>
  <si>
    <t>编码数据，如春季高考(1)，春季单招（2）、夏季高考（3）、夏季单招（4）</t>
  </si>
  <si>
    <t xml:space="preserve">
select * from data_hq.HQ_CODE t where t.group_type = 'EXAM_TYPE_CODE';</t>
  </si>
  <si>
    <t>计划类别ID</t>
  </si>
  <si>
    <t>PLAN_TYPE_CODE</t>
  </si>
  <si>
    <t>编码数据，如文史单招、理工单招、文史专项、理工专项、外省理工、外省文史、省内理工、省内 文史等；</t>
  </si>
  <si>
    <t>select * from data_hq.HQ_CODE t where t.group_type = 'PLAN_TYPE_CODE'</t>
  </si>
  <si>
    <t>科类CODE</t>
  </si>
  <si>
    <t>KL_CODE</t>
  </si>
  <si>
    <t>编码数据，如文科（1）、理科（2）、不分文理（3）</t>
  </si>
  <si>
    <t xml:space="preserve">
select * from data_hq.HQ_CODE t where t.group_type = 'ZS_KL_CODE'</t>
  </si>
  <si>
    <t>实际录取人数</t>
  </si>
  <si>
    <t>ENROLL_COUNT</t>
  </si>
  <si>
    <t>一志愿录取人数</t>
  </si>
  <si>
    <t>FIRST_COUNT</t>
  </si>
  <si>
    <t>调剂录取数</t>
  </si>
  <si>
    <t>ADJUST_COUNT</t>
  </si>
  <si>
    <t>投档分数线</t>
  </si>
  <si>
    <t>PLAN_SCORE</t>
  </si>
  <si>
    <t>实际分数线</t>
  </si>
  <si>
    <t>ENROLL_SCORE</t>
  </si>
  <si>
    <t>招生录取表</t>
  </si>
  <si>
    <t>HQ_ZS_STU</t>
  </si>
  <si>
    <t>此处是招生录取的数据</t>
  </si>
  <si>
    <t>招生考试批次</t>
  </si>
  <si>
    <t>1：春季；2：夏季</t>
  </si>
  <si>
    <t>0基于高考直接招生
1基于高考的“知识+技能”录取,
2对口录取
3单独考试招生录取 
4综合评价录取
5中高职贯通录取
6技能拔尖人才免试录取
7补充录取方式</t>
  </si>
  <si>
    <t>select * from HQ_CODE t where t.group_type = 'RECRUIT_CODE'</t>
  </si>
  <si>
    <t>考试情况</t>
  </si>
  <si>
    <t>EXAM_CASE_CODE</t>
  </si>
  <si>
    <t>1：技能人才免试</t>
  </si>
  <si>
    <t>1.普通大专
2.五年制高职
3.专本贯通
4.校企合作
5.中外合作办学
6.高职院校专项计划（建档立卡贫困）
7.退役军人专项
8.定向
11.三二转段
12.五年制高职第4学年</t>
  </si>
  <si>
    <t>学生来源</t>
  </si>
  <si>
    <t>STU_SOURCE_CODE</t>
  </si>
  <si>
    <t>JY/T 1001 XSLY 学生来源代码
100：普通高校本专科/中等职业学校
101：城镇应届
102：农村应届
103：城镇往届
104：农村往届
113：留学生/外籍
199：其他</t>
  </si>
  <si>
    <t>学生特殊身份</t>
  </si>
  <si>
    <t>STU_SPECIAL_CODE</t>
  </si>
  <si>
    <t>1：退役军人
2：下岗工人
3：在岗职工
4：农民工
5：农民</t>
  </si>
  <si>
    <t>学生类别</t>
  </si>
  <si>
    <t>STU_LB_CODE</t>
  </si>
  <si>
    <t>JY/T 1001 XSLB 学生类别代码
32：高中生
32100：普通高中学生
32200：成人高中学生（高中毕业同等学力（函授……））
331：中职学生
33200：普通中专学生（中专学校）
33400：职业高中学生
33500：技工学校学生
339001：中等师范
429001：本科（含）以上学历
9：其他</t>
  </si>
  <si>
    <t>生源省份</t>
  </si>
  <si>
    <t>考生号的第3至8位共6位为行政区划代码。为国标码。如“370303”为山东省淄博市张店区。（37－山东，03-淄博，03-张店区）</t>
  </si>
  <si>
    <t>生源地市</t>
  </si>
  <si>
    <t>本省学生</t>
  </si>
  <si>
    <t>IS_LOCAL_SHENG</t>
  </si>
  <si>
    <t>本地市学生</t>
  </si>
  <si>
    <t>IS_LOCAL_SHI</t>
  </si>
  <si>
    <t>录取专业（国标）</t>
  </si>
  <si>
    <t>录取专业</t>
  </si>
  <si>
    <t>HQ_GB_MAJOR_CATALOGUE</t>
  </si>
  <si>
    <t>录取专业名称</t>
  </si>
  <si>
    <t>LQZY_NAME</t>
  </si>
  <si>
    <t>国标专业名称</t>
  </si>
  <si>
    <t>录取院系ID</t>
  </si>
  <si>
    <t>录取院系</t>
  </si>
  <si>
    <t>考生号</t>
  </si>
  <si>
    <t>KSH</t>
  </si>
  <si>
    <t>身份证号</t>
  </si>
  <si>
    <t>IDNO</t>
  </si>
  <si>
    <t>VARCHAR2(18)</t>
  </si>
  <si>
    <t>出生日期</t>
  </si>
  <si>
    <t>BIRTHDAY</t>
  </si>
  <si>
    <t>姓名</t>
  </si>
  <si>
    <t>性别CODE</t>
  </si>
  <si>
    <t>性别</t>
  </si>
  <si>
    <t>SEX_CODE</t>
  </si>
  <si>
    <t>select * from data_hq.HQ_CODE t where t.group_type = 'SEX_CODE'</t>
  </si>
  <si>
    <t>民族CODE</t>
  </si>
  <si>
    <t>民族</t>
  </si>
  <si>
    <t>NATION_CODE</t>
  </si>
  <si>
    <t>select * from data_hq.HQ_CODE t where t.group_type = 'NATION_CODE'</t>
  </si>
  <si>
    <t>政治面貌</t>
  </si>
  <si>
    <t>POLITICS_CODE</t>
  </si>
  <si>
    <t>投档总成绩</t>
  </si>
  <si>
    <t>SCORE</t>
  </si>
  <si>
    <t>文化课成绩</t>
  </si>
  <si>
    <t>CULTURAL_SCORE</t>
  </si>
  <si>
    <t>成绩高考技能成绩</t>
  </si>
  <si>
    <t>SKILL_SCORE</t>
  </si>
  <si>
    <t>艺考专业成绩</t>
  </si>
  <si>
    <t>ART_SCORE</t>
  </si>
  <si>
    <t>毕业学校</t>
  </si>
  <si>
    <t>高中毕业学校</t>
  </si>
  <si>
    <t>GRADUATE_SCHOOL</t>
  </si>
  <si>
    <t>家庭地址</t>
  </si>
  <si>
    <t>考生家庭地址</t>
  </si>
  <si>
    <t>HOUSE_ADDRESS</t>
  </si>
  <si>
    <t>联系电话</t>
  </si>
  <si>
    <t>考生联系电话</t>
  </si>
  <si>
    <t>PHONE</t>
  </si>
  <si>
    <t>收件人</t>
  </si>
  <si>
    <t>ADDRESSEE</t>
  </si>
  <si>
    <t>一志愿专业</t>
  </si>
  <si>
    <t>第 一志愿专业</t>
  </si>
  <si>
    <t>FIRST_TDZY_CODE</t>
  </si>
  <si>
    <t>STU_SOURCE_ID</t>
  </si>
  <si>
    <t>HQ_CODE_STU_SOURCE</t>
  </si>
  <si>
    <t>录取类别</t>
  </si>
  <si>
    <t>ENROLL_LB_CODE</t>
  </si>
  <si>
    <t>生源类别</t>
  </si>
  <si>
    <t>STU_SOURCE_LB_ID</t>
  </si>
  <si>
    <t>HQ_CODE_STU_SOURCE_LB</t>
  </si>
  <si>
    <t>迎新报到表</t>
  </si>
  <si>
    <t>HQ_YX_STU</t>
  </si>
  <si>
    <t>此处是迎新报到数据</t>
  </si>
  <si>
    <t>报到年份</t>
  </si>
  <si>
    <t>REGIST_YEAR</t>
  </si>
  <si>
    <t>录取年份</t>
  </si>
  <si>
    <t>ENROLL_YEAR</t>
  </si>
  <si>
    <t>班级代码</t>
  </si>
  <si>
    <t>CLASS_NO</t>
  </si>
  <si>
    <t>select * from HQ_CODE_CLASSES</t>
  </si>
  <si>
    <t>国标录取专业</t>
  </si>
  <si>
    <t>录取专业（校标）</t>
  </si>
  <si>
    <t>校内录取专业</t>
  </si>
  <si>
    <t>校标专业代码</t>
  </si>
  <si>
    <t>select * from HQ_CODE_MAJOR</t>
  </si>
  <si>
    <t>院系ID</t>
  </si>
  <si>
    <t>是否报到</t>
  </si>
  <si>
    <t>IS_REGIST</t>
  </si>
  <si>
    <t>1：是，0：否</t>
  </si>
  <si>
    <t>报到日期</t>
  </si>
  <si>
    <t>REGIST_DAY</t>
  </si>
  <si>
    <t>报到时间</t>
  </si>
  <si>
    <t>REGIST_DATE</t>
  </si>
  <si>
    <t>未报到原因</t>
  </si>
  <si>
    <t>NOT_REGIST_REASON_CODE</t>
  </si>
  <si>
    <t>1：复读；2：弃学；3：贫困；9：其他</t>
  </si>
  <si>
    <t>新生录取报到-统招（新表：HQ_ZS_STU）</t>
  </si>
  <si>
    <t>HQ_ZS_TZ</t>
  </si>
  <si>
    <t>此处是统招招生录入的数据</t>
  </si>
  <si>
    <t>批次CODE</t>
  </si>
  <si>
    <t>录取批次</t>
  </si>
  <si>
    <t>PC_CODE</t>
  </si>
  <si>
    <t xml:space="preserve">1提前批、2本科一批、3本科二批、4本科三批、5高职高专批
</t>
  </si>
  <si>
    <t>select * from data_hq.HQ_CODE t where t.group_type LIKE 'PC_CODE'</t>
  </si>
  <si>
    <t>生日</t>
  </si>
  <si>
    <t>考生类别CODE</t>
  </si>
  <si>
    <t>考生类别</t>
  </si>
  <si>
    <t>KSLB_CODE</t>
  </si>
  <si>
    <t xml:space="preserve">1城市应届、2城市往届、3	农村应届、4	农村往届
</t>
  </si>
  <si>
    <t>select * from data_hq.HQ_CODE t where t.group_type LIKE 'KSLB_CODE'</t>
  </si>
  <si>
    <t>地区代码CODE</t>
  </si>
  <si>
    <t>地区代码</t>
  </si>
  <si>
    <t>DQ_CODE</t>
  </si>
  <si>
    <t>地区</t>
  </si>
  <si>
    <t>招考科类</t>
  </si>
  <si>
    <t>文科（1）、理科（2）、不分文理（3）</t>
  </si>
  <si>
    <t>select * from data_hq.HQ_CODE t where t.group_type = 'ZS_KL_CODE'</t>
  </si>
  <si>
    <t>ZS_KL_CODE</t>
  </si>
  <si>
    <t>总成绩</t>
  </si>
  <si>
    <t>成绩</t>
  </si>
  <si>
    <t>投档专业（国标）</t>
  </si>
  <si>
    <t>投档专业</t>
  </si>
  <si>
    <t>TDZY_CODE</t>
  </si>
  <si>
    <t>校标专业（校标）</t>
  </si>
  <si>
    <t>XBZY_CODE</t>
  </si>
  <si>
    <t>部门</t>
  </si>
  <si>
    <t>IS_REGISTER</t>
  </si>
  <si>
    <t>1：是，其他否</t>
  </si>
  <si>
    <t>REGISTER_DATE</t>
  </si>
  <si>
    <t>HQ_ZS_CJ</t>
  </si>
  <si>
    <t>统招录取学生的高考成绩信息；</t>
  </si>
  <si>
    <t>学生考生号</t>
  </si>
  <si>
    <t>学生身份证号码</t>
  </si>
  <si>
    <t>科目CODE</t>
  </si>
  <si>
    <t>高考科目</t>
  </si>
  <si>
    <t>KM_CODE</t>
  </si>
  <si>
    <t>1	语文
2	数学
3	外语
4	综合</t>
  </si>
  <si>
    <t>select * from data_hq.HQ_CODE t where t.group_type = 'ZS_KM_CODE';</t>
  </si>
  <si>
    <t>ZS_KM_CODE</t>
  </si>
  <si>
    <t>HQ_ZS_PCFS</t>
  </si>
  <si>
    <t>统招每个批次的录取分数线，数据是公司统一维护</t>
  </si>
  <si>
    <t>省市CODE</t>
  </si>
  <si>
    <t>SS_CODE</t>
  </si>
  <si>
    <t>省份行政区划代码</t>
  </si>
  <si>
    <t>1	提前批
2	本科一批
3	本科二批
4	本科三批
5	高职高专批</t>
  </si>
  <si>
    <t>1	文科
2	理科
3	不分文理</t>
  </si>
  <si>
    <t>分数</t>
  </si>
  <si>
    <t>分数线分数</t>
  </si>
  <si>
    <t>考试年份</t>
  </si>
  <si>
    <t>HQ_ZS_YFYD</t>
  </si>
  <si>
    <t>统招成绩的一份一段表，此数据是公司统一维护，不需要集成</t>
  </si>
  <si>
    <t>主键，不能重复</t>
  </si>
  <si>
    <t>招生科类</t>
  </si>
  <si>
    <t>最低分</t>
  </si>
  <si>
    <t>SCORE_LOW</t>
  </si>
  <si>
    <t>最高分</t>
  </si>
  <si>
    <t>SCORE_HIGH</t>
  </si>
  <si>
    <t>人数</t>
  </si>
  <si>
    <t>COUNT</t>
  </si>
  <si>
    <t>总人数</t>
  </si>
  <si>
    <t>COUNT_SUM</t>
  </si>
  <si>
    <t>新生录取报到-非统招（新表：HQ_ZS_STU）</t>
  </si>
  <si>
    <t>HQ_ZS_FTZ</t>
  </si>
  <si>
    <t>非统招录取报到数据</t>
  </si>
  <si>
    <t>1	城市应届
2	城市往届
3	农村应届
4	农村往届</t>
  </si>
  <si>
    <t>1	男
2	女</t>
  </si>
  <si>
    <t>学生所在地行政区划代码</t>
  </si>
  <si>
    <t>考试类别</t>
  </si>
  <si>
    <t>1	春季高考
2	春季单招
3	夏季高考
4	夏季单招</t>
  </si>
  <si>
    <t>select * from data_hq.HQ_CODE t where t.group_type = 'EXAM_TYPE_CODE'</t>
  </si>
  <si>
    <t>HQ_JY_EMPLOYMENT</t>
  </si>
  <si>
    <t>学生就业明细数据</t>
  </si>
  <si>
    <t>VARCHAR(60)</t>
  </si>
  <si>
    <t>VARCHAR(125)</t>
  </si>
  <si>
    <t>毕业年份</t>
  </si>
  <si>
    <t>NUMBER(8)</t>
  </si>
  <si>
    <t>就业状况CODE</t>
  </si>
  <si>
    <t>毕业去向</t>
  </si>
  <si>
    <t>EMPLOYMENT_TYPE_CODE</t>
  </si>
  <si>
    <t>1	就业
2	升学
3	待就业
4	自主创业
5	出国等</t>
  </si>
  <si>
    <t>VARCHAR(64)</t>
  </si>
  <si>
    <t>select * from data_hq.HQ_CODE t where t.group_type = 'EMPLOYMENT_TYPE_CODE'</t>
  </si>
  <si>
    <t>单位名称</t>
  </si>
  <si>
    <t>就业单位名称</t>
  </si>
  <si>
    <t>就业所在地地域名称</t>
  </si>
  <si>
    <t>就业单位地址</t>
  </si>
  <si>
    <t>VARCHAR(512)</t>
  </si>
  <si>
    <t>单位性质CODE</t>
  </si>
  <si>
    <t>单位性质</t>
  </si>
  <si>
    <t>COMPANY_TYPE_CODE</t>
  </si>
  <si>
    <t>10	机关
20	科研设计单位
21	高等教育单位
22	中初教育单位
23	医疗卫生单位
25	艰苦事业单位
27	科研助理
29	其他事业单位
31	国有企业
32	三资企业
35	艰苦行业企业
39	其他企业
40	部队
46	预征入伍
50	国家基层项目
51	地方基层项目
55	农村建制村
56	城镇社区
70	待就业
71	不就业拟升学
72	其他暂不就业
75	自主创业
76	自由职业
77	其他灵活就业
80	升学
85	出国、出境</t>
  </si>
  <si>
    <t xml:space="preserve">
select * from data_hq.HQ_CODE t where t.group_type = 'COMPANY_TYPE_CODE'</t>
  </si>
  <si>
    <t>就业所在地地域代码</t>
  </si>
  <si>
    <t>ADDRESS_CODE</t>
  </si>
  <si>
    <t>就业单位行政区划代码</t>
  </si>
  <si>
    <t>select* from HQ_CODE_XZQH</t>
  </si>
  <si>
    <t>就业时间</t>
  </si>
  <si>
    <t>EMPLOYMENT_DATE</t>
  </si>
  <si>
    <t>VARCHAR(16)</t>
  </si>
  <si>
    <t>是否对口就业</t>
  </si>
  <si>
    <t>IS_MATCH_MAJOR</t>
  </si>
  <si>
    <t>1：是；0：否</t>
  </si>
  <si>
    <t>薪资</t>
  </si>
  <si>
    <t>一年后薪资</t>
  </si>
  <si>
    <t>ONE_YEAR_LATER_MONEY</t>
  </si>
  <si>
    <t>用人单位满意度</t>
  </si>
  <si>
    <t>JY_COMPANY_SATISFIED_CODE</t>
  </si>
  <si>
    <t>VARCHAR(20)</t>
  </si>
  <si>
    <t>一卡通卡信息</t>
  </si>
  <si>
    <t>HQ_YKT_CARD</t>
  </si>
  <si>
    <t>一卡通发卡信息</t>
  </si>
  <si>
    <t>一个人可能有多张卡，卡序列号会变更，但代表的人员信息（一卡通号）不变</t>
  </si>
  <si>
    <t>一卡通账号</t>
  </si>
  <si>
    <t>校园卡账号</t>
  </si>
  <si>
    <t>CARD_NO</t>
  </si>
  <si>
    <t>一卡通系统账号，不能重复</t>
  </si>
  <si>
    <t>学号/工号</t>
  </si>
  <si>
    <t>学号或教工号</t>
  </si>
  <si>
    <t>PEOPLE_NO</t>
  </si>
  <si>
    <t>学生学号或者教职工工号</t>
  </si>
  <si>
    <t>(select tea_no as no,name_ from hq_rs_tea
union all 
select stu_no as no,name_ from hq_xs_stu )</t>
  </si>
  <si>
    <t>NO</t>
  </si>
  <si>
    <t>使用者身份类型</t>
  </si>
  <si>
    <t>使用者的身份</t>
  </si>
  <si>
    <t>CARD_IDENTITY_CODE</t>
  </si>
  <si>
    <t>0：教师
1：学生
2：职工
3：临时人员 
4：其他</t>
  </si>
  <si>
    <t xml:space="preserve">select * from HQ_YKT_CARD_IDENTITY </t>
  </si>
  <si>
    <t>HQ_YKT_CARD_IDENTITY</t>
  </si>
  <si>
    <t>开卡时间</t>
  </si>
  <si>
    <t>这张卡启用的时间</t>
  </si>
  <si>
    <t>销卡时间</t>
  </si>
  <si>
    <t>CANCEL_TIME</t>
  </si>
  <si>
    <t>卡内余额</t>
  </si>
  <si>
    <t>CARD_BALANCE</t>
  </si>
  <si>
    <t>【2021-06-16：字段类型修改】</t>
  </si>
  <si>
    <t>NUMBER(12,4)</t>
  </si>
  <si>
    <t>1：是，其他：否【2021-06-16：字段类型修改】</t>
  </si>
  <si>
    <t>卡序列号</t>
  </si>
  <si>
    <t>SERIAL_NO</t>
  </si>
  <si>
    <t>卡唯一序列号，一张实体/虚拟卡一个序列号</t>
  </si>
  <si>
    <t>卡号</t>
  </si>
  <si>
    <t>SHOW_NO</t>
  </si>
  <si>
    <t>卡面上显示的号（换卡后可能变更）</t>
  </si>
  <si>
    <t>卡状态</t>
  </si>
  <si>
    <t>CARD_STATUS_CODE</t>
  </si>
  <si>
    <t>1：正常， 3：挂失， 4：冻结， 5：
灰色， 6：停用 ， 99未发卡， -1已注销</t>
  </si>
  <si>
    <t>主钱包余额</t>
  </si>
  <si>
    <t>PRIMARY_BALANCE</t>
  </si>
  <si>
    <t>虚拟卡余额</t>
  </si>
  <si>
    <t>VIRTUAL_BALANCE</t>
  </si>
  <si>
    <t>补助钱包余额</t>
  </si>
  <si>
    <t>SUBSIDY_BALANCE</t>
  </si>
  <si>
    <t>一卡通持卡人身份</t>
  </si>
  <si>
    <t>一卡通持卡人身份，树形结构</t>
  </si>
  <si>
    <t>主键、不能重复</t>
  </si>
  <si>
    <t>类型代码</t>
  </si>
  <si>
    <t>类型名称</t>
  </si>
  <si>
    <t>父节点</t>
  </si>
  <si>
    <t>PID</t>
  </si>
  <si>
    <t>全息码</t>
  </si>
  <si>
    <t>PATH_</t>
  </si>
  <si>
    <t>层次</t>
  </si>
  <si>
    <t>LEVEL_</t>
  </si>
  <si>
    <t>层次级别</t>
  </si>
  <si>
    <t>NUMBER(2)</t>
  </si>
  <si>
    <t>层次类型</t>
  </si>
  <si>
    <t>LEVEL_TYPE</t>
  </si>
  <si>
    <t>1：可用，其他不可用</t>
  </si>
  <si>
    <t>拼音</t>
  </si>
  <si>
    <t>PINYIN</t>
  </si>
  <si>
    <t>简称</t>
  </si>
  <si>
    <t>NAME_SHORT</t>
  </si>
  <si>
    <t>简称拼音</t>
  </si>
  <si>
    <t>PINYIN_SHORT</t>
  </si>
  <si>
    <t>一卡通商户信息</t>
  </si>
  <si>
    <t>HQ_YKT_CARD_DEPT</t>
  </si>
  <si>
    <t>一卡通商户信息，刷卡商户，树形编码</t>
  </si>
  <si>
    <t>代码</t>
  </si>
  <si>
    <t>商户代码</t>
  </si>
  <si>
    <t>商户代码（唯一码）</t>
  </si>
  <si>
    <t>名称</t>
  </si>
  <si>
    <t>商户名称</t>
  </si>
  <si>
    <t>商户上级节点</t>
  </si>
  <si>
    <t>商户全息码</t>
  </si>
  <si>
    <t>一卡通刷卡终端(端口)信息</t>
  </si>
  <si>
    <t>HQ_YKT_CARD_PORT</t>
  </si>
  <si>
    <t>正常情况下一个商户有一个或多个端口</t>
  </si>
  <si>
    <t>端口号</t>
  </si>
  <si>
    <t>终端端口号</t>
  </si>
  <si>
    <t>NO_</t>
  </si>
  <si>
    <t>端口号（终端编号，唯一号）</t>
  </si>
  <si>
    <t>端口名称</t>
  </si>
  <si>
    <t>终端端口名称</t>
  </si>
  <si>
    <t>端口编码</t>
  </si>
  <si>
    <t>终端端口编码</t>
  </si>
  <si>
    <t>端口编码（通常无用）</t>
  </si>
  <si>
    <t>商户号</t>
  </si>
  <si>
    <t>终端所属商户</t>
  </si>
  <si>
    <t>CARD_DEPT_ID</t>
  </si>
  <si>
    <t>对应HQ_YKT_CARD_DEPT表的CODE【原字段：CARD_DEPT_CODE】</t>
  </si>
  <si>
    <t>终端消费类型</t>
  </si>
  <si>
    <t>PAY_TYPE_ID</t>
  </si>
  <si>
    <t>餐厅、超市等，对应HQ_YKT_CARD_TYPE表的CODE</t>
  </si>
  <si>
    <t>HQ_YKT_CARD_TYPE</t>
  </si>
  <si>
    <t>终端地址</t>
  </si>
  <si>
    <t>ADDR</t>
  </si>
  <si>
    <t>一卡通交易类型(消费类型)信息</t>
  </si>
  <si>
    <t>交易类型代码、包含：消费类型、加款类型</t>
  </si>
  <si>
    <t>一卡通消费信息</t>
  </si>
  <si>
    <t>HQ_YKT_CARD_PAY</t>
  </si>
  <si>
    <t>一卡通消费记录，按月分表存储；</t>
  </si>
  <si>
    <t xml:space="preserve">一卡通系统账号 </t>
  </si>
  <si>
    <t>学号或职工号</t>
  </si>
  <si>
    <t>消费金额</t>
  </si>
  <si>
    <t>PAY_MONEY</t>
  </si>
  <si>
    <t>消费时间</t>
  </si>
  <si>
    <t>PAY_TIME</t>
  </si>
  <si>
    <t>消费端口</t>
  </si>
  <si>
    <t>PAY_PORT_ID</t>
  </si>
  <si>
    <t>select * from HQ_YKT_CARD_PORT</t>
  </si>
  <si>
    <t>消费类型</t>
  </si>
  <si>
    <t>select * from HQ_YKT_CARD_TYPE</t>
  </si>
  <si>
    <t>钱包类型</t>
  </si>
  <si>
    <t>WALLET_CODE</t>
  </si>
  <si>
    <t>1：一卡通（主钱包），2：支付宝等虚拟钱包，3：补助钱包</t>
  </si>
  <si>
    <t>varchar2(10)</t>
  </si>
  <si>
    <t>校园卡序列号</t>
  </si>
  <si>
    <t>一卡通充值信息</t>
  </si>
  <si>
    <t>HQ_YKT_CARD_RECHARGE</t>
  </si>
  <si>
    <t>一卡通充值记录信息</t>
  </si>
  <si>
    <t>充值金额</t>
  </si>
  <si>
    <t>RECHARGE_MONEY</t>
  </si>
  <si>
    <t>充值前余额</t>
  </si>
  <si>
    <t>OLD_MONEY</t>
  </si>
  <si>
    <t>充值时间</t>
  </si>
  <si>
    <t>RECHARGE_TIME</t>
  </si>
  <si>
    <t>VARCHAR2(32)</t>
  </si>
  <si>
    <t>交易类型</t>
  </si>
  <si>
    <t>CARD_TYPE_ID</t>
  </si>
  <si>
    <t>参照一卡通消费类型信息</t>
  </si>
  <si>
    <t>交易端口</t>
  </si>
  <si>
    <t>HQ_YKT_SG_RKE</t>
  </si>
  <si>
    <t>门禁卡账号</t>
  </si>
  <si>
    <t>刷卡时间</t>
  </si>
  <si>
    <t>RKE_TIME</t>
  </si>
  <si>
    <t>刷卡地址</t>
  </si>
  <si>
    <t>RKE_ADDRESS</t>
  </si>
  <si>
    <t>刷卡地址ID</t>
  </si>
  <si>
    <t>RKE_ADDRESS_ID</t>
  </si>
  <si>
    <t>对应宿舍楼的ID</t>
  </si>
  <si>
    <t>HQ_YKT_SCH_DEVPLACE</t>
  </si>
  <si>
    <t>终端号</t>
  </si>
  <si>
    <t>进出标记</t>
  </si>
  <si>
    <t>IN_OUT_TYPE</t>
  </si>
  <si>
    <t>1：进；2：出</t>
  </si>
  <si>
    <t>宿管门禁卡</t>
  </si>
  <si>
    <t>HQ_YKT_SG_CARD</t>
  </si>
  <si>
    <t>宿舍门禁卡账号</t>
  </si>
  <si>
    <t>使用者身份</t>
  </si>
  <si>
    <t xml:space="preserve">HQ_CODE </t>
  </si>
  <si>
    <t>办卡时间</t>
  </si>
  <si>
    <t>ISTREU</t>
  </si>
  <si>
    <t>1：是，其他：否</t>
  </si>
  <si>
    <t>HQ_YKT_SCH_CARD</t>
  </si>
  <si>
    <t>VARCHAR2(125)</t>
  </si>
  <si>
    <t>VARCHAR2(64)</t>
  </si>
  <si>
    <t>校园门禁点信息，刷卡地点，树形编码</t>
  </si>
  <si>
    <t>门禁点编号</t>
  </si>
  <si>
    <t>门禁地点编号</t>
  </si>
  <si>
    <t>门禁点编号（唯一码）</t>
  </si>
  <si>
    <t>门禁地点名称</t>
  </si>
  <si>
    <t>门禁点名称</t>
  </si>
  <si>
    <t>门禁点描述</t>
  </si>
  <si>
    <t>门门禁地点描述</t>
  </si>
  <si>
    <t>DES</t>
  </si>
  <si>
    <t>校区ID</t>
  </si>
  <si>
    <t>所在校区</t>
  </si>
  <si>
    <t>XQ_ID</t>
  </si>
  <si>
    <t>HQ_YKT_SCH_DEVICE</t>
  </si>
  <si>
    <t>设备编号</t>
  </si>
  <si>
    <t>门禁设备编号</t>
  </si>
  <si>
    <t>设备名称</t>
  </si>
  <si>
    <t>门禁设备名称</t>
  </si>
  <si>
    <t>门禁设备IP</t>
  </si>
  <si>
    <t>IP</t>
  </si>
  <si>
    <t>门禁设备使用的IP地址</t>
  </si>
  <si>
    <t>门禁设备端口</t>
  </si>
  <si>
    <t>PORT</t>
  </si>
  <si>
    <t>门禁设备使用的端口</t>
  </si>
  <si>
    <t>设备地址</t>
  </si>
  <si>
    <t>门禁设备地址</t>
  </si>
  <si>
    <t>门禁设备位于的地址</t>
  </si>
  <si>
    <t>隶属门禁点ID</t>
  </si>
  <si>
    <t>设备所属门禁点</t>
  </si>
  <si>
    <t>DEVPLACE_ID</t>
  </si>
  <si>
    <t>门禁设备隶属的门禁点ID</t>
  </si>
  <si>
    <t>HQ_YKT_SCH_DEVREADER</t>
  </si>
  <si>
    <t>正常情况下一个门禁设备有一个或多个读卡器</t>
  </si>
  <si>
    <t>读卡器编号</t>
  </si>
  <si>
    <t>编号号（终端编号，唯一号）</t>
  </si>
  <si>
    <t>读卡器名称</t>
  </si>
  <si>
    <t>所属设备ID</t>
  </si>
  <si>
    <t>DEVICE_ID</t>
  </si>
  <si>
    <t>隶属设备ID</t>
  </si>
  <si>
    <t>使用类型</t>
  </si>
  <si>
    <t>USE_TYPE_CODE</t>
  </si>
  <si>
    <t>1：人脸，2：IC卡，3：指纹</t>
  </si>
  <si>
    <t>HQ_YKT_SCH_RKE</t>
  </si>
  <si>
    <t>门禁刷卡时间</t>
  </si>
  <si>
    <t>设备地址描述</t>
  </si>
  <si>
    <t>设备的详细地址（便于信息查看，例：东门出校1号闸机）
注：不是设备的名称</t>
  </si>
  <si>
    <t>设备ID</t>
  </si>
  <si>
    <t>lq_ykt_sch_device设备表的ID</t>
  </si>
  <si>
    <t>刷卡类型</t>
  </si>
  <si>
    <t>RKE_TYPE_CODE</t>
  </si>
  <si>
    <t>1：人脸识别；2：校园卡；3：指纹</t>
  </si>
  <si>
    <t>支付宝卡信息</t>
  </si>
  <si>
    <t>HQ_YKT_ALIPAY_CARD</t>
  </si>
  <si>
    <t>支付宝卡信息录</t>
  </si>
  <si>
    <t xml:space="preserve">"1：正常， 3：挂失， 4：冻结， 5：
灰色， 6：停用 ， 99未发卡， -1已注销"
</t>
  </si>
  <si>
    <t>卡余额</t>
  </si>
  <si>
    <t>图书馆门禁记录</t>
  </si>
  <si>
    <t>HQ_TS_RKE</t>
  </si>
  <si>
    <t>图书图书基本信息</t>
  </si>
  <si>
    <t>HQ_TS_BOOK</t>
  </si>
  <si>
    <t>图书标识</t>
  </si>
  <si>
    <t>图书名称</t>
  </si>
  <si>
    <t>ISBN</t>
  </si>
  <si>
    <t>出版社</t>
  </si>
  <si>
    <t>PRESS</t>
  </si>
  <si>
    <t>出版日期</t>
  </si>
  <si>
    <t>BIRTH_DATE</t>
  </si>
  <si>
    <t>主编人</t>
  </si>
  <si>
    <t>WRITER</t>
  </si>
  <si>
    <t>图书价格</t>
  </si>
  <si>
    <t>PRICE</t>
  </si>
  <si>
    <t>NUMBER(8,2)</t>
  </si>
  <si>
    <t>馆藏代码CODE</t>
  </si>
  <si>
    <t>图书馆藏代码</t>
  </si>
  <si>
    <t>BOOK_STORE_CODE</t>
  </si>
  <si>
    <t>图书馆藏地代码，根据校标制定；</t>
  </si>
  <si>
    <t>select * from data_hq.HQ_CODE t where t.group_type = 'BOOK_STORE_CODE';</t>
  </si>
  <si>
    <t>图书状态CODE</t>
  </si>
  <si>
    <t>图书状态</t>
  </si>
  <si>
    <t>BOOK_STATE_CODE</t>
  </si>
  <si>
    <t>采用国标图书期刊状态码，如下：1：在借、2：在库、3：挂失、4：残缺、5：报废、6：已订未到货、7：待编目、9：其他</t>
  </si>
  <si>
    <t xml:space="preserve">
select * from data_hq.HQ_CODE t where t.group_type = 'BOOK_STATE_CODE';</t>
  </si>
  <si>
    <t>分类CODE</t>
  </si>
  <si>
    <t>图书分类</t>
  </si>
  <si>
    <t>BOOK_CATEGORY_CODE</t>
  </si>
  <si>
    <t>采用中国图书馆图书分类法http://www.clcindex.com
如A	马克思主义、列宁主义、毛泽东思想、邓小平理论
B	哲学、宗教
C	社会科学总论
D	政治、法律
E	军事
F	经济
G	文化、科学、教育、体育
H	语言、文字
I	文学
J	艺术
K	历史、地理
N	自然科学总论
O	数理科学和化学
P	天文学、地球科学
Q	生物科学
R	医药、卫生
S	农业科学
T	工业技术
U	交通运输
V	航空、航天
X	环境科学、安全科学
Z	综合性图书</t>
  </si>
  <si>
    <t xml:space="preserve">
select * from data_hq.HQ_CODE t where t.group_type = 'BOOK_CATEGORY_CODE';</t>
  </si>
  <si>
    <t>文献类型CODE</t>
  </si>
  <si>
    <t>文献类型</t>
  </si>
  <si>
    <t>BOOK_DOCUMENT_TYPE_CODE</t>
  </si>
  <si>
    <t>1	中文图书
2	中文期刊
3	电子图书
4	电子期刊
5	其他</t>
  </si>
  <si>
    <t xml:space="preserve">
select * from data_hq.HQ_CODE t where t.group_type = 'BOOK_DOCUMENT_TYPE_CODE';</t>
  </si>
  <si>
    <t>大小</t>
  </si>
  <si>
    <t>BOOK_SIZE</t>
  </si>
  <si>
    <t>纸质的页数，电子书的容量大小</t>
  </si>
  <si>
    <t>number(8)</t>
  </si>
  <si>
    <t>语言CODE</t>
  </si>
  <si>
    <t>图书语言类型</t>
  </si>
  <si>
    <t>BOOK_LANGUAGE_CODE</t>
  </si>
  <si>
    <t>1	中文书籍
2	外文书籍</t>
  </si>
  <si>
    <t xml:space="preserve">
select * from data_hq.HQ_CODE t where t.group_type = 'BOOK_LANGUAGE_CODE';</t>
  </si>
  <si>
    <t>入馆日期</t>
  </si>
  <si>
    <t>STORE_DATE</t>
  </si>
  <si>
    <t>入馆年份</t>
  </si>
  <si>
    <t>STORE_YEAR</t>
  </si>
  <si>
    <t>为提高性能，添加入馆年份有入馆日期解析处理yyyy</t>
  </si>
  <si>
    <t>VARCHAR2(4)</t>
  </si>
  <si>
    <t>图书图书借阅基本信息</t>
  </si>
  <si>
    <t>HQ_TS_BOOK_BORROW</t>
  </si>
  <si>
    <t>被借图书</t>
  </si>
  <si>
    <t>BOOK_ID</t>
  </si>
  <si>
    <t>读者标识</t>
  </si>
  <si>
    <t>READER_ID</t>
  </si>
  <si>
    <t>HQ_TS_BOOK_READER</t>
  </si>
  <si>
    <t>借书时间</t>
  </si>
  <si>
    <t>BORROW_TIME</t>
  </si>
  <si>
    <t>应还时间</t>
  </si>
  <si>
    <t>SHOULD_RETURN_TIME</t>
  </si>
  <si>
    <t>实还时间</t>
  </si>
  <si>
    <t>RETURN_TIME</t>
  </si>
  <si>
    <t>续借日期</t>
  </si>
  <si>
    <t>RENEW_TIME</t>
  </si>
  <si>
    <t>续借次数</t>
  </si>
  <si>
    <t>RENEW_TIMES</t>
  </si>
  <si>
    <t>超期时间</t>
  </si>
  <si>
    <t>OUTOFDATE_TIME</t>
  </si>
  <si>
    <t>宿舍楼基本信息表</t>
  </si>
  <si>
    <t>HQ_ZZJG_SS_SSL</t>
  </si>
  <si>
    <t>后勤处</t>
  </si>
  <si>
    <t>宿舍楼代码</t>
  </si>
  <si>
    <t>宿舍楼名称</t>
  </si>
  <si>
    <t>所属校区</t>
  </si>
  <si>
    <t>宿舍楼建立年月</t>
  </si>
  <si>
    <t>SSL_CREATE_YEAR_MONTH</t>
  </si>
  <si>
    <t>例：1990-01</t>
  </si>
  <si>
    <t>VARCHAR2(7)</t>
  </si>
  <si>
    <t>楼层数</t>
  </si>
  <si>
    <t>FLOORS</t>
  </si>
  <si>
    <t>宿舍楼共多少层</t>
  </si>
  <si>
    <t>NUMBER(3)</t>
  </si>
  <si>
    <t>房间数</t>
  </si>
  <si>
    <t>ROOMS</t>
  </si>
  <si>
    <t>宿舍楼共多少房间</t>
  </si>
  <si>
    <t>NUMBER(5)</t>
  </si>
  <si>
    <t>入住性别</t>
  </si>
  <si>
    <t>RZ_SEX</t>
  </si>
  <si>
    <t>(男：1|女：2|混合：3)</t>
  </si>
  <si>
    <t>宿舍楼-管理员表</t>
  </si>
  <si>
    <t>HQ_ZZJG_SS_SSL_GLY</t>
  </si>
  <si>
    <t>宿舍楼管理员信息</t>
  </si>
  <si>
    <t>宿舍楼ID</t>
  </si>
  <si>
    <t>宿舍楼</t>
  </si>
  <si>
    <t>SSL_ID</t>
  </si>
  <si>
    <t>管理员姓名</t>
  </si>
  <si>
    <t>GLY_NAME</t>
  </si>
  <si>
    <t>管理员工号</t>
  </si>
  <si>
    <t>GLY_NO</t>
  </si>
  <si>
    <t>宿舍-楼层信息表</t>
  </si>
  <si>
    <t>HQ_ZZJG_SS_LC</t>
  </si>
  <si>
    <t>宿舍-楼层基本信息【2021-09-24新增】</t>
  </si>
  <si>
    <t>楼层代码</t>
  </si>
  <si>
    <t>楼层名称</t>
  </si>
  <si>
    <t>所属宿舍楼</t>
  </si>
  <si>
    <t>入住性别代码</t>
  </si>
  <si>
    <t>RZ_SEX_CODE</t>
  </si>
  <si>
    <t>男：1|女：2</t>
  </si>
  <si>
    <t>SELECT * FROM HQ_CODE WHERE GROUP_TYPE = 'SEX_CODE'</t>
  </si>
  <si>
    <t>宿舍基本信息表</t>
  </si>
  <si>
    <t>HQ_ZZJG_SS_SS</t>
  </si>
  <si>
    <t>宿舍房间代码</t>
  </si>
  <si>
    <t>宿舍房间名称</t>
  </si>
  <si>
    <t>楼层ID</t>
  </si>
  <si>
    <t>所在楼层</t>
  </si>
  <si>
    <t>LC_ID</t>
  </si>
  <si>
    <t>是否</t>
  </si>
  <si>
    <t>FLOOR</t>
  </si>
  <si>
    <t>宿舍房间所在楼层</t>
  </si>
  <si>
    <t>SELECT * FROM HQ_CODE 
WHERE GROUP_TYPE = 'SEX_CODE'</t>
  </si>
  <si>
    <t>可住人数</t>
  </si>
  <si>
    <t>KZRS</t>
  </si>
  <si>
    <t>电话端口</t>
  </si>
  <si>
    <t>PHONE_PORT</t>
  </si>
  <si>
    <t>电话号码</t>
  </si>
  <si>
    <t>DHHM</t>
  </si>
  <si>
    <t>水表底数</t>
  </si>
  <si>
    <t>SBDS</t>
  </si>
  <si>
    <t>电表底数</t>
  </si>
  <si>
    <t>DBDS</t>
  </si>
  <si>
    <t>网络端口</t>
  </si>
  <si>
    <t>NETWORK_PORT</t>
  </si>
  <si>
    <t>宿舍床位基本信息表</t>
  </si>
  <si>
    <t>HQ_ZZJG_SS_BED</t>
  </si>
  <si>
    <t>宿舍床位基本信息【2021-09-24新增】</t>
  </si>
  <si>
    <t>床位代码</t>
  </si>
  <si>
    <t>床位名称</t>
  </si>
  <si>
    <t>房间ID</t>
  </si>
  <si>
    <t>所属房间</t>
  </si>
  <si>
    <t>SS_ID</t>
  </si>
  <si>
    <t>HQ_RS_CERTIFICATE</t>
  </si>
  <si>
    <t>人事处</t>
  </si>
  <si>
    <t>教师部门ID</t>
  </si>
  <si>
    <t>教师所在部门</t>
  </si>
  <si>
    <t>工号</t>
  </si>
  <si>
    <t>教师工号</t>
  </si>
  <si>
    <t>证书名称</t>
  </si>
  <si>
    <t>证书类型CODE</t>
  </si>
  <si>
    <t>证书类型</t>
  </si>
  <si>
    <t>CERTIFICATE_TEA_CODE</t>
  </si>
  <si>
    <t>1 教学类，2 工人技术类，3 培训类，9 其他，</t>
  </si>
  <si>
    <t>SELECT * FROM HQ_CODE 
WHERE GROUP_TYPE = 'CERTIFICATE_TEA_CODE'</t>
  </si>
  <si>
    <t>证书级别CODE</t>
  </si>
  <si>
    <t>证书级别</t>
  </si>
  <si>
    <t>CERTIFICATE_TEA_LEVEL_CODE</t>
  </si>
  <si>
    <t>1 高级，2 中级，3 初级，9 其他，</t>
  </si>
  <si>
    <t>SELECT * FROM HQ_CODE 
WHERE GROUP_TYPE = 'CERTIFICATE_TEA_LEVEL_CODE'</t>
  </si>
  <si>
    <t>获取年月</t>
  </si>
  <si>
    <t>YEAR_MONTH</t>
  </si>
  <si>
    <t>证书编码</t>
  </si>
  <si>
    <t>CERTIFICATE_NO</t>
  </si>
  <si>
    <t>证书对应学科领域</t>
  </si>
  <si>
    <t>CERTIFICATE_SUBJECT_AREA</t>
  </si>
  <si>
    <t>发证单位名称</t>
  </si>
  <si>
    <t>FZDW_NAME</t>
  </si>
  <si>
    <t>教师参赛获奖信息表</t>
  </si>
  <si>
    <t>HQ_RS_COMPETITION_AWARD</t>
  </si>
  <si>
    <t>比赛名称</t>
  </si>
  <si>
    <t>赛事名称</t>
  </si>
  <si>
    <t>COMPE_NAME</t>
  </si>
  <si>
    <t>比赛类型CODE</t>
  </si>
  <si>
    <t>赛事比赛类型</t>
  </si>
  <si>
    <t>COMPE_TEA_TYPE_CODE</t>
  </si>
  <si>
    <t>1：技能大赛；2：辅导员素质大赛；99：其他比赛</t>
  </si>
  <si>
    <t>SELECT * FROM HQ_CODE 
WHERE GROUP_TYPE = 'COMPE_TYPE_CODE'</t>
  </si>
  <si>
    <t>COMPE_TYPE_CODE</t>
  </si>
  <si>
    <t>比赛级别CODE</t>
  </si>
  <si>
    <t>赛事比赛级别</t>
  </si>
  <si>
    <t>COMPE_TEA_LEVEL_CODE</t>
  </si>
  <si>
    <t>1 国家级，2 省部级，3 市厅局级，4 院/校级，9 其他</t>
  </si>
  <si>
    <t>SELECT * FROM HQ_CODE 
WHERE GROUP_TYPE = 'COMPE_TEA_LEVEL_CODE'</t>
  </si>
  <si>
    <t>比赛级别分类CODE</t>
  </si>
  <si>
    <t>赛事比赛级别分类</t>
  </si>
  <si>
    <t>COMPE_TEA_LEVEL_TYPE_CODE</t>
  </si>
  <si>
    <t>1：一类；2：二类；9：其他</t>
  </si>
  <si>
    <t>参赛年月</t>
  </si>
  <si>
    <t>COMPE_YEAR_MONTH</t>
  </si>
  <si>
    <t>奖项名称</t>
  </si>
  <si>
    <t>赛事奖项名称</t>
  </si>
  <si>
    <t>COMPE_AWARD_MC</t>
  </si>
  <si>
    <t>奖项等级CODE</t>
  </si>
  <si>
    <t>赛事奖项等级</t>
  </si>
  <si>
    <t>COMPE_TEA_AWARD_GRADE_CODE</t>
  </si>
  <si>
    <t>11：一等奖；12：二等奖；13：三等奖；21：冠军；22：亚军；23：季军；31：第一名；32：第二名；33：第三名；99：其他</t>
  </si>
  <si>
    <t>SELECT * FROM HQ_CODE 
WHERE GROUP_TYPE = 'COMPE_TEA_AWARD_GRADE_CODE'</t>
  </si>
  <si>
    <t>获奖年月</t>
  </si>
  <si>
    <t>AWARD_YEAR_MONTH</t>
  </si>
  <si>
    <t>编号</t>
  </si>
  <si>
    <t>BH</t>
  </si>
  <si>
    <t>学校用来唯一标识这个奖项的编号</t>
  </si>
  <si>
    <t>教师参赛成员表</t>
  </si>
  <si>
    <t>HQ_RS_COMPETITION_AWARD_CY</t>
  </si>
  <si>
    <t>比赛ID</t>
  </si>
  <si>
    <t>赛事</t>
  </si>
  <si>
    <t>COMPE_ID</t>
  </si>
  <si>
    <t>参赛教师所在部门</t>
  </si>
  <si>
    <t>参赛教师工号</t>
  </si>
  <si>
    <t>参赛教师姓名</t>
  </si>
  <si>
    <t>1/2/3……</t>
  </si>
  <si>
    <t>行政参赛获奖表</t>
  </si>
  <si>
    <t>HQ_RS_AWARD</t>
  </si>
  <si>
    <t>行政参赛获奖信息</t>
  </si>
  <si>
    <t>获奖名称</t>
  </si>
  <si>
    <t>奖项类型CODE</t>
  </si>
  <si>
    <t>赛事奖项类型</t>
  </si>
  <si>
    <t>AWARD_TEA_TYPE_CODE</t>
  </si>
  <si>
    <t>1 行政性获奖，2 教学类获奖，3 科研类获奖，4 教研成果获奖，9 其他</t>
  </si>
  <si>
    <t>SELECT * FROM HQ_CODE 
WHERE GROUP_TYPE = 'AWARD_TEA_TYPE_CODE'</t>
  </si>
  <si>
    <t>奖项级别CODE</t>
  </si>
  <si>
    <t>赛事奖项级别</t>
  </si>
  <si>
    <t>AWARD_TEA_LEVEL_CODE</t>
  </si>
  <si>
    <t>SELECT * FROM HQ_CODE 
WHERE GROUP_TYPE = 'AWARD_TEA_LEVEL_CODE'</t>
  </si>
  <si>
    <t>赛事获取年月</t>
  </si>
  <si>
    <t>培训进修记录表</t>
  </si>
  <si>
    <t>HQ_RS_TRAIN</t>
  </si>
  <si>
    <t>培训进修类型CODE</t>
  </si>
  <si>
    <t>培训进修类型</t>
  </si>
  <si>
    <t>TRAIN_TYPE_CODE</t>
  </si>
  <si>
    <t>1 培训，2 进修，</t>
  </si>
  <si>
    <t>SELECT * FROM HQ_CODE 
WHERE GROUP_TYPE = 'TRAIN_TYPE_CODE'</t>
  </si>
  <si>
    <t>例：1990-01-01</t>
  </si>
  <si>
    <t>天数</t>
  </si>
  <si>
    <t>NUMBER(10,1)</t>
  </si>
  <si>
    <t>内容</t>
  </si>
  <si>
    <t>CONTENT</t>
  </si>
  <si>
    <t>VARCHAR2(500)</t>
  </si>
  <si>
    <t>是校内培训</t>
  </si>
  <si>
    <t>IS_IN_SCHOOL</t>
  </si>
  <si>
    <t>1.校内；0.校外</t>
  </si>
  <si>
    <t>培训学时</t>
  </si>
  <si>
    <t>PERIOD</t>
  </si>
  <si>
    <t>学习方式</t>
  </si>
  <si>
    <t>TEA_STUDY_WAY_CODE</t>
  </si>
  <si>
    <t>GB/T 14946.1-2009 学习方式
1全脱产（离岗）、2半脱产（半离岗）、3脱产（离岗）</t>
  </si>
  <si>
    <t>培训结果</t>
  </si>
  <si>
    <t>TEA_TRAIN_RESULT_CODE</t>
  </si>
  <si>
    <t>GB/T 14946.1-2009 教育培训结果
1毕业、2结业、3未结业、4肄业</t>
  </si>
  <si>
    <t>培训类型</t>
  </si>
  <si>
    <t>TEA_TRAIN_TYPE_CODE</t>
  </si>
  <si>
    <t>1.国培；2.省培；3.业务培训；4.新进教师培训；99.其他……（校标）</t>
  </si>
  <si>
    <t>组织单位名称</t>
  </si>
  <si>
    <t>ORG_NAME</t>
  </si>
  <si>
    <t>培训机构名称</t>
  </si>
  <si>
    <t>TRAIN_INSTITUTION_NAME</t>
  </si>
  <si>
    <t>增加学分</t>
  </si>
  <si>
    <t>CREDIT</t>
  </si>
  <si>
    <t>NUMBER(4,2)</t>
  </si>
  <si>
    <t>增加培训分类</t>
  </si>
  <si>
    <t>TRAIN_CLASSIFY_CODE</t>
  </si>
  <si>
    <t>HQ_RS_EXERCISE</t>
  </si>
  <si>
    <t>实践学时</t>
  </si>
  <si>
    <t>实践级别</t>
  </si>
  <si>
    <t>EXERCISE_LEVEL_CODE</t>
  </si>
  <si>
    <t>JY/T 1001 教育管理基础代码 SHSJDJ 社会实践等级
1：校级及以上；2：院系级及以下</t>
  </si>
  <si>
    <t>实践类型</t>
  </si>
  <si>
    <t>EXERCISE_TYPE_CODE</t>
  </si>
  <si>
    <t>JY/T 1001 教育管理基础代码 SHSJLX 社会实践类型
01科学技术研发、02信息技术、03技术改造……</t>
  </si>
  <si>
    <t>实践单位</t>
  </si>
  <si>
    <t>实践单位性质</t>
  </si>
  <si>
    <t>实践项目</t>
  </si>
  <si>
    <t>PROJECT</t>
  </si>
  <si>
    <t>实践成果</t>
  </si>
  <si>
    <t>ACHIEVEMENT</t>
  </si>
  <si>
    <t>HQ_RS_WORKOUT</t>
  </si>
  <si>
    <t>HQ_RS_WORK_EXPERIENCE</t>
  </si>
  <si>
    <t>个人工作经历表</t>
  </si>
  <si>
    <t>职务名称</t>
  </si>
  <si>
    <t>ZW_NAME</t>
  </si>
  <si>
    <t>专业技术职务级别</t>
  </si>
  <si>
    <t>专业技术职务</t>
  </si>
  <si>
    <t>ZYJSZW_ID</t>
  </si>
  <si>
    <t>如：教授、副教授、高级实验师、实验师、经济师、助理经济师……（同教师专业技术职务）</t>
  </si>
  <si>
    <t>HQ_CODE_ZYJSZW</t>
  </si>
  <si>
    <t>工作单位名称</t>
  </si>
  <si>
    <t>工作单位性质</t>
  </si>
  <si>
    <t>工作内容</t>
  </si>
  <si>
    <t>证明人</t>
  </si>
  <si>
    <t>REFERENCE</t>
  </si>
  <si>
    <t>学历性质</t>
  </si>
  <si>
    <t>EDU_NATURE_CODE</t>
  </si>
  <si>
    <t>HQ_RS_JXMS</t>
  </si>
  <si>
    <t>名师类型CODE</t>
  </si>
  <si>
    <t>名师类型</t>
  </si>
  <si>
    <t>JXMS_TYPE_CODE</t>
  </si>
  <si>
    <t>1：教学名师；2：技能名师/教学能手；3：青年技能名师；4：首席技师；5：优秀教师；6：教书育人楷模；7：突出贡献技师；99：其他</t>
  </si>
  <si>
    <t>名师级别CODE</t>
  </si>
  <si>
    <t>名师级别</t>
  </si>
  <si>
    <t>JXMS_LEVEL_CODE</t>
  </si>
  <si>
    <t>认定年</t>
  </si>
  <si>
    <t>名师认定年份</t>
  </si>
  <si>
    <t>教师所属部门</t>
  </si>
  <si>
    <t>教师NO</t>
  </si>
  <si>
    <t>教师MC</t>
  </si>
  <si>
    <t>教师名称</t>
  </si>
  <si>
    <t>是否高层次人员</t>
  </si>
  <si>
    <t>IS_HIGH_LEVEL</t>
  </si>
  <si>
    <t>HQ_RS_JXMS_TEAM</t>
  </si>
  <si>
    <t>名师团队类型</t>
  </si>
  <si>
    <t>JXMS_TEAM_TYPE_CODE</t>
  </si>
  <si>
    <t>名师团队级别</t>
  </si>
  <si>
    <t>JXMS_TEAM_LEVEL_CODE</t>
  </si>
  <si>
    <t>获得/获奖日期</t>
  </si>
  <si>
    <t>取得日期</t>
  </si>
  <si>
    <t>GET_DATE</t>
  </si>
  <si>
    <t>成立日期</t>
  </si>
  <si>
    <t>SETUP_DATE</t>
  </si>
  <si>
    <t>主持人姓名</t>
  </si>
  <si>
    <t>FZR_NAME</t>
  </si>
  <si>
    <t>主持人工号</t>
  </si>
  <si>
    <t>FZR_NO</t>
  </si>
  <si>
    <t>HQ_RS_JXMS_TEAM_CY</t>
  </si>
  <si>
    <t>名师团队ID</t>
  </si>
  <si>
    <t>名师团队</t>
  </si>
  <si>
    <t>JXMS_TEAM_ID</t>
  </si>
  <si>
    <t>成员工号</t>
  </si>
  <si>
    <t>成员姓名</t>
  </si>
  <si>
    <t>PERSON_TYPE_CODE</t>
  </si>
  <si>
    <t>成员岗位名称</t>
  </si>
  <si>
    <t>GW_NAME</t>
  </si>
  <si>
    <t>序号</t>
  </si>
  <si>
    <t>HQ_JX_TEXTBOOK</t>
  </si>
  <si>
    <t>所属单位ID</t>
  </si>
  <si>
    <t>所属单位</t>
  </si>
  <si>
    <t>教材类型CODE</t>
  </si>
  <si>
    <t>教材类型</t>
  </si>
  <si>
    <t>TEXTBOOK_TYPE_CODE</t>
  </si>
  <si>
    <t>1：公开出版教材；2：省级以上立项教材；3：教材/实验指导书；4：校本教材；9：其他</t>
  </si>
  <si>
    <t>教材MC</t>
  </si>
  <si>
    <t>教材名称</t>
  </si>
  <si>
    <t>获奖分类CODE</t>
  </si>
  <si>
    <t>获奖分类</t>
  </si>
  <si>
    <t>TEXTBOOK_AWARD_TYPE_CODE</t>
  </si>
  <si>
    <t>1：教育部五年规划教材和教育部高等学校优秀教材奖；2：中国大学出版社优秀教材奖；3：省教育厅或省人社厅名义组织的教材奖；4：省教育厅或省人社厅的职能处室、省委教育工委、教育部高职高专各专业教学指导委员会、中国高等教育学会、中国职业技术教育学会主持评定并以其名义颁发的教材奖；5：高等教育学会、省教育学会、省职业技术教育学会、省高等教育人才研究会、省职业教育各专业教学指导委员会的名义评定教材奖；9：其他</t>
  </si>
  <si>
    <t>SELECT * FROM HQ_CODE WHERE GROUP_TYPE = 'TEXTBOOK_AWARD_TYPE_CODE'</t>
  </si>
  <si>
    <t>获奖级别CODE</t>
  </si>
  <si>
    <t>教材获奖级别</t>
  </si>
  <si>
    <t>TEXTBOOK_AWARD_LEVEL_CODE</t>
  </si>
  <si>
    <t>SELECT * FROM HQ_CODE WHERE GROUP_TYPE = 'TEXTBOOK_AWARD_LEVEL_CODE'</t>
  </si>
  <si>
    <t>获奖等级CODE</t>
  </si>
  <si>
    <t>教材获奖等级</t>
  </si>
  <si>
    <t>TEXTBOOK_AWARD_GRAND_CODE</t>
  </si>
  <si>
    <t>SELECT * FROM HQ_CODE WHERE GROUP_TYPE = 'TEXTBOOK_AWARD_GRAND_CODE'</t>
  </si>
  <si>
    <t>出版年月</t>
  </si>
  <si>
    <t>PUBLISH_YEAR_MONTH</t>
  </si>
  <si>
    <t>是否校内使用</t>
  </si>
  <si>
    <t>IS_SCHOOL_USED</t>
  </si>
  <si>
    <t>主编NO</t>
  </si>
  <si>
    <t>主编工号</t>
  </si>
  <si>
    <t>ZB_TEA_NO</t>
  </si>
  <si>
    <t>主编MC</t>
  </si>
  <si>
    <t>主编名称</t>
  </si>
  <si>
    <t>ZB_NAME</t>
  </si>
  <si>
    <t>主编是否编写</t>
  </si>
  <si>
    <t>IS_WRITE</t>
  </si>
  <si>
    <t>副主编NO</t>
  </si>
  <si>
    <t>副主编工号</t>
  </si>
  <si>
    <t>FZB_TEA_NO</t>
  </si>
  <si>
    <t>副主编MC</t>
  </si>
  <si>
    <t>副主编名称</t>
  </si>
  <si>
    <t>FZB_NAME</t>
  </si>
  <si>
    <t>副主编是否编写</t>
  </si>
  <si>
    <t>IS_FZB_WRITE</t>
  </si>
  <si>
    <t>是否校企合作开发</t>
  </si>
  <si>
    <t>IS_XQHZ</t>
  </si>
  <si>
    <t>HQ_JX_XQHZ_COMPANY</t>
  </si>
  <si>
    <t>企业校内名称</t>
  </si>
  <si>
    <t>企业识别号</t>
  </si>
  <si>
    <t>出版教材参编人员表</t>
  </si>
  <si>
    <t>HQ_JX_TEXTBOOK_CY</t>
  </si>
  <si>
    <t>出版教材ID</t>
  </si>
  <si>
    <t>出版教材</t>
  </si>
  <si>
    <t>TEXTBOOK_ID</t>
  </si>
  <si>
    <t>参编教师所属部门</t>
  </si>
  <si>
    <t>参编教师工号</t>
  </si>
  <si>
    <t>参编教师姓名</t>
  </si>
  <si>
    <t>是否编写</t>
  </si>
  <si>
    <t>顺序</t>
  </si>
  <si>
    <t>出版教材支撑课程表</t>
  </si>
  <si>
    <t>HQ_JX_TEXTBOOK_COURSE</t>
  </si>
  <si>
    <t>支撑课程DM</t>
  </si>
  <si>
    <t>教材支撑的课程代码</t>
  </si>
  <si>
    <t>教师国境外访学</t>
  </si>
  <si>
    <t>HQ_RS_ACADEMIC_VISIT</t>
  </si>
  <si>
    <t>访学项目</t>
  </si>
  <si>
    <t>PROJECT_NAME</t>
  </si>
  <si>
    <t>访学国家</t>
  </si>
  <si>
    <t>COUNTRY_NAME</t>
  </si>
  <si>
    <t>学校/企业</t>
  </si>
  <si>
    <t>访学学校或访学企业</t>
  </si>
  <si>
    <t>UNION_UNIT</t>
  </si>
  <si>
    <t>访学人员工号</t>
  </si>
  <si>
    <t>论文信息表</t>
  </si>
  <si>
    <t>HQ_KY_LW</t>
  </si>
  <si>
    <t>科研处</t>
  </si>
  <si>
    <t>论文类型CODE</t>
  </si>
  <si>
    <t>论文类型</t>
  </si>
  <si>
    <t>KY_LW_TYPE_CODE</t>
  </si>
  <si>
    <t>1（EI/SCI等国际论文），2（国内权威论文），3（国内一般核心论文），9（一般论文）</t>
  </si>
  <si>
    <t>SELECT * FROM HQ_CODE 
WHERE GROUP_TYPE = 'KY_LW_TYPE'</t>
  </si>
  <si>
    <t>论文类别CODE</t>
  </si>
  <si>
    <t>论文类别</t>
  </si>
  <si>
    <t>KY_LW_CATEGORY_CODE</t>
  </si>
  <si>
    <t>(A、B、C、D、E类)</t>
  </si>
  <si>
    <t>SELECT * FROM HQ_CODE 
WHERE GROUP_TYPE = 'KY_LW_CATEGORY'</t>
  </si>
  <si>
    <t>题目</t>
  </si>
  <si>
    <t>论文题目</t>
  </si>
  <si>
    <t>发表日期</t>
  </si>
  <si>
    <t>期刊名称</t>
  </si>
  <si>
    <t>QK_NAME</t>
  </si>
  <si>
    <t>期/卷号</t>
  </si>
  <si>
    <t>QKH</t>
  </si>
  <si>
    <t>字数（万）</t>
  </si>
  <si>
    <t>WORD_COUNT</t>
  </si>
  <si>
    <t>NUMBER(10,4)</t>
  </si>
  <si>
    <t>CN号</t>
  </si>
  <si>
    <t>CN_MARK</t>
  </si>
  <si>
    <t>ISSN号</t>
  </si>
  <si>
    <t>ISSN_MARK</t>
  </si>
  <si>
    <t>ISBN号</t>
  </si>
  <si>
    <t>ISBN_MARK</t>
  </si>
  <si>
    <t>页码</t>
  </si>
  <si>
    <t>PAGES</t>
  </si>
  <si>
    <t>科研分</t>
  </si>
  <si>
    <t>简介</t>
  </si>
  <si>
    <t>SYNOPSIS</t>
  </si>
  <si>
    <t>VARCHAR2(1000)</t>
  </si>
  <si>
    <t>论文作者信息表</t>
  </si>
  <si>
    <t>HQ_KY_LW_CY</t>
  </si>
  <si>
    <t>论文ID</t>
  </si>
  <si>
    <t>论文编号</t>
  </si>
  <si>
    <t>LW_ID</t>
  </si>
  <si>
    <t>成员类型CODE</t>
  </si>
  <si>
    <t>1（校内教师），2（校外人员），3（校内学生），4（机构/单位）</t>
  </si>
  <si>
    <t>SELECT * FROM HQ_CODE 
WHERE GROUP_TYPE = 'PERSON_TYPE_CODE'</t>
  </si>
  <si>
    <t>论文作者所属部门</t>
  </si>
  <si>
    <t>作者工号</t>
  </si>
  <si>
    <t>如果成员类型是教师，则是教师工号</t>
  </si>
  <si>
    <t>作者名称</t>
  </si>
  <si>
    <t>如果成员类型是校外人员或者机构单位，则填写 人员或单位的名称；如果是老师或学生，则写老师或学生的名称</t>
  </si>
  <si>
    <t>作者学号</t>
  </si>
  <si>
    <t>如果成员类型是学生，则填写学生学号</t>
  </si>
  <si>
    <t>论文转载信息表</t>
  </si>
  <si>
    <t>HQ_KY_LW_ZZ</t>
  </si>
  <si>
    <t>论文名称</t>
  </si>
  <si>
    <t>转载方</t>
  </si>
  <si>
    <t>REPRINT_USER</t>
  </si>
  <si>
    <t>被某个机构、期刊或个人 转载</t>
  </si>
  <si>
    <t>转载时间</t>
  </si>
  <si>
    <t>REPRINT_TIME</t>
  </si>
  <si>
    <t>yyyy-mm-dd hh24:mi:ss 如：2019-06-18 11:24:23</t>
  </si>
  <si>
    <t>转载用途</t>
  </si>
  <si>
    <t>REPRINT_USE</t>
  </si>
  <si>
    <t>商业或者学术或者杂志等用途描述</t>
  </si>
  <si>
    <t>论文收录信息表</t>
  </si>
  <si>
    <t>HQ_KY_LW_SL</t>
  </si>
  <si>
    <t>期刊类型CODE</t>
  </si>
  <si>
    <t>期刊类型</t>
  </si>
  <si>
    <t>KY_QK_TYPE_CODE</t>
  </si>
  <si>
    <t>1（EI），2（SCI），3（SCIE），4（CSSCI），5（核心期刊），6（EI会议），7（ISTP），8（国外期刊），9（其他）</t>
  </si>
  <si>
    <t>SELECT * FROM HQ_CODE 
WHERE GROUP_TYPE = 'KY_QK_TYPE_CODE
'</t>
  </si>
  <si>
    <t>纵向项目表</t>
  </si>
  <si>
    <t>HQ_KY_XM_ZX</t>
  </si>
  <si>
    <t>立项编号</t>
  </si>
  <si>
    <t>项目名称</t>
  </si>
  <si>
    <t>项目所属单位</t>
  </si>
  <si>
    <t>项目来源CODE</t>
  </si>
  <si>
    <t>项目来源</t>
  </si>
  <si>
    <t>KY_XM_SOURCE_CODE</t>
  </si>
  <si>
    <t>101：国家社科基金项目；102：国家自然科学基金项目；103：国家重点基础研究发展计划；104：国家科技攻关项目；105：国家高技术研究发展计划；106：全国教育科学规划项目；107：全国艺术科学规划项目；108：国家星火计划项目；109：国家语委科研项目；110：传统文化与经济社会发展专项课题
201：教育部人文社会科学研究项目；202：教育部科学技术研究项目；203：教育部中青年骨干教师资助计划；204：科技部软科学项目；261：部分专业对口的中央各部委项目
301：省人文社科研究规划项目；302：省自然科学基金项目；303：省教育科学规划项目；304：省教育厅计划项目；305：省科技攻关项目；306：省软科学项目；307：省高校人文社会科学研究项目；308：省高校科技计划项目；309：省弘扬中华优秀传统文化重点研究项目；310：省统计科研重点研究课题；311：省艺术教育专项课题；312：省艺术科学重点课题；313：省语言文字应用科研项目；314：省职业教育教学改革研究项目；315：省职业教育与成人教育科研规划课题；
401：市政府项目；402：市教育工委项目；403：市哲学社会科学规划项目；
599：其他项目</t>
  </si>
  <si>
    <t>KY_XM_SOURCE</t>
  </si>
  <si>
    <t>批准单位</t>
  </si>
  <si>
    <t>PZDW_NAME</t>
  </si>
  <si>
    <t>批文号</t>
  </si>
  <si>
    <t>PZDM_PWH</t>
  </si>
  <si>
    <t>项目级别CODE</t>
  </si>
  <si>
    <t>项目级别</t>
  </si>
  <si>
    <t>KY_XM_LEVEL_CODE</t>
  </si>
  <si>
    <t>1（国家级），2（省部级），3（地市级），4（院校级），5（厅局级），9（其他）</t>
  </si>
  <si>
    <t>SELECT * FROM HQ_CODE WHERE GROUP_TYPE = 'KY_XM_GRADE_CODE'</t>
  </si>
  <si>
    <t>项目级别分类CODE</t>
  </si>
  <si>
    <t>项目级别分类</t>
  </si>
  <si>
    <t>KY_XM_LEVEL_TYPE_CODE</t>
  </si>
  <si>
    <t>项目类别CODE</t>
  </si>
  <si>
    <t>项目类别</t>
  </si>
  <si>
    <t>KY_XM_TYPE_CODE</t>
  </si>
  <si>
    <t>101 人文与社会科学 ，102 自然科学 
201 文科类，202 理工类</t>
  </si>
  <si>
    <t>SELECT * FROM HQ_CODE 
WHERE GROUP_TYPE = 'KY_XM_TYPE_CODE'</t>
  </si>
  <si>
    <t>项目性质CODE</t>
  </si>
  <si>
    <t>项目性质</t>
  </si>
  <si>
    <t>KY_XM_NATURE_CODE</t>
  </si>
  <si>
    <t>101 基础研究 ，102 应用研究 ，103 教学研究 ，104，教育教学改革，105，教育科学规划，106，党建，107，艺术规划，108，技术开发，109，教材编写，110，教具标本制作，111，课件开发，99，其他</t>
  </si>
  <si>
    <t>SELECT * FROM HQ_CODE 
WHERE GROUP_TYPE = 'KY_XM_NATURE_CODE'</t>
  </si>
  <si>
    <t>项目状态CODE</t>
  </si>
  <si>
    <t>项目状态</t>
  </si>
  <si>
    <t>KY_XM_STATUS_CODE</t>
  </si>
  <si>
    <t>1 在研 2 中止 3 延期 4 结题</t>
  </si>
  <si>
    <t>SELECT * FROM HQ_CODE WHERE GROUP_TYPE = 'KY_XM_STATUS_CODE'</t>
  </si>
  <si>
    <t>立项日期</t>
  </si>
  <si>
    <t>APPROVAL_DATE</t>
  </si>
  <si>
    <t>项目开始日期</t>
  </si>
  <si>
    <t>中期检查日期</t>
  </si>
  <si>
    <t>MID_CHECK_DATE</t>
  </si>
  <si>
    <t>项目结束日期</t>
  </si>
  <si>
    <t>结项编号</t>
  </si>
  <si>
    <t>END_BH</t>
  </si>
  <si>
    <t>项目人数</t>
  </si>
  <si>
    <t>PERSON_NUM</t>
  </si>
  <si>
    <t>学校排名</t>
  </si>
  <si>
    <t>SCHOOL_RANK</t>
  </si>
  <si>
    <t>项目总金额</t>
  </si>
  <si>
    <t>累计到款金额</t>
  </si>
  <si>
    <t>GET_MONEY</t>
  </si>
  <si>
    <t>使用金额</t>
  </si>
  <si>
    <t>USED_MONEY</t>
  </si>
  <si>
    <t>剩余金额</t>
  </si>
  <si>
    <t>LAVE_MONEY</t>
  </si>
  <si>
    <t>KEYWORD</t>
  </si>
  <si>
    <t>VARCHAR2(400)</t>
  </si>
  <si>
    <t>引言</t>
  </si>
  <si>
    <t>INTRODUCTION</t>
  </si>
  <si>
    <t>VARCHAR2(2000)</t>
  </si>
  <si>
    <t>结项日期</t>
  </si>
  <si>
    <t>CLOSING_DATE</t>
  </si>
  <si>
    <t>是否教改</t>
  </si>
  <si>
    <t>IS_JG</t>
  </si>
  <si>
    <t>横向项目表</t>
  </si>
  <si>
    <t>HQ_KY_XM_HX</t>
  </si>
  <si>
    <t>101 人文与社会科学 ，102 自然科学 
201 文科类，202 理工科</t>
  </si>
  <si>
    <t>SELECT * FROM HQ_CODE 
WHERE GROUP_TYPE = 'KY_XM_STATUS_CODE'</t>
  </si>
  <si>
    <t>合作单位名称</t>
  </si>
  <si>
    <t>HZDW_NAME</t>
  </si>
  <si>
    <t>合作单位代码</t>
  </si>
  <si>
    <t>HZDW_DM</t>
  </si>
  <si>
    <t xml:space="preserve">剩余金额 </t>
  </si>
  <si>
    <t>项目人员信息表</t>
  </si>
  <si>
    <t>HQ_KY_XM_CY</t>
  </si>
  <si>
    <t>项目ID</t>
  </si>
  <si>
    <t>项目编号</t>
  </si>
  <si>
    <t>XM_ID</t>
  </si>
  <si>
    <t>成员所属部门</t>
  </si>
  <si>
    <t>成员名称</t>
  </si>
  <si>
    <t>成员学号</t>
  </si>
  <si>
    <t>著作表</t>
  </si>
  <si>
    <t>HQ_KY_ZZ</t>
  </si>
  <si>
    <t>著作名称</t>
  </si>
  <si>
    <t>著作所属单位</t>
  </si>
  <si>
    <t>出版单位</t>
  </si>
  <si>
    <t>CBDW_NAME</t>
  </si>
  <si>
    <t>著作类别CODE</t>
  </si>
  <si>
    <t>著作类别</t>
  </si>
  <si>
    <t>KY_ZZJC_TYPE_CODE</t>
  </si>
  <si>
    <t>1 教材，2 编著，3 专著，4 译著，5 工具书，6 著作类别，9 其他</t>
  </si>
  <si>
    <t>SELECT * FROM HQ_CODE 
WHERE GROUP_TYPE = 'KY_ZZJC_TYPE_CODE'</t>
  </si>
  <si>
    <t>出版单位级别</t>
  </si>
  <si>
    <t>CBDW_LEVEL_CODE</t>
  </si>
  <si>
    <t>1：国家级；2：省部级；3：市厅局级；4：院校级；9：其他</t>
  </si>
  <si>
    <t>著作人员表</t>
  </si>
  <si>
    <t>HQ_KY_ZZ_CY</t>
  </si>
  <si>
    <t>著作教材ID</t>
  </si>
  <si>
    <t>著作编号</t>
  </si>
  <si>
    <t>ZZ_ID</t>
  </si>
  <si>
    <t>人员类型CODE</t>
  </si>
  <si>
    <t>编著人员类型</t>
  </si>
  <si>
    <t>编著人员所属部门</t>
  </si>
  <si>
    <t>教师作者工号</t>
  </si>
  <si>
    <t>学生作者学号</t>
  </si>
  <si>
    <t>参编类型CODE</t>
  </si>
  <si>
    <t>参编类型</t>
  </si>
  <si>
    <t>ZZ_CB_TYPE_CODE</t>
  </si>
  <si>
    <t>1（主编），2（副主编），3（参编）</t>
  </si>
  <si>
    <t>专利信息表</t>
  </si>
  <si>
    <t>HQ_KY_ZL</t>
  </si>
  <si>
    <t>专利名称</t>
  </si>
  <si>
    <t>专利所属单位</t>
  </si>
  <si>
    <t>专利类型CODE</t>
  </si>
  <si>
    <t>KY_ZL_TYPE_CODE</t>
  </si>
  <si>
    <t>1 发明专利，2 实用新型，3 外观设计</t>
  </si>
  <si>
    <t>SELECT * FROM HQ_CODE 
WHERE GROUP_TYPE = 'KY_ZL_TYPE_CODE'</t>
  </si>
  <si>
    <t>专利状态CODE</t>
  </si>
  <si>
    <t>KY_ZL_STATE_CODE</t>
  </si>
  <si>
    <t>1 专利授权，2 专利公开</t>
  </si>
  <si>
    <t>SELECT * FROM HQ_CODE 
WHERE GROUP_TYPE = 'KY_ZL_STATE_CODE'</t>
  </si>
  <si>
    <t>授权单位</t>
  </si>
  <si>
    <t>SQDW_NAME</t>
  </si>
  <si>
    <t>授权日期</t>
  </si>
  <si>
    <t>专利权人</t>
  </si>
  <si>
    <t>ZLQR_NAME</t>
  </si>
  <si>
    <t>专利号</t>
  </si>
  <si>
    <t>ZLH_MARK</t>
  </si>
  <si>
    <t>是否署名学院/校</t>
  </si>
  <si>
    <t>IS_SIGN_SCHOOL</t>
  </si>
  <si>
    <t>专利人员信息表</t>
  </si>
  <si>
    <t>HQ_KY_ZL_CY</t>
  </si>
  <si>
    <t>专利ID</t>
  </si>
  <si>
    <t>专利编号</t>
  </si>
  <si>
    <t>ZL_ID</t>
  </si>
  <si>
    <t>发明人员类型</t>
  </si>
  <si>
    <t>发明人员所属部门</t>
  </si>
  <si>
    <t>发明人工号</t>
  </si>
  <si>
    <t>发明人名称</t>
  </si>
  <si>
    <t>发明人学号</t>
  </si>
  <si>
    <t>获奖成果信息表</t>
  </si>
  <si>
    <t>HQ_KY_HJCG</t>
  </si>
  <si>
    <t>成果名称</t>
  </si>
  <si>
    <t>成果所属单位</t>
  </si>
  <si>
    <t>奖励名称</t>
  </si>
  <si>
    <t>AWARD_NAME</t>
  </si>
  <si>
    <t>获奖级别</t>
  </si>
  <si>
    <t>KY_CG_LEVEL_CODE</t>
  </si>
  <si>
    <t>1（国家级），2（省部级），3（地市级），4（院校级），5（厅局级），6（区级），9（其他）</t>
  </si>
  <si>
    <t>SELECT * FROM HQ_CODE WHERE GROUP_TYPE = 'KY_CG_GRADE_CODE'</t>
  </si>
  <si>
    <t>获奖级别分类CODE</t>
  </si>
  <si>
    <t>获奖级别分类</t>
  </si>
  <si>
    <t>KY_CG_LEVEL_TYPE_CODE</t>
  </si>
  <si>
    <t>SELECT * FROM HQ_CODE WHERE GROUP_TYPE = 'KY_CG_LEVEL_TYPE_CODE'</t>
  </si>
  <si>
    <t>获奖等级</t>
  </si>
  <si>
    <t>KY_CG_GRADE_CODE</t>
  </si>
  <si>
    <t>0（特等奖），1（一等奖），2（二等奖），3（三等奖），4（四等奖），9（其他奖）</t>
  </si>
  <si>
    <t>鉴定日期</t>
  </si>
  <si>
    <t>发证机关</t>
  </si>
  <si>
    <t>FZJG_NAME</t>
  </si>
  <si>
    <t>成果编号</t>
  </si>
  <si>
    <t>学校用来唯一标识这个成果的编号</t>
  </si>
  <si>
    <t>获奖类型</t>
  </si>
  <si>
    <t>KY_CG_TYPE_CODE</t>
  </si>
  <si>
    <t>位次</t>
  </si>
  <si>
    <t>RANKING</t>
  </si>
  <si>
    <t>获奖成果成员表</t>
  </si>
  <si>
    <t>HQ_KY_HJCG_CY</t>
  </si>
  <si>
    <t>获奖成果ID</t>
  </si>
  <si>
    <t>获奖成果</t>
  </si>
  <si>
    <t>HJCG_ID</t>
  </si>
  <si>
    <t>鉴定成果信息表</t>
  </si>
  <si>
    <t>HQ_KY_JDCG</t>
  </si>
  <si>
    <t>项目成果所属单位</t>
  </si>
  <si>
    <t>鉴定结项日期</t>
  </si>
  <si>
    <t>项目成果鉴定结项日期</t>
  </si>
  <si>
    <t>组织鉴定结项单位</t>
  </si>
  <si>
    <t>JDDW_NAME</t>
  </si>
  <si>
    <t>鉴定成果成员表</t>
  </si>
  <si>
    <t>HQ_KY_JDCG_CY</t>
  </si>
  <si>
    <t>鉴定成果ID</t>
  </si>
  <si>
    <t>鉴定成果</t>
  </si>
  <si>
    <t>JDCG_ID</t>
  </si>
  <si>
    <t>完成人工号</t>
  </si>
  <si>
    <t>完成人名称</t>
  </si>
  <si>
    <t>完成人学号</t>
  </si>
  <si>
    <t>鉴定成果形式表</t>
  </si>
  <si>
    <t>HQ_KY_JDCG_XS</t>
  </si>
  <si>
    <t>成果ID</t>
  </si>
  <si>
    <t>鉴定成果编号</t>
  </si>
  <si>
    <t>成果形式CODE</t>
  </si>
  <si>
    <t>成果形式</t>
  </si>
  <si>
    <t>KY_CG_SHAPE_CODE</t>
  </si>
  <si>
    <t>11（论文），12（论著），21（研究报告），22（调研报告），23（咨询报告），24（结项报告），25（其他报告），31（实施方案），32（研究方案），33（人才培养方案），34（其他方案），41（计算机软件），42（其他软件），46（教材），47（实物（仪器设备等）），48（其他实物），51（国家标准），52（课程标准），53（考核标准），54（其他标准），61（河南省科技学技术成果），62（使用说明），63（实验测试记录），71（教学资源库），72（其他资源库），73（实习指导书），74（实训指导书），75（其他指导书），99（其他）</t>
  </si>
  <si>
    <t>SELECT * FROM HQ_CODE 
WHERE GROUP_TYPE = 'KY_CG_SHAPE_CODE'</t>
  </si>
  <si>
    <t>文艺作品表</t>
  </si>
  <si>
    <t>HQ_KY_ART</t>
  </si>
  <si>
    <t>教师所属单位</t>
  </si>
  <si>
    <t>作品名称</t>
  </si>
  <si>
    <t>ART_NAME_</t>
  </si>
  <si>
    <t>获奖发表</t>
  </si>
  <si>
    <t>AWARD_OR_PUBLISHED</t>
  </si>
  <si>
    <t>获奖/发表</t>
  </si>
  <si>
    <t>艺术作品类别</t>
  </si>
  <si>
    <t>ATR_WORK_TYPE_CODE</t>
  </si>
  <si>
    <t>SELECT * FROM HQ_CODE WHERE GROUP_TYPE = 'ATR_WORK_TYPE_CODE'</t>
  </si>
  <si>
    <t>例：2020-01-01</t>
  </si>
  <si>
    <t>艺术比赛类别</t>
  </si>
  <si>
    <t>ART_COMPETITION_TYPE_CODE</t>
  </si>
  <si>
    <r>
      <rPr>
        <sz val="12"/>
        <color theme="1"/>
        <rFont val="微软雅黑"/>
        <charset val="134"/>
      </rPr>
      <t>SELECT * FROM HQ_CODE WHERE GROUP_TYPE = '</t>
    </r>
    <r>
      <rPr>
        <sz val="12"/>
        <color theme="1"/>
        <rFont val="微软雅黑"/>
        <charset val="134"/>
      </rPr>
      <t>ART_COMPETITION_TYPE_CODE</t>
    </r>
    <r>
      <rPr>
        <sz val="12"/>
        <color theme="1"/>
        <rFont val="微软雅黑"/>
        <charset val="134"/>
      </rPr>
      <t>'</t>
    </r>
  </si>
  <si>
    <t>获奖等次</t>
  </si>
  <si>
    <t>AWARDS_TYPE_CODE</t>
  </si>
  <si>
    <t>作品级别</t>
  </si>
  <si>
    <t>ART_WORK_LEVEL_TYPE_CODE</t>
  </si>
  <si>
    <r>
      <rPr>
        <sz val="12"/>
        <color theme="1"/>
        <rFont val="微软雅黑"/>
        <charset val="134"/>
      </rPr>
      <t>SELECT * FROM HQ_CODE WHERE GROUP_TYPE = '</t>
    </r>
    <r>
      <rPr>
        <sz val="12"/>
        <color theme="1"/>
        <rFont val="微软雅黑"/>
        <charset val="134"/>
      </rPr>
      <t>ART_WORK_LEVEL_TYPE_CODE</t>
    </r>
    <r>
      <rPr>
        <sz val="12"/>
        <color theme="1"/>
        <rFont val="微软雅黑"/>
        <charset val="134"/>
      </rPr>
      <t>'</t>
    </r>
  </si>
  <si>
    <t>学校署名</t>
  </si>
  <si>
    <t>SCHOOL_SIGNATURE</t>
  </si>
  <si>
    <t>颁奖单位</t>
  </si>
  <si>
    <t>AWARDING_UNIT</t>
  </si>
  <si>
    <t>文艺作品成员表</t>
  </si>
  <si>
    <t>HQ_KY_ART_MEMBER</t>
  </si>
  <si>
    <t>文艺作品ID</t>
  </si>
  <si>
    <t>ART_ID</t>
  </si>
  <si>
    <t>组织机构ID</t>
  </si>
  <si>
    <t>HQ_KY_IT_SERVICE</t>
  </si>
  <si>
    <t>服务到款所属单位</t>
  </si>
  <si>
    <t>服务开始日期</t>
  </si>
  <si>
    <t>服务结束日期</t>
  </si>
  <si>
    <t>HZDW_MC</t>
  </si>
  <si>
    <t>合作单位企业识别号</t>
  </si>
  <si>
    <t>HZDW_QYSBH</t>
  </si>
  <si>
    <t>合同编号</t>
  </si>
  <si>
    <t>CONTRACT_NO</t>
  </si>
  <si>
    <t>合同签订时间</t>
  </si>
  <si>
    <t>CONTRACT_DATE</t>
  </si>
  <si>
    <t>到款金额(元)</t>
  </si>
  <si>
    <t>到账时间</t>
  </si>
  <si>
    <t>HQ_KY_ZL_TRANSFORM</t>
  </si>
  <si>
    <t>ZL_NO</t>
  </si>
  <si>
    <t>转化形式</t>
  </si>
  <si>
    <t>ZL_TRANSFORM_CODE</t>
  </si>
  <si>
    <t>1.专利转让
2.全国独占形式
3.区域独占形式
4.排他许可形式
5.普通许可形式</t>
  </si>
  <si>
    <t>专利权人工号</t>
  </si>
  <si>
    <t>转化到账金额(元)</t>
  </si>
  <si>
    <t>HQ_KY_DEPTSCORE</t>
  </si>
  <si>
    <t>部门ID</t>
  </si>
  <si>
    <t>科研总分</t>
  </si>
  <si>
    <t>年</t>
  </si>
  <si>
    <t>自然年</t>
  </si>
  <si>
    <t>学术讲座</t>
  </si>
  <si>
    <t>HQ_KY_XSJZ</t>
  </si>
  <si>
    <t>讲座名称</t>
  </si>
  <si>
    <t>所属单位名称</t>
  </si>
  <si>
    <t>DEPT_NAME</t>
  </si>
  <si>
    <t>讲座类型</t>
  </si>
  <si>
    <t>KY_XSJZ_TYPE_CODE</t>
  </si>
  <si>
    <t>讲座日期</t>
  </si>
  <si>
    <t>讲座级别</t>
  </si>
  <si>
    <t>KY_XSJZ_LEVEL_CODE</t>
  </si>
  <si>
    <t>主讲人学工号</t>
  </si>
  <si>
    <t>LECTURER_TEA_NO</t>
  </si>
  <si>
    <t>VARCHAR2(50)</t>
  </si>
  <si>
    <t>主讲人姓名</t>
  </si>
  <si>
    <t>LECTURER_NAME</t>
  </si>
  <si>
    <t>主讲人单位</t>
  </si>
  <si>
    <t>LECTURER_DEPT_ID</t>
  </si>
  <si>
    <t>主讲人单位名称</t>
  </si>
  <si>
    <t>LECTURER_DEPT_NAME</t>
  </si>
  <si>
    <t>主讲人职务</t>
  </si>
  <si>
    <t>LECTURER_ZW</t>
  </si>
  <si>
    <t>主讲人职称</t>
  </si>
  <si>
    <t>LECTURER_ZYJSZW</t>
  </si>
  <si>
    <t>主讲人学术简历</t>
  </si>
  <si>
    <t>LECTURER_VITAE</t>
  </si>
  <si>
    <t>主持人名字-校外人员的话只有名字</t>
  </si>
  <si>
    <t>COMPERE_NAME</t>
  </si>
  <si>
    <t>主持人学工号</t>
  </si>
  <si>
    <t>COMPERE_TEA_NO</t>
  </si>
  <si>
    <t>嘉宾</t>
  </si>
  <si>
    <t>GUEST</t>
  </si>
  <si>
    <t>讲座地点</t>
  </si>
  <si>
    <t>相关学科</t>
  </si>
  <si>
    <t>SUBJECT</t>
  </si>
  <si>
    <t>讲座对象</t>
  </si>
  <si>
    <t>OBJECT_</t>
  </si>
  <si>
    <t>参加讲座人数</t>
  </si>
  <si>
    <t>PEOPLE_COUNT</t>
  </si>
  <si>
    <t>观点综述</t>
  </si>
  <si>
    <t>GDZS</t>
  </si>
  <si>
    <t>研究机构</t>
  </si>
  <si>
    <t>HQ_KY_YJJG</t>
  </si>
  <si>
    <t>主键</t>
  </si>
  <si>
    <t>机构名称</t>
  </si>
  <si>
    <t>依托部门</t>
  </si>
  <si>
    <t>YTBM</t>
  </si>
  <si>
    <t>其他依托部门</t>
  </si>
  <si>
    <t>QTYTBM</t>
  </si>
  <si>
    <t>负责人姓名</t>
  </si>
  <si>
    <t>负责人工号</t>
  </si>
  <si>
    <t>联系人姓名</t>
  </si>
  <si>
    <t>联系人工号</t>
  </si>
  <si>
    <t>LXR_NO</t>
  </si>
  <si>
    <t>批复日期</t>
  </si>
  <si>
    <t>PF_DATE</t>
  </si>
  <si>
    <t>一级学科</t>
  </si>
  <si>
    <t>SUBJECT_FIRST_LEVEL_CODE</t>
  </si>
  <si>
    <t>机构类型</t>
  </si>
  <si>
    <t>KY_YJJG_TYPE_CODE</t>
  </si>
  <si>
    <t>机构级别</t>
  </si>
  <si>
    <t>KY_YJJG_LEVEL_CODE</t>
  </si>
  <si>
    <t>机构类别</t>
  </si>
  <si>
    <t>KY_YJJG_CATAGORY_CODE</t>
  </si>
  <si>
    <t>批准建设部门</t>
  </si>
  <si>
    <t>KY_YJJG_PZJSBM_CODE</t>
  </si>
  <si>
    <t>是否属于合建</t>
  </si>
  <si>
    <t>IS_HJ</t>
  </si>
  <si>
    <t>合建单位</t>
  </si>
  <si>
    <t>HJDW</t>
  </si>
  <si>
    <t>国民经济行业</t>
  </si>
  <si>
    <t>ECONOMY_INDUSTRY_CODE</t>
  </si>
  <si>
    <t>社会服务目标</t>
  </si>
  <si>
    <t>SHFWMB</t>
  </si>
  <si>
    <t>VARCHAR2(255)</t>
  </si>
  <si>
    <t>研究机构-成员</t>
  </si>
  <si>
    <t>HQ_KY_YJJG_CY</t>
  </si>
  <si>
    <t>研究机构ID</t>
  </si>
  <si>
    <t>YJJG_ID</t>
  </si>
  <si>
    <t>科研-横向-中期检查</t>
  </si>
  <si>
    <t>HQ_KY_ZX_ZQJC</t>
  </si>
  <si>
    <t>科研项目研究活动主题</t>
  </si>
  <si>
    <t>THEME</t>
  </si>
  <si>
    <t>科研项目研究活动内容简介</t>
  </si>
  <si>
    <t>项目ID-横向</t>
  </si>
  <si>
    <t>日期</t>
  </si>
  <si>
    <t>著作权</t>
  </si>
  <si>
    <t>HQ_KY_ZZQ</t>
  </si>
  <si>
    <t>作者人数</t>
  </si>
  <si>
    <t>AUTHOR_COUNT</t>
  </si>
  <si>
    <t>登记日期</t>
  </si>
  <si>
    <t>登记号</t>
  </si>
  <si>
    <t>DJH</t>
  </si>
  <si>
    <t>第一作者姓名</t>
  </si>
  <si>
    <t>FIRST_AUTHOR_NAME</t>
  </si>
  <si>
    <t>第一作者编号</t>
  </si>
  <si>
    <t>FIRST_AUTHOR_TEA_NO</t>
  </si>
  <si>
    <t>著作权状态</t>
  </si>
  <si>
    <t>KY_ZZQ_STATUS_CODE</t>
  </si>
  <si>
    <t>著作权人</t>
  </si>
  <si>
    <t>KY_ZZQ_ZZQR_TYPE_CODE</t>
  </si>
  <si>
    <t>著作权名称</t>
  </si>
  <si>
    <t>数据学年</t>
  </si>
  <si>
    <t>VARCHAR2(40)</t>
  </si>
  <si>
    <t>上报人</t>
  </si>
  <si>
    <t>SUBMIT_TEA_NAME</t>
  </si>
  <si>
    <t>SUBMIT_TEA_NO</t>
  </si>
  <si>
    <t>上报时间</t>
  </si>
  <si>
    <t>SUBMIT_TIME</t>
  </si>
  <si>
    <t>上报年份</t>
  </si>
  <si>
    <t>SUBMIT_YEAR</t>
  </si>
  <si>
    <t>数据年</t>
  </si>
  <si>
    <t>是否新获得</t>
  </si>
  <si>
    <t>BOOL_IS_NEW</t>
  </si>
  <si>
    <t>著作权-成员</t>
  </si>
  <si>
    <t>HQ_KY_ZZQ_CY</t>
  </si>
  <si>
    <t>著作权ID</t>
  </si>
  <si>
    <t>ZZQ_ID</t>
  </si>
  <si>
    <t>是否主持</t>
  </si>
  <si>
    <t>IS_ZC</t>
  </si>
  <si>
    <t>上报人名称</t>
  </si>
  <si>
    <t>上报人工号</t>
  </si>
  <si>
    <t>学生基本扩展信息</t>
  </si>
  <si>
    <t>HQ_XS_STU_MORE</t>
  </si>
  <si>
    <t>学生基本信息的扩展表</t>
  </si>
  <si>
    <t>学生处</t>
  </si>
  <si>
    <t>籍贯</t>
  </si>
  <si>
    <t>JG</t>
  </si>
  <si>
    <t>录取类型</t>
  </si>
  <si>
    <t>LQ_TYPE_CODE</t>
  </si>
  <si>
    <t>1普通高考；2单独招生；3五年制转段</t>
  </si>
  <si>
    <t>KS_TYPE_CODE</t>
  </si>
  <si>
    <t>1应届；2往届</t>
  </si>
  <si>
    <t>一卡通号</t>
  </si>
  <si>
    <t>校园卡号</t>
  </si>
  <si>
    <t>银行名称</t>
  </si>
  <si>
    <t>YHMC</t>
  </si>
  <si>
    <t>银行账号</t>
  </si>
  <si>
    <t>YHZH</t>
  </si>
  <si>
    <t>医保卡号</t>
  </si>
  <si>
    <t>YBKH</t>
  </si>
  <si>
    <t>是否青年志愿者</t>
  </si>
  <si>
    <t>ISQNZYZ</t>
  </si>
  <si>
    <t>校外住宿地址</t>
  </si>
  <si>
    <t>XWZSDZ</t>
  </si>
  <si>
    <t>火车票开始</t>
  </si>
  <si>
    <t>HCP_BEGIN_CITY</t>
  </si>
  <si>
    <t>优惠区间起始城市</t>
  </si>
  <si>
    <t>火车票结束</t>
  </si>
  <si>
    <t>HCP_END_CITY</t>
  </si>
  <si>
    <t>优惠区间到达城市</t>
  </si>
  <si>
    <t>入团日期</t>
  </si>
  <si>
    <t>RT_DATE</t>
  </si>
  <si>
    <t>yyyy-mm-dd</t>
  </si>
  <si>
    <t>是否有志愿书/介绍信</t>
  </si>
  <si>
    <t>IS_HAVE_ZYS</t>
  </si>
  <si>
    <t>是否有团员证</t>
  </si>
  <si>
    <t>IS_HAVE_TYZ</t>
  </si>
  <si>
    <t>团员编号</t>
  </si>
  <si>
    <t>TY_NO</t>
  </si>
  <si>
    <t>高质量 - 学生数据 - 评优</t>
  </si>
  <si>
    <t>HQ_XS_STU_PY</t>
  </si>
  <si>
    <t>学生评优评先数据</t>
  </si>
  <si>
    <t>学工处</t>
  </si>
  <si>
    <t>评优级别</t>
  </si>
  <si>
    <t>PY_LEVEL_CODE</t>
  </si>
  <si>
    <t>1：国家级，2：省级，3：市级，4：校级，9：其他</t>
  </si>
  <si>
    <t>select * from LQ_T_CODE where group_type='PY_LEVEL_CODE'</t>
  </si>
  <si>
    <t>评优名称</t>
  </si>
  <si>
    <t>PY_NAME</t>
  </si>
  <si>
    <t>高质量 - 学生数据 - 贷款</t>
  </si>
  <si>
    <t>HQ_XS_STU_LOAN</t>
  </si>
  <si>
    <t>学生贷款数据</t>
  </si>
  <si>
    <t>贷款类型</t>
  </si>
  <si>
    <t>LOAN_TYPE_CODE</t>
  </si>
  <si>
    <t>1：国家助学贷款，2：生源地信用贷款，3：生源地贷款</t>
  </si>
  <si>
    <t>select * from LQ_CODE where group_type='LOAN_TYPE_CODE'</t>
  </si>
  <si>
    <t>贷款名称</t>
  </si>
  <si>
    <t>LOAN_NAME</t>
  </si>
  <si>
    <t>贷款金额</t>
  </si>
  <si>
    <t>LOAN_MONEY</t>
  </si>
  <si>
    <t>高质量 - 学生数据 - 奖学金</t>
  </si>
  <si>
    <t>HQ_XS_STU_JXJ</t>
  </si>
  <si>
    <t>奖学金信息</t>
  </si>
  <si>
    <t>奖学金等级</t>
  </si>
  <si>
    <t>JXJ_LEVEL_CODE</t>
  </si>
  <si>
    <t>select * from LQ_T_CODE where group_type='JXJ_LEVEL_CODE'</t>
  </si>
  <si>
    <t>奖学金类型</t>
  </si>
  <si>
    <t>JXJ_TYPE_CODE</t>
  </si>
  <si>
    <t>JY/T 1001 JTLB 家庭类别代码
01：国家奖助类；02：综合优秀类；03：学业优秀类……</t>
  </si>
  <si>
    <t>奖学金名称</t>
  </si>
  <si>
    <t>JXJ_NAME</t>
  </si>
  <si>
    <t>奖学金金额</t>
  </si>
  <si>
    <t>JXJ_MONEY</t>
  </si>
  <si>
    <t>高质量 - 学生数据 - 助学金</t>
  </si>
  <si>
    <t>HQ_XS_STU_ZXJ</t>
  </si>
  <si>
    <t>学生助学金信息</t>
  </si>
  <si>
    <t>助学金等级</t>
  </si>
  <si>
    <t>ZXJ_LEVEL_CODE</t>
  </si>
  <si>
    <t>select * from LQ_T_CODE where group_type='ZXJ_LEVEL_CODE'</t>
  </si>
  <si>
    <t>助学金类型</t>
  </si>
  <si>
    <t>ZXJ_TYPE_CODE</t>
  </si>
  <si>
    <t>1：国家助学金；</t>
  </si>
  <si>
    <t>select * from LQ_T_CODE where group_type='ZXJ_TYPE_CODE'</t>
  </si>
  <si>
    <t>助学金名称</t>
  </si>
  <si>
    <t>ZXJ_NAME</t>
  </si>
  <si>
    <t>助学金金额</t>
  </si>
  <si>
    <t>ZXJ_MONEY</t>
  </si>
  <si>
    <t>高质量 - 学生数据 - 困难生信息</t>
  </si>
  <si>
    <t>HQ_XS_STU_KNS</t>
  </si>
  <si>
    <t>评定学年</t>
  </si>
  <si>
    <t>困难程度</t>
  </si>
  <si>
    <t>STU_KNCD_CODE</t>
  </si>
  <si>
    <t>JY/T 1001 KNCD 困难程度代码
1：特别困难；21：困难；22：一般困难；3：不困难</t>
  </si>
  <si>
    <t>困难原因</t>
  </si>
  <si>
    <t>STU_KNYY_CODE</t>
  </si>
  <si>
    <t>JY/T 1001 KNYY 困难原因代码
1：自然灾害；2：突发意外；3：家庭成员伤残；4：家长失业；9：其他</t>
  </si>
  <si>
    <t>家庭类别</t>
  </si>
  <si>
    <t>JTLB_CODE</t>
  </si>
  <si>
    <t>JY/T 1001 JTLB 家庭类别代码
1：双亲健全；2：孤儿；3：单亲（父母一方去世）；4：父母离异；5：双亲有残疾……</t>
  </si>
  <si>
    <t>申请日期</t>
  </si>
  <si>
    <t>SQRQ_DATE</t>
  </si>
  <si>
    <t>家庭年收入</t>
  </si>
  <si>
    <t>FAMILY_INCOME_MONEY</t>
  </si>
  <si>
    <t>家庭总人口</t>
  </si>
  <si>
    <t>FAMILY_PERSON_COUNT</t>
  </si>
  <si>
    <t>是否低保</t>
  </si>
  <si>
    <t>IS_BASIC_LIVING</t>
  </si>
  <si>
    <t>高质量 - 学生数据 - 违纪处分</t>
  </si>
  <si>
    <t>HQ_XS_PUNISH</t>
  </si>
  <si>
    <t>违纪类型CODE</t>
  </si>
  <si>
    <t>违纪类型</t>
  </si>
  <si>
    <t>VIOLATE_ID</t>
  </si>
  <si>
    <t>违纪类型需要根据学校具体情况集成</t>
  </si>
  <si>
    <t>select * from HQ_CODE_VIOLATE</t>
  </si>
  <si>
    <t>HQ_CODE_VIOLATE</t>
  </si>
  <si>
    <t>违纪日期</t>
  </si>
  <si>
    <t>VIOLATE_DATE</t>
  </si>
  <si>
    <t>违纪原因</t>
  </si>
  <si>
    <t>VIOLATE_REASON</t>
  </si>
  <si>
    <t>处分类型CODE</t>
  </si>
  <si>
    <t>处分类型</t>
  </si>
  <si>
    <t>PUNISH_CODE</t>
  </si>
  <si>
    <t>1警告；2严重警告；3记过；4记大过；5留校查看；6开除</t>
  </si>
  <si>
    <t>处分日期</t>
  </si>
  <si>
    <t>PUNISH_DATE</t>
  </si>
  <si>
    <t>处分原因</t>
  </si>
  <si>
    <t>PUNISH_REASON</t>
  </si>
  <si>
    <t>处分文号</t>
  </si>
  <si>
    <t>PUNISH_WH</t>
  </si>
  <si>
    <t>处分撤销日期</t>
  </si>
  <si>
    <t>PUNISH_REVOKE_DATE</t>
  </si>
  <si>
    <t>处分撤销文号</t>
  </si>
  <si>
    <t>PUNISH_REVOKE_WH</t>
  </si>
  <si>
    <t>高质量 - 学生数据 - 扩展信息 - 资格证书/职业技能证书</t>
  </si>
  <si>
    <t>HQ_XS_STU_ZGZS</t>
  </si>
  <si>
    <t>证书基本信息，主要用于区分不同类别的证书</t>
  </si>
  <si>
    <t>学生处或教务处</t>
  </si>
  <si>
    <t>学生证书类型</t>
  </si>
  <si>
    <t>STU_ZS_TYPE_CODE</t>
  </si>
  <si>
    <t>1.职业资格证书，2.职业技能证书，9.其他</t>
  </si>
  <si>
    <t>证书等级</t>
  </si>
  <si>
    <t>ZGZS_LEVEL_CODE</t>
  </si>
  <si>
    <t>1,高级 2,中级 3,初级, 4,无等级</t>
  </si>
  <si>
    <t>证书代码</t>
  </si>
  <si>
    <t>颁发机构ID</t>
  </si>
  <si>
    <t>颁发机构</t>
  </si>
  <si>
    <t>ZSJG_ID</t>
  </si>
  <si>
    <t>HQ_XS_STU_ZSJG</t>
  </si>
  <si>
    <t>yyyy-mm-dd hh24:mi:ss</t>
  </si>
  <si>
    <t>CREATE_USER_ID</t>
  </si>
  <si>
    <t>UPDATE_USER_ID</t>
  </si>
  <si>
    <t>是否校内鉴定</t>
  </si>
  <si>
    <t>是否准入类</t>
  </si>
  <si>
    <t>IS_ACCESS</t>
  </si>
  <si>
    <t>1：是，0：否。准入类职业资格是对从事某一职业所必备的学识、技术和能力的基本要求。通常没有等级划分</t>
  </si>
  <si>
    <t>是否水平评价类</t>
  </si>
  <si>
    <t>IS_EVALUATION</t>
  </si>
  <si>
    <t>1：是，0：否。水平评价类分为5个等级，五级(初级工)、四级(中级工)、三级(高级工)、二级(技师)、一级(高级技师)。</t>
  </si>
  <si>
    <t>资格证书类型</t>
  </si>
  <si>
    <t>ZGZS_TYPE_CODE</t>
  </si>
  <si>
    <t>高质量 - 学生数据 - 扩展信息 -证书颁发机构</t>
  </si>
  <si>
    <t>学生职业资格证书鉴定/颁发机构信息</t>
  </si>
  <si>
    <t>机构代码</t>
  </si>
  <si>
    <t>高质量 - 学生数据 - 扩展信息 -职业技能鉴定记录</t>
  </si>
  <si>
    <t>HQ_XS_STU_ZYJNJDJL</t>
  </si>
  <si>
    <t>学生职业技能鉴定记录</t>
  </si>
  <si>
    <t>鉴定分类</t>
  </si>
  <si>
    <t>JD_TYPE_CODE</t>
  </si>
  <si>
    <t>1：初次鉴定等，类似考试状态，正常，补考等，具体代码暂未获得</t>
  </si>
  <si>
    <t>ZGZS_ID</t>
  </si>
  <si>
    <t>用于区分证书的类别</t>
  </si>
  <si>
    <t>鉴定/颁发机构代码</t>
  </si>
  <si>
    <t>申报职业/工种</t>
  </si>
  <si>
    <t>APPLY_OCCUPATION</t>
  </si>
  <si>
    <t>申报等级</t>
  </si>
  <si>
    <t>APPLY_GRADE_CODE</t>
  </si>
  <si>
    <t>5：五级(初级工)、4：四级(中级工)、3：三级(高级工)、2：二级(技师)、1：一级(高级技师)。</t>
  </si>
  <si>
    <t>JD_DATE</t>
  </si>
  <si>
    <t>考试状态</t>
  </si>
  <si>
    <t>KS_STATUS_CODE</t>
  </si>
  <si>
    <t>1：正常，2：理论缺考，3：实操缺考，4：理论实操都缺考</t>
  </si>
  <si>
    <t>理论鉴定结果</t>
  </si>
  <si>
    <t>LLJDJG_SCORE</t>
  </si>
  <si>
    <t>实操鉴定结果</t>
  </si>
  <si>
    <t>SCJDJG_SCORE</t>
  </si>
  <si>
    <t>综合鉴定结果</t>
  </si>
  <si>
    <t>FINAL_SCORE</t>
  </si>
  <si>
    <t>证书编号</t>
  </si>
  <si>
    <t>ZS_NO</t>
  </si>
  <si>
    <t>高质量 - 学生数据 - 学生比赛获奖</t>
  </si>
  <si>
    <t>HQ_XS_COMPETITION_AWARD</t>
  </si>
  <si>
    <t>学生比赛信息</t>
  </si>
  <si>
    <t>学生处或者教务处</t>
  </si>
  <si>
    <t>承办单位</t>
  </si>
  <si>
    <t>UNDERTACK_DEPT_NAME</t>
  </si>
  <si>
    <t>比赛类型</t>
  </si>
  <si>
    <t>COMPE_STU_TYPE_CODE</t>
  </si>
  <si>
    <t>1：技能大赛，2：科技文化作品，9：其他</t>
  </si>
  <si>
    <t>比赛级别</t>
  </si>
  <si>
    <t>COMPE_STU_LEVEL_CODE</t>
  </si>
  <si>
    <t>1：国家级，2：省部级，3：市厅局级，4：校级，9：其他</t>
  </si>
  <si>
    <t>比赛级别分类</t>
  </si>
  <si>
    <t>COMPE_STU_LEVEL_TYPE_CODE</t>
  </si>
  <si>
    <t>参赛项目名称</t>
  </si>
  <si>
    <t>JOIN_PROJECT_NAME</t>
  </si>
  <si>
    <t>参赛时间</t>
  </si>
  <si>
    <t>JOIN_DATE</t>
  </si>
  <si>
    <t>COMPE_STU_AWARD_LEVEL_CODE</t>
  </si>
  <si>
    <t>0：世界级，1：国家级，2：省部级，3：市厅局级，4：校级，9：其他</t>
  </si>
  <si>
    <t>获奖等级分类CODE</t>
  </si>
  <si>
    <t>获奖等级分类</t>
  </si>
  <si>
    <t>COMPE_STU_AWARD_GRADE_CODE</t>
  </si>
  <si>
    <t>11：一等奖；12：二等奖；13：三等奖；21：冠军；22：亚军；23：季军；31：第一名；32：第二名；33：第三名；99：其他；91：未获奖；</t>
  </si>
  <si>
    <t>组织机构</t>
  </si>
  <si>
    <t>获奖名次</t>
  </si>
  <si>
    <t>高质量 - 学生数据 - 学生比赛参赛学生名单</t>
  </si>
  <si>
    <t>HQ_XS_COMPETITION_AWARD_STU</t>
  </si>
  <si>
    <t>学生参赛名单</t>
  </si>
  <si>
    <t>赛事编号</t>
  </si>
  <si>
    <t>参赛学生学号</t>
  </si>
  <si>
    <t>参赛学生姓名</t>
  </si>
  <si>
    <t>STU_NAME</t>
  </si>
  <si>
    <t>高质量 - 学生数据 - 学生比赛-指导教师名单</t>
  </si>
  <si>
    <t>HQ_XS_COMPETITION_AWARD_TEA</t>
  </si>
  <si>
    <t>学生比赛-指导教师名单</t>
  </si>
  <si>
    <t>指导老师所在部门</t>
  </si>
  <si>
    <t>指导老师工号</t>
  </si>
  <si>
    <t>指导老师姓名</t>
  </si>
  <si>
    <t>高质量 - 学生数据 - 体能测试</t>
  </si>
  <si>
    <t>HQ_XS_STU_TNCS</t>
  </si>
  <si>
    <t>学生体能测试数据，包含实际成绩和百分制成绩</t>
  </si>
  <si>
    <t>体育部</t>
  </si>
  <si>
    <t>主键，唯一</t>
  </si>
  <si>
    <t>体重</t>
  </si>
  <si>
    <t>WEIGHT</t>
  </si>
  <si>
    <t>体重百分制得分</t>
  </si>
  <si>
    <t>WEIGHT_SCORE</t>
  </si>
  <si>
    <t>肺活量</t>
  </si>
  <si>
    <t>VITAL_CAPACITY</t>
  </si>
  <si>
    <t>肺活量百分制得分</t>
  </si>
  <si>
    <t>VITAL_CAPACITY_SCORE</t>
  </si>
  <si>
    <t>50米跑</t>
  </si>
  <si>
    <t>51米跑</t>
  </si>
  <si>
    <t>RUN50</t>
  </si>
  <si>
    <t>50米跑百分制得分</t>
  </si>
  <si>
    <t>51米跑百分制得分</t>
  </si>
  <si>
    <t>RUN50_SCORE</t>
  </si>
  <si>
    <t>立定跳远</t>
  </si>
  <si>
    <t>STANDING_LONG_JUMP</t>
  </si>
  <si>
    <t>立定跳远百分制得分</t>
  </si>
  <si>
    <t>STANDING_LONG_JUMP_SCORE</t>
  </si>
  <si>
    <t>坐位体前屈</t>
  </si>
  <si>
    <t>SIT_AND_REACH</t>
  </si>
  <si>
    <t>坐位体前屈百分制得分</t>
  </si>
  <si>
    <t>SIT_AND_REACH_SCORE</t>
  </si>
  <si>
    <t>800米跑</t>
  </si>
  <si>
    <t>801米跑</t>
  </si>
  <si>
    <t>RUN800</t>
  </si>
  <si>
    <t>800米跑百分制得分</t>
  </si>
  <si>
    <t>801米跑百分制得分</t>
  </si>
  <si>
    <t>RUN800_SCORE</t>
  </si>
  <si>
    <t>1000米跑</t>
  </si>
  <si>
    <t>1001米跑</t>
  </si>
  <si>
    <t>RUN1000</t>
  </si>
  <si>
    <t>1000米跑百分制得分</t>
  </si>
  <si>
    <t>1001米跑百分制得分</t>
  </si>
  <si>
    <t>RUN1000_SCORE</t>
  </si>
  <si>
    <t>一分钟仰卧起坐</t>
  </si>
  <si>
    <t>SIT_UP</t>
  </si>
  <si>
    <t>一分钟仰卧起坐百分制得分</t>
  </si>
  <si>
    <t>SIT_UP_SCORE</t>
  </si>
  <si>
    <t>引体向上</t>
  </si>
  <si>
    <t>CHINNING</t>
  </si>
  <si>
    <t>引体向上坐百分制得分</t>
  </si>
  <si>
    <t>CHINNING_SCORE</t>
  </si>
  <si>
    <t>高质量 - 学生数据 - 心理健康信息（只存最后一次测试信息）</t>
  </si>
  <si>
    <t>HQ_XS_JK_XLJK</t>
  </si>
  <si>
    <t>学生心理健康数据</t>
  </si>
  <si>
    <t>测试学年</t>
  </si>
  <si>
    <t>心理健康测试结果</t>
  </si>
  <si>
    <t>XLJK_CODE</t>
  </si>
  <si>
    <t>1：严重；2：偏重；3：中等；4：很轻；5：健康</t>
  </si>
  <si>
    <t>测试得分</t>
  </si>
  <si>
    <t>测试得分等级</t>
  </si>
  <si>
    <t>SCORE_LEVEL</t>
  </si>
  <si>
    <t>例：A、B、优、良</t>
  </si>
  <si>
    <t>高质量 - 学生数据 - 历次心理健康测试信息</t>
  </si>
  <si>
    <t>HQ_XS_JK_XLJK_DETAIL</t>
  </si>
  <si>
    <t>心理测试结果</t>
  </si>
  <si>
    <t>1：严重；2：偏重；3：中等；4：很轻；5：没有</t>
  </si>
  <si>
    <t>高质量 - 学生数据 - 学生床位变动信息</t>
  </si>
  <si>
    <t>HQ_XS_STU_BED_CHANGE</t>
  </si>
  <si>
    <t>所有床位变动信息都存储，包括入住信息</t>
  </si>
  <si>
    <t>后勤管理部门</t>
  </si>
  <si>
    <t>调整日期</t>
  </si>
  <si>
    <t>BED_ADJUST_TIME</t>
  </si>
  <si>
    <t>床位调整时间，yyyy-mm-dd</t>
  </si>
  <si>
    <t>原床位入住日期</t>
  </si>
  <si>
    <t>OLD_IN_DATE</t>
  </si>
  <si>
    <t>原床位</t>
  </si>
  <si>
    <t>OLD_BED_ID</t>
  </si>
  <si>
    <t>HQ_XS_STU_BED</t>
  </si>
  <si>
    <t>现床位</t>
  </si>
  <si>
    <t>NEW_BED_ID</t>
  </si>
  <si>
    <t>调整类型</t>
  </si>
  <si>
    <t>BED_CHANGE_TYPE_CODE</t>
  </si>
  <si>
    <t>1：入住，2：调宿，3:对调，4：退宿</t>
  </si>
  <si>
    <t>select * from LQ_T_CODE where group_type='BED_CHANGE_TYPE_CODE'</t>
  </si>
  <si>
    <t>高质量 - 学生数据 - 床位基本信息</t>
  </si>
  <si>
    <t>床位扩展信息，存储每一个床位，当前状态和入住的学生</t>
  </si>
  <si>
    <t>宿舍代码</t>
  </si>
  <si>
    <t>宿舍</t>
  </si>
  <si>
    <t>入住日期</t>
  </si>
  <si>
    <t>IN_DATE</t>
  </si>
  <si>
    <t>状态</t>
  </si>
  <si>
    <t>BED_STATUS_CODE</t>
  </si>
  <si>
    <t>1：已入住，2：空床，3：预留，4：不可用</t>
  </si>
  <si>
    <t>select * from LQ_T_CODE where group_type='BED_STATUS_CODE'</t>
  </si>
  <si>
    <t>企业规模</t>
  </si>
  <si>
    <t>ENTERPRISE_SCALE</t>
  </si>
  <si>
    <t xml:space="preserve">合作开始年月 </t>
  </si>
  <si>
    <t>BEGIN_YEAR_MONTH</t>
  </si>
  <si>
    <t xml:space="preserve">合作结束年月 </t>
  </si>
  <si>
    <t>END_YEAR_MONTH</t>
  </si>
  <si>
    <t>HQ_JX_XQHZ_ORDER_EDU</t>
  </si>
  <si>
    <t>校企合作</t>
  </si>
  <si>
    <t>订单培养学生数</t>
  </si>
  <si>
    <t>STU_COUNT</t>
  </si>
  <si>
    <t>订单培养年限</t>
  </si>
  <si>
    <t>YEAR_COUNT</t>
  </si>
  <si>
    <t>订单开始日期</t>
  </si>
  <si>
    <t>订单结束日期</t>
  </si>
  <si>
    <t>项目名</t>
  </si>
  <si>
    <t>如果一个班级都是订单班，则存储班级名，否则为空</t>
  </si>
  <si>
    <t>HQ_JX_XQHZ_ORDER_EDU_STU</t>
  </si>
  <si>
    <t>校企合作办</t>
  </si>
  <si>
    <t>订单培养项目ID</t>
  </si>
  <si>
    <t>订单培养项目</t>
  </si>
  <si>
    <t>PROJECT_EDU_ID</t>
  </si>
  <si>
    <t>培养生学号</t>
  </si>
  <si>
    <t>HQ_JX_APPRENTICE_EDU</t>
  </si>
  <si>
    <t>学徒制培养学生数</t>
  </si>
  <si>
    <t>学徒制培养年限</t>
  </si>
  <si>
    <t>开始年月</t>
  </si>
  <si>
    <t>结束年月</t>
  </si>
  <si>
    <t>HQ_JX_APPRENTICE_EDU_STU</t>
  </si>
  <si>
    <t>HQ_JX_XQHZ_HIRE_STU</t>
  </si>
  <si>
    <t>毕业年</t>
  </si>
  <si>
    <t>GRADUATE_YEAR</t>
  </si>
  <si>
    <t>接收时间</t>
  </si>
  <si>
    <t>高质量 - 教务数据 - 选课课程信息</t>
  </si>
  <si>
    <t>HQ_JX_COURSE_CHOICE</t>
  </si>
  <si>
    <t>选课课程信息</t>
  </si>
  <si>
    <t>教务处(通常来源教务系统)</t>
  </si>
  <si>
    <t>学年(上课)</t>
  </si>
  <si>
    <t>上课学年</t>
  </si>
  <si>
    <t>学期(上课)CODE</t>
  </si>
  <si>
    <t>上课学期</t>
  </si>
  <si>
    <t>课程承担单位ID</t>
  </si>
  <si>
    <t>课程承担单位</t>
  </si>
  <si>
    <t>课程</t>
  </si>
  <si>
    <t>课程属性CODE</t>
  </si>
  <si>
    <t>课程属性</t>
  </si>
  <si>
    <t>COURSE_ATTR_CODE</t>
  </si>
  <si>
    <t>公共课、专业基础课、专业课。</t>
  </si>
  <si>
    <t>课程性质CODE</t>
  </si>
  <si>
    <t>课程性质</t>
  </si>
  <si>
    <t>COURSE_NATURE_CODE</t>
  </si>
  <si>
    <t>课程性质（单一选项）：必修课/专业选修课(限选)/公共选修课(任选)</t>
  </si>
  <si>
    <t>考试方式</t>
  </si>
  <si>
    <t>EXAM_WAY_CODE</t>
  </si>
  <si>
    <t>考试/考查</t>
  </si>
  <si>
    <t>学分</t>
  </si>
  <si>
    <t>NUMBER(4,1)</t>
  </si>
  <si>
    <t>学时</t>
  </si>
  <si>
    <t>PERIOD_COUNT</t>
  </si>
  <si>
    <t>可选人数</t>
  </si>
  <si>
    <t>限选人数</t>
  </si>
  <si>
    <t>LIMIT_STU_COUNT</t>
  </si>
  <si>
    <t>上课校区</t>
  </si>
  <si>
    <t>HQ_JC_JS_ZZJG</t>
  </si>
  <si>
    <t>上课教师</t>
  </si>
  <si>
    <t>TEA_INFO</t>
  </si>
  <si>
    <t>教师1,教师2</t>
  </si>
  <si>
    <t>VARCHAR2(120)</t>
  </si>
  <si>
    <t>上课周次</t>
  </si>
  <si>
    <t>WEEK_INFO</t>
  </si>
  <si>
    <t>1-15周</t>
  </si>
  <si>
    <t>上课节次</t>
  </si>
  <si>
    <t>PERIOD_INFO</t>
  </si>
  <si>
    <t>星期三 0910节</t>
  </si>
  <si>
    <t>高质量 - 教务数据 - 学生选课信息</t>
  </si>
  <si>
    <t>HQ_JX_COURSE_CHOICE_STU</t>
  </si>
  <si>
    <t>选课信息ID</t>
  </si>
  <si>
    <t>选课信息</t>
  </si>
  <si>
    <t>COURSE_CHOICE_ID</t>
  </si>
  <si>
    <t>所属班级代码</t>
  </si>
  <si>
    <t>修读类型</t>
  </si>
  <si>
    <t>COURSE_STUDY_TYPE_CODE</t>
  </si>
  <si>
    <t>首修（默认）/重修</t>
  </si>
  <si>
    <t>高质量 - 教务数据 - 学生选课学分统计</t>
  </si>
  <si>
    <t>HQ_JX_COUR_CHOI_PRID_STA</t>
  </si>
  <si>
    <t>总学分</t>
  </si>
  <si>
    <t>必修学分</t>
  </si>
  <si>
    <t>REQUIRED_CREDIT_COUNT</t>
  </si>
  <si>
    <t>限选学分</t>
  </si>
  <si>
    <t>LIMIT_CREDIT_COUNT</t>
  </si>
  <si>
    <t>任选学分</t>
  </si>
  <si>
    <t>OPTIONAL_CREDIT_COUNT</t>
  </si>
  <si>
    <t>公选学分</t>
  </si>
  <si>
    <t>COMMON_CREDIT_COUNT</t>
  </si>
  <si>
    <t>其他学分</t>
  </si>
  <si>
    <t>OTHER_CREDIT_COUNT</t>
  </si>
  <si>
    <t>高质量 - 学生数据 - 综合成绩表</t>
  </si>
  <si>
    <t>HQ_XS_SCORE</t>
  </si>
  <si>
    <t>学生综合成绩信息</t>
  </si>
  <si>
    <t>专业(上课)CODE</t>
  </si>
  <si>
    <t>上课专业</t>
  </si>
  <si>
    <t>学生年级</t>
  </si>
  <si>
    <t>GRADE</t>
  </si>
  <si>
    <t>百分制综合成绩</t>
  </si>
  <si>
    <t>CENTESIMAL_SCORE</t>
  </si>
  <si>
    <t>等级制综合成绩</t>
  </si>
  <si>
    <t>HIERARCHICAL_SCORE</t>
  </si>
  <si>
    <t>折合百分制综合成绩</t>
  </si>
  <si>
    <t>获得学分</t>
  </si>
  <si>
    <t>是否挂科</t>
  </si>
  <si>
    <t>ISFAIL</t>
  </si>
  <si>
    <t>是否重修</t>
  </si>
  <si>
    <t>ISREBUILD</t>
  </si>
  <si>
    <t>课程类型</t>
  </si>
  <si>
    <t>COURSE_TYPE_CODE</t>
  </si>
  <si>
    <t>高质量 - 学生数据 - 历次考试成绩表</t>
  </si>
  <si>
    <t>HQ_XS_SCORE_EXAMS</t>
  </si>
  <si>
    <t>学生历时成绩信息</t>
  </si>
  <si>
    <t>教务处（通常来源教务系统）</t>
  </si>
  <si>
    <t>如：2017</t>
  </si>
  <si>
    <t>考试学年</t>
  </si>
  <si>
    <t>EXAM_SCHOOL_YEAR</t>
  </si>
  <si>
    <t>考试学期</t>
  </si>
  <si>
    <t>EXAM_TERM_CODE</t>
  </si>
  <si>
    <t>考试日期</t>
  </si>
  <si>
    <t>考试状态CODE</t>
  </si>
  <si>
    <t>EXAM_STATUS_CODE</t>
  </si>
  <si>
    <t>1正常；2缺考；3补考；4缓考；5重考</t>
  </si>
  <si>
    <t>select * from LQ_T_CODE where group_type='EXAM_STATUS_CODE'</t>
  </si>
  <si>
    <t>HQ_JX_DM</t>
  </si>
  <si>
    <t>教师点名基本信息</t>
  </si>
  <si>
    <t>课堂(教学班教师)ID</t>
  </si>
  <si>
    <t>课堂ID（废弃）</t>
  </si>
  <si>
    <t>KT_ID</t>
  </si>
  <si>
    <t>教学班教师表ID</t>
  </si>
  <si>
    <t>2022-01-13后
废弃，不利于共享</t>
  </si>
  <si>
    <t>教学班ID</t>
  </si>
  <si>
    <t>教学班</t>
  </si>
  <si>
    <t>TEACHCLASS_ID</t>
  </si>
  <si>
    <t>HQ_JX_TEACHCLASS_TEA</t>
  </si>
  <si>
    <t>开始时间</t>
  </si>
  <si>
    <t>点名发起时间</t>
  </si>
  <si>
    <t>VARCHAR2(29)</t>
  </si>
  <si>
    <t>点名结束时间</t>
  </si>
  <si>
    <t>签到方式</t>
  </si>
  <si>
    <t>QDFS</t>
  </si>
  <si>
    <t>普通、手工、二维码、GPS、手势、分组</t>
  </si>
  <si>
    <t>2022-01-13后废弃，不是标准状态表，不利于共享</t>
  </si>
  <si>
    <t>验证码</t>
  </si>
  <si>
    <t>YZM</t>
  </si>
  <si>
    <t>验证码生成时间</t>
  </si>
  <si>
    <t>YZMSC_TIME</t>
  </si>
  <si>
    <t>GPS_经度</t>
  </si>
  <si>
    <t>GPS_JD</t>
  </si>
  <si>
    <t>NUMBER(60,30)</t>
  </si>
  <si>
    <t>2022-01-13 字段类型修改</t>
  </si>
  <si>
    <t>GPS_维度</t>
  </si>
  <si>
    <t>GPS_WD</t>
  </si>
  <si>
    <t>GPS_信息</t>
  </si>
  <si>
    <t>GPS_XX</t>
  </si>
  <si>
    <t>节次</t>
  </si>
  <si>
    <r>
      <rPr>
        <sz val="11"/>
        <color theme="1"/>
        <rFont val="宋体"/>
        <charset val="134"/>
        <scheme val="minor"/>
      </rPr>
      <t>P</t>
    </r>
    <r>
      <rPr>
        <sz val="11"/>
        <color theme="1"/>
        <rFont val="宋体"/>
        <charset val="134"/>
        <scheme val="minor"/>
      </rPr>
      <t>ERIOD</t>
    </r>
  </si>
  <si>
    <t>值：1-2、1-4、3-4……</t>
  </si>
  <si>
    <t>签到类型</t>
  </si>
  <si>
    <t>SIGN_TYPE_CODE</t>
  </si>
  <si>
    <t>普通 COMMON、手工 MANUAL、二维码 QRCODE、GPS GPS、分组 GROUP、手势 GESTURE</t>
  </si>
  <si>
    <t>上课周次（只有一周）</t>
  </si>
  <si>
    <t>WEEKS</t>
  </si>
  <si>
    <t>评价对象：随堂评价；值：1、2、5、9等任意周次</t>
  </si>
  <si>
    <t>上课星期</t>
  </si>
  <si>
    <t>DAY_OF_WEEK</t>
  </si>
  <si>
    <t>评价对象：随堂评价；值：1、2、3、4、5、6、7</t>
  </si>
  <si>
    <t>调停课信息</t>
  </si>
  <si>
    <t>HQ_T_COURSE_ADJUST</t>
  </si>
  <si>
    <t>调停课数据</t>
  </si>
  <si>
    <t>教师职工号</t>
  </si>
  <si>
    <t>调课教师职工号</t>
  </si>
  <si>
    <t>申请时间</t>
  </si>
  <si>
    <t>APPLICATION_TIME</t>
  </si>
  <si>
    <t>发起调课申请的时间，yyyy-mm-dd hh24:mi:ss 如：2019-06-18 11:24:23</t>
  </si>
  <si>
    <t>调课类型</t>
  </si>
  <si>
    <t>ADJUST_TYPE_CODE</t>
  </si>
  <si>
    <t>1：个人调课，2：个人停课，3：个人补课，4：统一停课，5：统一补课</t>
  </si>
  <si>
    <t>select * from HQ_CODE t where t.group_type='ADJUST_TYPE_CODE'</t>
  </si>
  <si>
    <t>调课学时</t>
  </si>
  <si>
    <t>ADJUST_PERIOD_COUNT</t>
  </si>
  <si>
    <t>调课学时，根据调整的节次总数确定，如调整1-2节的课，则调课课时为2</t>
  </si>
  <si>
    <t>原课表周次</t>
  </si>
  <si>
    <t>OLD_KCB_WEEKS</t>
  </si>
  <si>
    <t>调整前原课表周次，如：1,2,3,,4,5,7</t>
  </si>
  <si>
    <t>调课前周次</t>
  </si>
  <si>
    <t>OLD_WEEKS</t>
  </si>
  <si>
    <t>进行调整的周次：如2</t>
  </si>
  <si>
    <t>调课前星期</t>
  </si>
  <si>
    <t>OLD_DAY_OF_WEEK</t>
  </si>
  <si>
    <t>进行调整的星期：如3</t>
  </si>
  <si>
    <t>调课前节次</t>
  </si>
  <si>
    <t>OLD_PERIOD</t>
  </si>
  <si>
    <t>进行调整的节次：如1-2</t>
  </si>
  <si>
    <t>调课前地点</t>
  </si>
  <si>
    <t>OLD_CLASSROOM_ID</t>
  </si>
  <si>
    <t>进行调整的上课地点代码：如教105</t>
  </si>
  <si>
    <t>调课前上课班级</t>
  </si>
  <si>
    <t>OLD_TEACHCLASS_NAME</t>
  </si>
  <si>
    <t>调课后周次</t>
  </si>
  <si>
    <t>NEW_WEEKS</t>
  </si>
  <si>
    <t>要调整到第几周：如6</t>
  </si>
  <si>
    <t>调课后星期</t>
  </si>
  <si>
    <t>NEW_DAY_OF_WEEK</t>
  </si>
  <si>
    <t>要调整到星期几:如4</t>
  </si>
  <si>
    <t>调课后节次</t>
  </si>
  <si>
    <t>NEW_PERIOD</t>
  </si>
  <si>
    <t>要调整到第几节：如3-4</t>
  </si>
  <si>
    <t>调课后地点</t>
  </si>
  <si>
    <t>NEW_CLASSROOM_ID</t>
  </si>
  <si>
    <t>要调整到的上课地点：如教107</t>
  </si>
  <si>
    <t>调课后上课班级</t>
  </si>
  <si>
    <t>NEW_TEACHCLASS_NAME</t>
  </si>
  <si>
    <t>HQ_JX_DM_XSQD</t>
  </si>
  <si>
    <t>学生签到信息</t>
  </si>
  <si>
    <t>点名表ID</t>
  </si>
  <si>
    <t>DM_ID</t>
  </si>
  <si>
    <t>课堂教学-点名表ID</t>
  </si>
  <si>
    <t>学生学号</t>
  </si>
  <si>
    <t>格式：yyyy-mm-dd hh24:mi:ss</t>
  </si>
  <si>
    <t>是否已签</t>
  </si>
  <si>
    <t>IS_SINGIN</t>
  </si>
  <si>
    <t>含：正常签到、迟到、早退</t>
  </si>
  <si>
    <t>状态（签到结果）</t>
  </si>
  <si>
    <t>签到结果(废弃)</t>
  </si>
  <si>
    <t>STATE_</t>
  </si>
  <si>
    <t>正常签到、迟到、早退、未签、休学、请假等</t>
  </si>
  <si>
    <t>表现</t>
  </si>
  <si>
    <t>课堂表现</t>
  </si>
  <si>
    <t>BX</t>
  </si>
  <si>
    <t>睡觉、正常、玩手机、答题、吵闹、提问等</t>
  </si>
  <si>
    <t>非编码</t>
  </si>
  <si>
    <t>GPS_距离</t>
  </si>
  <si>
    <t>GPS_JL</t>
  </si>
  <si>
    <t>NUMBER(14,4)</t>
  </si>
  <si>
    <t>签到结果</t>
  </si>
  <si>
    <t>SING_RESULT_CODE</t>
  </si>
  <si>
    <t>正常签到 1、迟到 2、早退 3、未签 0、休学 4、请假 5</t>
  </si>
  <si>
    <t>数据来源</t>
  </si>
  <si>
    <t>SING_SOURCE_CODE</t>
  </si>
  <si>
    <t>WEB、安卓 ANDROID、IOS</t>
  </si>
  <si>
    <t>HQ_JX_KTXX</t>
  </si>
  <si>
    <t>课堂教学课堂消息</t>
  </si>
  <si>
    <t>NR</t>
  </si>
  <si>
    <t>发布教师</t>
  </si>
  <si>
    <t>发布时间</t>
  </si>
  <si>
    <t>FB_TIME</t>
  </si>
  <si>
    <t>HQ_JX_KTXX_XSYD</t>
  </si>
  <si>
    <t>学生阅读消息情况</t>
  </si>
  <si>
    <t>消息ID</t>
  </si>
  <si>
    <t>消息主表ID</t>
  </si>
  <si>
    <t>是否已读</t>
  </si>
  <si>
    <t>IS_READ</t>
  </si>
  <si>
    <t>0:否 1:是</t>
  </si>
  <si>
    <t>阅读时间</t>
  </si>
  <si>
    <t>HQ_JX_ZSS</t>
  </si>
  <si>
    <t>课程知识树</t>
  </si>
  <si>
    <t>章节知识名称</t>
  </si>
  <si>
    <t>默认:同名称</t>
  </si>
  <si>
    <t>PINGYIN_SHORT</t>
  </si>
  <si>
    <t>名称拼音首字母</t>
  </si>
  <si>
    <t>父接点ID</t>
  </si>
  <si>
    <t>全息名称</t>
  </si>
  <si>
    <t>PATH_NAME</t>
  </si>
  <si>
    <t>是否叶子节点</t>
  </si>
  <si>
    <t>IS_LEAF</t>
  </si>
  <si>
    <t>VARCHAR2(3)</t>
  </si>
  <si>
    <t>课堂教学-题库-试题材料</t>
  </si>
  <si>
    <t>HQ_JX_KCTK_CL</t>
  </si>
  <si>
    <t>试题材料信息</t>
  </si>
  <si>
    <t>材料内容</t>
  </si>
  <si>
    <t>CLNR</t>
  </si>
  <si>
    <t>VARCHAR2(4000)</t>
  </si>
  <si>
    <t>图片路径</t>
  </si>
  <si>
    <t>活动涉及附件路径，多个用","隔开</t>
  </si>
  <si>
    <t>HQ_JX_KCTK_TG</t>
  </si>
  <si>
    <t>试题题干信息</t>
  </si>
  <si>
    <t>知识树ID</t>
  </si>
  <si>
    <t>章节</t>
  </si>
  <si>
    <t>ZSS_ID</t>
  </si>
  <si>
    <t xml:space="preserve">NAME_
</t>
  </si>
  <si>
    <t>题干</t>
  </si>
  <si>
    <t>试题题干</t>
  </si>
  <si>
    <t>TG</t>
  </si>
  <si>
    <t>类型</t>
  </si>
  <si>
    <t>试题类型</t>
  </si>
  <si>
    <t>TYPE_</t>
  </si>
  <si>
    <t>分值</t>
  </si>
  <si>
    <t>试题分值</t>
  </si>
  <si>
    <t>FZ</t>
  </si>
  <si>
    <t>难度</t>
  </si>
  <si>
    <t>试题难度</t>
  </si>
  <si>
    <t>ND</t>
  </si>
  <si>
    <t>简单/一般/困难</t>
  </si>
  <si>
    <t>知识点</t>
  </si>
  <si>
    <t>ZSD</t>
  </si>
  <si>
    <t>解析</t>
  </si>
  <si>
    <t>JX</t>
  </si>
  <si>
    <t>试题材料ID</t>
  </si>
  <si>
    <t>试题材料</t>
  </si>
  <si>
    <t>CL_ID</t>
  </si>
  <si>
    <t>HQ_JX_KCTK_XX</t>
  </si>
  <si>
    <t>试题选项信息</t>
  </si>
  <si>
    <t>题干ID</t>
  </si>
  <si>
    <t>TG_ID</t>
  </si>
  <si>
    <t>试题编号</t>
  </si>
  <si>
    <t>试题内容</t>
  </si>
  <si>
    <t>是否正确</t>
  </si>
  <si>
    <t>IS_RIGHT</t>
  </si>
  <si>
    <t>HQ_JX_ZY</t>
  </si>
  <si>
    <t>资源基本信息</t>
  </si>
  <si>
    <t>HQ_JX_TEACHCLASS</t>
  </si>
  <si>
    <t>标题</t>
  </si>
  <si>
    <t>分组类型</t>
  </si>
  <si>
    <t>学习要求</t>
  </si>
  <si>
    <t>XXYQ</t>
  </si>
  <si>
    <t>资源类型</t>
  </si>
  <si>
    <t>SRC_TYPE</t>
  </si>
  <si>
    <t>资源内容</t>
  </si>
  <si>
    <t>ZYNR</t>
  </si>
  <si>
    <t>允许下载</t>
  </si>
  <si>
    <t>ALLOW_DOWNLOAD</t>
  </si>
  <si>
    <t>是/否</t>
  </si>
  <si>
    <t>HQ_JX_ZY_XSLL</t>
  </si>
  <si>
    <t>资源学生浏览信息</t>
  </si>
  <si>
    <t>资源ID</t>
  </si>
  <si>
    <t>教学资源</t>
  </si>
  <si>
    <t>ZY_ID</t>
  </si>
  <si>
    <t>SUT_NO</t>
  </si>
  <si>
    <t>是否浏览</t>
  </si>
  <si>
    <t>IS_SCAN</t>
  </si>
  <si>
    <t>得分</t>
  </si>
  <si>
    <t>DF</t>
  </si>
  <si>
    <t>上次浏览时间</t>
  </si>
  <si>
    <t>SCAN_TIME</t>
  </si>
  <si>
    <t>累计时长</t>
  </si>
  <si>
    <t>TIME_COUNT</t>
  </si>
  <si>
    <t>NUMBER(13)</t>
  </si>
  <si>
    <t>是否下载</t>
  </si>
  <si>
    <t>IS_DOWNLOAD</t>
  </si>
  <si>
    <t>上次下载时间</t>
  </si>
  <si>
    <t>DOWNLOAD_TIME</t>
  </si>
  <si>
    <t>HQ_JX_HD</t>
  </si>
  <si>
    <t>活动基本信息</t>
  </si>
  <si>
    <t>教学班标识</t>
  </si>
  <si>
    <t>HDLX_CODE</t>
  </si>
  <si>
    <t>即时问答、头脑风暴、投票问卷、答疑讨论、随堂测验、作业任务、课堂表现</t>
  </si>
  <si>
    <t>主题</t>
  </si>
  <si>
    <t>NUMBER</t>
  </si>
  <si>
    <t>题目类型</t>
  </si>
  <si>
    <t>即时问答:单选、多选、填空、判断；课堂表现:举手、抢答、选人、小组评价</t>
  </si>
  <si>
    <t>图片列表</t>
  </si>
  <si>
    <t>正确答案</t>
  </si>
  <si>
    <t>ZQDA</t>
  </si>
  <si>
    <t>HQ_JX_HDRY</t>
  </si>
  <si>
    <t>活动学生参与信息</t>
  </si>
  <si>
    <t>课堂活动ID</t>
  </si>
  <si>
    <t>课堂活动</t>
  </si>
  <si>
    <t>KTHD_ID</t>
  </si>
  <si>
    <t>答案</t>
  </si>
  <si>
    <t>RYDA</t>
  </si>
  <si>
    <t>HQ_JX_HD_JSWD_XX</t>
  </si>
  <si>
    <t>即时问答选项信息(仅单选和多选需要)</t>
  </si>
  <si>
    <t>课堂活动标识</t>
  </si>
  <si>
    <t>A/B/C…</t>
  </si>
  <si>
    <t>选项内容</t>
  </si>
  <si>
    <t>XXNR</t>
  </si>
  <si>
    <t>HQ_JX_HD_TNFB_PL</t>
  </si>
  <si>
    <t>头脑风暴评论信息</t>
  </si>
  <si>
    <t>人员类型</t>
  </si>
  <si>
    <t>RYLX</t>
  </si>
  <si>
    <t>教师/学生</t>
  </si>
  <si>
    <t>人员编号</t>
  </si>
  <si>
    <t>RY_NO</t>
  </si>
  <si>
    <t>学生学号/教师职工号</t>
  </si>
  <si>
    <t>时间</t>
  </si>
  <si>
    <t>HQ_JX_HD_TNFB_PLHF</t>
  </si>
  <si>
    <t>头脑风暴评论回复信息(支持/不支持)</t>
  </si>
  <si>
    <t>头脑风暴评论ID</t>
  </si>
  <si>
    <t>头脑风暴评论标识</t>
  </si>
  <si>
    <t>TNFBPL_ID</t>
  </si>
  <si>
    <t>支持状态</t>
  </si>
  <si>
    <t>支持/不支持</t>
  </si>
  <si>
    <t>HQ_JX_HD_TNFB_TAG</t>
  </si>
  <si>
    <t>头脑风暴标签</t>
  </si>
  <si>
    <t>TAG(标签)</t>
  </si>
  <si>
    <t>TAG</t>
  </si>
  <si>
    <t>HQ_JX_HD_STCY</t>
  </si>
  <si>
    <t>随堂测验设置信息</t>
  </si>
  <si>
    <t>题目数量</t>
  </si>
  <si>
    <t>TMSL</t>
  </si>
  <si>
    <t>题目乱序</t>
  </si>
  <si>
    <t>IS_DISORDER</t>
  </si>
  <si>
    <t>限时设置</t>
  </si>
  <si>
    <t>XSSZ</t>
  </si>
  <si>
    <t>重做设置</t>
  </si>
  <si>
    <t>CZSZ</t>
  </si>
  <si>
    <t>答案查看设置</t>
  </si>
  <si>
    <t>DACKSZ</t>
  </si>
  <si>
    <t>总分</t>
  </si>
  <si>
    <t>ZF</t>
  </si>
  <si>
    <t>HQ_JX_HD_STCY_ST</t>
  </si>
  <si>
    <t>随堂测验试题列表</t>
  </si>
  <si>
    <t>随堂测验ID</t>
  </si>
  <si>
    <t>随堂测验</t>
  </si>
  <si>
    <t>STCY_ID</t>
  </si>
  <si>
    <t>试题ID</t>
  </si>
  <si>
    <t>ST_ID</t>
  </si>
  <si>
    <t>题库试题表ID</t>
  </si>
  <si>
    <t>HQ_JX_HD_STCY_XSDT</t>
  </si>
  <si>
    <t>随堂测验学生答题信息</t>
  </si>
  <si>
    <t>随堂测验标识</t>
  </si>
  <si>
    <t>用时时长</t>
  </si>
  <si>
    <t>答题次数</t>
  </si>
  <si>
    <t>DT_COUNT</t>
  </si>
  <si>
    <t>正确题数</t>
  </si>
  <si>
    <t>RIGHT_COUNT</t>
  </si>
  <si>
    <t>错误题数</t>
  </si>
  <si>
    <t>ERROR_COUNT</t>
  </si>
  <si>
    <t>百分比得分</t>
  </si>
  <si>
    <t>BFBDF</t>
  </si>
  <si>
    <t>HQ_JX_HD_STCY_XSDTMX</t>
  </si>
  <si>
    <t>随堂测验学生答题明细信息</t>
  </si>
  <si>
    <t>题目序号</t>
  </si>
  <si>
    <t>随堂测验试题ID</t>
  </si>
  <si>
    <t>随堂测验试题</t>
  </si>
  <si>
    <t>STCYST_ID</t>
  </si>
  <si>
    <t>学生答题ID</t>
  </si>
  <si>
    <t>学生答题</t>
  </si>
  <si>
    <t>DT_ID</t>
  </si>
  <si>
    <t>学生得分(本题)</t>
  </si>
  <si>
    <t>本题学生得分</t>
  </si>
  <si>
    <t>答案(本题)</t>
  </si>
  <si>
    <t>本题答案</t>
  </si>
  <si>
    <t>DA</t>
  </si>
  <si>
    <t>HQ_JX_HD_TPWJ_TG</t>
  </si>
  <si>
    <t>投票问卷题干信息</t>
  </si>
  <si>
    <t>问卷题干</t>
  </si>
  <si>
    <t>WJTG</t>
  </si>
  <si>
    <t>单选题/多选题</t>
  </si>
  <si>
    <t>HQ_JX_HD_TPWJ_XX</t>
  </si>
  <si>
    <t>投票问卷选项信息</t>
  </si>
  <si>
    <t>问卷题干ID</t>
  </si>
  <si>
    <t>WJTG_ID</t>
  </si>
  <si>
    <t>选项</t>
  </si>
  <si>
    <t>XX</t>
  </si>
  <si>
    <t>VARCHAR2(5)</t>
  </si>
  <si>
    <t>课堂教学-活动-投票问卷-学生投票明细</t>
  </si>
  <si>
    <t>HQ_JX_HD_TPWJ_XSTP</t>
  </si>
  <si>
    <t>投票问卷学生投票信息</t>
  </si>
  <si>
    <t>学生答案</t>
  </si>
  <si>
    <t>选项表ID</t>
  </si>
  <si>
    <t>HQ_JX_HD_DYTL_PL</t>
  </si>
  <si>
    <t>答疑讨论评论信息</t>
  </si>
  <si>
    <t>文本/图片/语音</t>
  </si>
  <si>
    <t>文本:文字内容;图片/语音:附件绝对位置</t>
  </si>
  <si>
    <t>HQ_JX_HD_DYTL_PLHF</t>
  </si>
  <si>
    <t>答疑讨论评回复信息</t>
  </si>
  <si>
    <t>答疑讨论评论ID</t>
  </si>
  <si>
    <t>答疑讨论评论</t>
  </si>
  <si>
    <t>DYTLPL_ID</t>
  </si>
  <si>
    <t>HQ_JX_HD_DYTL_FAV</t>
  </si>
  <si>
    <t>答疑讨论收藏信息</t>
  </si>
  <si>
    <t>HQ_JX_HD_ZYRW</t>
  </si>
  <si>
    <t>作业任务设置信息</t>
  </si>
  <si>
    <t>分组方式</t>
  </si>
  <si>
    <t>FZFS</t>
  </si>
  <si>
    <t>不分组/随机分组/小组方案</t>
  </si>
  <si>
    <t>条件</t>
  </si>
  <si>
    <t>TJ</t>
  </si>
  <si>
    <t>条件值</t>
  </si>
  <si>
    <t>TJZ</t>
  </si>
  <si>
    <t>评价方式</t>
  </si>
  <si>
    <t>PJFS</t>
  </si>
  <si>
    <t>教师评价/学生评价/学生互评</t>
  </si>
  <si>
    <t>匿名互评</t>
  </si>
  <si>
    <t>NMHP</t>
  </si>
  <si>
    <t>HQ_JX_HD_ZYRW_PFD</t>
  </si>
  <si>
    <t>作业任务评分点信息</t>
  </si>
  <si>
    <t>作业任务ID</t>
  </si>
  <si>
    <t>作业任务</t>
  </si>
  <si>
    <t>ZYRW_ID</t>
  </si>
  <si>
    <t>评分点</t>
  </si>
  <si>
    <t>PFD</t>
  </si>
  <si>
    <t>HQ_JX_HD_ZYRW_XZ</t>
  </si>
  <si>
    <t>作业任务小组信息</t>
  </si>
  <si>
    <t>作业任务标识</t>
  </si>
  <si>
    <t>小组排序号</t>
  </si>
  <si>
    <t>小组名称</t>
  </si>
  <si>
    <t>学生作业ID</t>
  </si>
  <si>
    <t>学生作业</t>
  </si>
  <si>
    <t>XSZY_ID</t>
  </si>
  <si>
    <t>HQ_JX_HD_ZYRW_XSZY</t>
  </si>
  <si>
    <t>HQ_JX_HD_ZYRW_XZRY</t>
  </si>
  <si>
    <t>作业任务小组成员信息</t>
  </si>
  <si>
    <t>小组ID</t>
  </si>
  <si>
    <t>小组</t>
  </si>
  <si>
    <t>XZ_ID</t>
  </si>
  <si>
    <t>学生作业内容信息</t>
  </si>
  <si>
    <t>作业状态</t>
  </si>
  <si>
    <t>提交/评分</t>
  </si>
  <si>
    <t>HQ_JX_HD_ZYRW_XSZY_FJ</t>
  </si>
  <si>
    <t>学生作业附件信息</t>
  </si>
  <si>
    <t>附件类型</t>
  </si>
  <si>
    <t>附件路径</t>
  </si>
  <si>
    <t>HQ_JX_HD_ZYRW_XSZY_LOG</t>
  </si>
  <si>
    <t>学生作业提交日志</t>
  </si>
  <si>
    <t>提交人学号</t>
  </si>
  <si>
    <t>提交时间</t>
  </si>
  <si>
    <t>作业提交时间</t>
  </si>
  <si>
    <t>格式:yyy-mm-dd hh24:mi:ss</t>
  </si>
  <si>
    <t>HQ_JX_HD_ZYRW_XSZY_PF</t>
  </si>
  <si>
    <t>学生作业评分</t>
  </si>
  <si>
    <t>评分时间</t>
  </si>
  <si>
    <t>评分人类型</t>
  </si>
  <si>
    <t>学生/教师</t>
  </si>
  <si>
    <t>评分人编号</t>
  </si>
  <si>
    <t>学生学号/教师工号</t>
  </si>
  <si>
    <t>HQ_JX_HD_ZYRW_XSZY_PFMX</t>
  </si>
  <si>
    <t>学生作业评分明细</t>
  </si>
  <si>
    <t>作业评分ID</t>
  </si>
  <si>
    <t>作业评分</t>
  </si>
  <si>
    <t>PF_ID</t>
  </si>
  <si>
    <t>评分点ID</t>
  </si>
  <si>
    <t>PFD_ID</t>
  </si>
  <si>
    <t>HQ_JX_HD_ZYRW_XSZY_PJDZ</t>
  </si>
  <si>
    <t>HQ_JX_HD_ZYRW_XSZY_PJ</t>
  </si>
  <si>
    <t>学生作业评价信息</t>
  </si>
  <si>
    <t>评论人类型</t>
  </si>
  <si>
    <t>评论人编号</t>
  </si>
  <si>
    <t>评论时间</t>
  </si>
  <si>
    <t>评论内容</t>
  </si>
  <si>
    <t>PLNR</t>
  </si>
  <si>
    <t>学生作业评价点赞信息</t>
  </si>
  <si>
    <t>作业评价ID</t>
  </si>
  <si>
    <t>作业评价</t>
  </si>
  <si>
    <t>PJ_ID</t>
  </si>
  <si>
    <t>点赞时间</t>
  </si>
  <si>
    <t>点赞人类型</t>
  </si>
  <si>
    <t>点赞人编号</t>
  </si>
  <si>
    <t>HQ_JX_HD_XZPJ</t>
  </si>
  <si>
    <t>小组评价(教师对小组评价)</t>
  </si>
  <si>
    <t>评分</t>
  </si>
  <si>
    <t>PF</t>
  </si>
  <si>
    <t>HQ_JX_HD_XZPJ_XZRY</t>
  </si>
  <si>
    <t>小组人员信息</t>
  </si>
  <si>
    <t>HQ_JX_HD_DZBB</t>
  </si>
  <si>
    <t>电子白板(绘图)</t>
  </si>
  <si>
    <t>NUMBER(5,3)</t>
  </si>
  <si>
    <t>HQ_JX_HD_PF</t>
  </si>
  <si>
    <t>评分活动(学生对一个事/物(教师口述/板书)进行评分)</t>
  </si>
  <si>
    <t>评论</t>
  </si>
  <si>
    <t>PL</t>
  </si>
  <si>
    <t>HQ_ZC_XXYD</t>
  </si>
  <si>
    <t xml:space="preserve">学校用地数据类          </t>
  </si>
  <si>
    <t>用地编号</t>
  </si>
  <si>
    <t>YDBH_NUMBER</t>
  </si>
  <si>
    <t>土地产权码</t>
  </si>
  <si>
    <t>TDCQ_CODE</t>
  </si>
  <si>
    <t>土地使用状况码</t>
  </si>
  <si>
    <t>TDSYZK_CODE</t>
  </si>
  <si>
    <t>校区号</t>
  </si>
  <si>
    <t>XQH_NUMBER</t>
  </si>
  <si>
    <t>占地用途码</t>
  </si>
  <si>
    <t>ZDYT_CODE</t>
  </si>
  <si>
    <t>占地面积</t>
  </si>
  <si>
    <t>ZDMJ_AREA</t>
  </si>
  <si>
    <t>用地备注</t>
  </si>
  <si>
    <t>YDBZ_DES</t>
  </si>
  <si>
    <t>校区规划图</t>
  </si>
  <si>
    <t>XQGHT_MAP</t>
  </si>
  <si>
    <t>取得方式码</t>
  </si>
  <si>
    <t>QDFS_CODE</t>
  </si>
  <si>
    <t>JY/T 1001 QDFS 取得方式代码</t>
  </si>
  <si>
    <t>QD_DATE</t>
  </si>
  <si>
    <t>土地证号</t>
  </si>
  <si>
    <t>TDZH_NUMBER</t>
  </si>
  <si>
    <t>HQ_ZC_JZWJC</t>
  </si>
  <si>
    <t>建筑物号</t>
  </si>
  <si>
    <t>JZWH_NUMBER</t>
  </si>
  <si>
    <t>学校自编</t>
  </si>
  <si>
    <t>建筑物名称</t>
  </si>
  <si>
    <t>JZW_NAME</t>
  </si>
  <si>
    <t>指建筑物的汉字名称</t>
  </si>
  <si>
    <t>房屋产权码</t>
  </si>
  <si>
    <t>房屋产权</t>
  </si>
  <si>
    <t>CQ_CODE</t>
  </si>
  <si>
    <t>JY/T 1001 CQ产权代码</t>
  </si>
  <si>
    <t>使用状况码</t>
  </si>
  <si>
    <t>使用状况</t>
  </si>
  <si>
    <t>SYZK_CODE</t>
  </si>
  <si>
    <t>JY/T 1001SYZK 使用状 况代码</t>
  </si>
  <si>
    <t>建筑物分类 码</t>
  </si>
  <si>
    <t>建筑物分类</t>
  </si>
  <si>
    <t>JZWFL_CODE</t>
  </si>
  <si>
    <t>JY/T 1001JZWFL 建筑物 分类代码</t>
  </si>
  <si>
    <t>建筑物结构 码</t>
  </si>
  <si>
    <t>建筑物结构</t>
  </si>
  <si>
    <t>JZWJG_CODE</t>
  </si>
  <si>
    <t>JY/T 1001JZWJG 建筑物 结构代码</t>
  </si>
  <si>
    <t>建筑物层数</t>
  </si>
  <si>
    <t>JZWCS_NUM</t>
  </si>
  <si>
    <t>含地下室，单位：层</t>
  </si>
  <si>
    <t>建成年月</t>
  </si>
  <si>
    <t>JC_DATE</t>
  </si>
  <si>
    <t>建筑物投资 总额</t>
  </si>
  <si>
    <t>建筑物投资总额</t>
  </si>
  <si>
    <t>JZWTZZE_MONEY</t>
  </si>
  <si>
    <t>单位：元</t>
  </si>
  <si>
    <t>经费来源码</t>
  </si>
  <si>
    <t>JFLY_CODE</t>
  </si>
  <si>
    <t>JY/T 1001JFLY 经费来 源代码</t>
  </si>
  <si>
    <t>总建筑面积</t>
  </si>
  <si>
    <t>ZJZMJ_AREA</t>
  </si>
  <si>
    <t>单位：平方米</t>
  </si>
  <si>
    <t>总使用面积</t>
  </si>
  <si>
    <t>ZSYMJ_AREA</t>
  </si>
  <si>
    <t>抗震设防烈 度码</t>
  </si>
  <si>
    <t>抗震设防烈度</t>
  </si>
  <si>
    <t>KZSFLD_CODE</t>
  </si>
  <si>
    <t>JY/T 1001 KZSFLD 抗震设防烈度代码</t>
  </si>
  <si>
    <t>抗震设防标 准码</t>
  </si>
  <si>
    <t>抗震设防标准</t>
  </si>
  <si>
    <t>KZSFBZ_CODE</t>
  </si>
  <si>
    <t>JY/T 1001 KZSFBZ 抗震设防标准代码</t>
  </si>
  <si>
    <t>建筑物地址</t>
  </si>
  <si>
    <t>JZWDZ_ADDRESS</t>
  </si>
  <si>
    <t>指建筑物的详细地址</t>
  </si>
  <si>
    <t>建筑物状况 码</t>
  </si>
  <si>
    <t>建筑物状况</t>
  </si>
  <si>
    <t>JZWZK_CODE</t>
  </si>
  <si>
    <t>JY/T 1001JZWZK 建筑物 状况代码</t>
  </si>
  <si>
    <t>建筑物图片</t>
  </si>
  <si>
    <t>JZWTP_PIC</t>
  </si>
  <si>
    <t>指建筑物的照片</t>
  </si>
  <si>
    <t>建筑物平面 图</t>
  </si>
  <si>
    <t>建筑物平面图</t>
  </si>
  <si>
    <t>JZWPMT_MAP</t>
  </si>
  <si>
    <t>指建筑物的建筑平面 图</t>
  </si>
  <si>
    <t>权属证号</t>
  </si>
  <si>
    <t>QSZH_NUMBER</t>
  </si>
  <si>
    <t>建筑物占地 面积</t>
  </si>
  <si>
    <t>建筑物占地面积</t>
  </si>
  <si>
    <t>JZWZDMJ_AREA</t>
  </si>
  <si>
    <t>设计使用年 限</t>
  </si>
  <si>
    <t>设计使用年限</t>
  </si>
  <si>
    <t>SJSYNX_YEAR</t>
  </si>
  <si>
    <t>单位：年</t>
  </si>
  <si>
    <t>HQ_ZC_JZWFJ</t>
  </si>
  <si>
    <t>房间号</t>
  </si>
  <si>
    <t>FJH_NUMBER</t>
  </si>
  <si>
    <t>房间名称</t>
  </si>
  <si>
    <t>FJMC_NAME</t>
  </si>
  <si>
    <t>房间用途码</t>
  </si>
  <si>
    <t>FJYT_CODE</t>
  </si>
  <si>
    <t>房间楼层</t>
  </si>
  <si>
    <t>FJLC_NUMBER</t>
  </si>
  <si>
    <t>房间建筑面积</t>
  </si>
  <si>
    <t>FJJZMJ_AREA</t>
  </si>
  <si>
    <t>房间使用面积</t>
  </si>
  <si>
    <t>FJSYMJ_AREA</t>
  </si>
  <si>
    <t>房间平面结构图</t>
  </si>
  <si>
    <t>FJPMJGT_MAP</t>
  </si>
  <si>
    <t>指房间的平面图</t>
  </si>
  <si>
    <t>房间使用状态码</t>
  </si>
  <si>
    <t>FJSYZT_CODE</t>
  </si>
  <si>
    <t>房间使用单位号</t>
  </si>
  <si>
    <t>FJSYDWH_NUMBER</t>
  </si>
  <si>
    <t>指使用该房间的院 系部处所中心号，学 校自编</t>
  </si>
  <si>
    <t>承租单位名称</t>
  </si>
  <si>
    <t>CZDW_NAME</t>
  </si>
  <si>
    <t>指承租单位名称（可能是校外单位）</t>
  </si>
  <si>
    <t>租赁起始日期</t>
  </si>
  <si>
    <t>ZLQS_DATE</t>
  </si>
  <si>
    <t>使用日期类型</t>
  </si>
  <si>
    <t>租赁结束日期</t>
  </si>
  <si>
    <t>ZLJS_DATE</t>
  </si>
  <si>
    <t>月租金</t>
  </si>
  <si>
    <t>YZJ_MONEY</t>
  </si>
  <si>
    <t>房间备注</t>
  </si>
  <si>
    <t>FJBZ_DES</t>
  </si>
  <si>
    <t>房间的其他说明（如 使用者，联系方式 等）</t>
  </si>
  <si>
    <t>房间朝向</t>
  </si>
  <si>
    <t>FJCX_DIRECTION</t>
  </si>
  <si>
    <t>房间管理单位号</t>
  </si>
  <si>
    <t>FJGLDWH_NUMBER</t>
  </si>
  <si>
    <t>供热状况</t>
  </si>
  <si>
    <t>GRZK_STATUS</t>
  </si>
  <si>
    <t>供电情况</t>
  </si>
  <si>
    <t>GDQK_STANDARD</t>
  </si>
  <si>
    <t>单位：伏特，如：220/380</t>
  </si>
  <si>
    <t>房间是否有空调</t>
  </si>
  <si>
    <t>IS_AIRCONDITION</t>
  </si>
  <si>
    <t>JY/T 1001 SFBZ 是否标志代码</t>
  </si>
  <si>
    <t>安防设施</t>
  </si>
  <si>
    <t>AFSS_EQUIPMENT</t>
  </si>
  <si>
    <t>喷淋、烟感等</t>
  </si>
  <si>
    <t>是否有通风设施</t>
  </si>
  <si>
    <t>IS_AERATION</t>
  </si>
  <si>
    <t>HQ_ZC_JZWXS</t>
  </si>
  <si>
    <t>修缮开始日期</t>
  </si>
  <si>
    <t>XSKS_DATE</t>
  </si>
  <si>
    <t>修缮结束日期</t>
  </si>
  <si>
    <t>XSJS_DATE</t>
  </si>
  <si>
    <t>修缮内容</t>
  </si>
  <si>
    <t>XSNR_CONTENT</t>
  </si>
  <si>
    <t>修缮经费</t>
  </si>
  <si>
    <t>XSJF_MONEY</t>
  </si>
  <si>
    <t>修缮单位</t>
  </si>
  <si>
    <t>XSDW_DEPT</t>
  </si>
  <si>
    <t>经办人号</t>
  </si>
  <si>
    <t>JBRH_NUMBER</t>
  </si>
  <si>
    <t>修缮说明</t>
  </si>
  <si>
    <t>XSSM_DES</t>
  </si>
  <si>
    <t>修缮出资单位</t>
  </si>
  <si>
    <t>XSCZDW_DEPT</t>
  </si>
  <si>
    <t>修缮资金出资单位名称</t>
  </si>
  <si>
    <t>HQ_ZC_XXSS</t>
  </si>
  <si>
    <t>设施号</t>
  </si>
  <si>
    <t>SSH_NUMBER</t>
  </si>
  <si>
    <t>设施产权码</t>
  </si>
  <si>
    <t>设施使用状况码</t>
  </si>
  <si>
    <t>SSSYZK_CODE</t>
  </si>
  <si>
    <t>所属学校单位层次码</t>
  </si>
  <si>
    <t>XXDWCC_CODE</t>
  </si>
  <si>
    <t>设施名称</t>
  </si>
  <si>
    <t>SS_NAME</t>
  </si>
  <si>
    <t>建设年月</t>
  </si>
  <si>
    <t>JS_DATE</t>
  </si>
  <si>
    <t>建设费用</t>
  </si>
  <si>
    <t>JSFY_MONEY</t>
  </si>
  <si>
    <t>指建成设施的总经费， 单位：元</t>
  </si>
  <si>
    <t>修缮年月</t>
  </si>
  <si>
    <t>XS_DATE</t>
  </si>
  <si>
    <t>修缮费用</t>
  </si>
  <si>
    <t>XSFY_MONEY</t>
  </si>
  <si>
    <t>指修缮设施的总经费， 单位：元</t>
  </si>
  <si>
    <t>使用是否正 常</t>
  </si>
  <si>
    <t>IS_NORMAL</t>
  </si>
  <si>
    <t>0 不正常</t>
  </si>
  <si>
    <t xml:space="preserve"> 实验室基本数据</t>
  </si>
  <si>
    <t>HQ_ZC_SYSJC</t>
  </si>
  <si>
    <t>实验室号</t>
  </si>
  <si>
    <t>SYSH_NUMBER</t>
  </si>
  <si>
    <t>实验室名称</t>
  </si>
  <si>
    <t>SYS_NAME</t>
  </si>
  <si>
    <t>建立日期</t>
  </si>
  <si>
    <t>JL_DATE</t>
  </si>
  <si>
    <t>建筑面积</t>
  </si>
  <si>
    <t>JZMJ_AREA</t>
  </si>
  <si>
    <t>使用面积</t>
  </si>
  <si>
    <t>SYMJ_AREA</t>
  </si>
  <si>
    <t>实验室位置</t>
  </si>
  <si>
    <t>SYSWZ_LOCATION</t>
  </si>
  <si>
    <t>负责人号</t>
  </si>
  <si>
    <t>FZR_ID</t>
  </si>
  <si>
    <t>实验室类别码</t>
  </si>
  <si>
    <t>SYSLB_CODE</t>
  </si>
  <si>
    <t>实验室电话</t>
  </si>
  <si>
    <t>SYSDH_PHONE_NUMBER</t>
  </si>
  <si>
    <t>实验室介绍</t>
  </si>
  <si>
    <t>SYSJS_CODE</t>
  </si>
  <si>
    <t>JY/T 1001 GLJB 管理级别代码</t>
  </si>
  <si>
    <t>管理级别码</t>
  </si>
  <si>
    <t>GLJB_CODE</t>
  </si>
  <si>
    <t>器材管理员号</t>
  </si>
  <si>
    <t>QCGLY_ID</t>
  </si>
  <si>
    <t>实验室所属学科</t>
  </si>
  <si>
    <t>SYSSSXK_MAJOR</t>
  </si>
  <si>
    <t>实验室简称</t>
  </si>
  <si>
    <t>SHORT_NAME</t>
  </si>
  <si>
    <t>HQ_ZC_SYSYX</t>
  </si>
  <si>
    <t>年度</t>
  </si>
  <si>
    <t>实验室费用编码</t>
  </si>
  <si>
    <t>SYSFY_CODE</t>
  </si>
  <si>
    <t>JY/T 1001 SYSFY 实验室费用代码</t>
  </si>
  <si>
    <t>投入额</t>
  </si>
  <si>
    <t>TRE_MONEY</t>
  </si>
  <si>
    <t>支出额</t>
  </si>
  <si>
    <t>ZCE_MONEY</t>
  </si>
  <si>
    <t>运行说明</t>
  </si>
  <si>
    <t>YXSM_DES</t>
  </si>
  <si>
    <t>HQ_ZC_SYSRY</t>
  </si>
  <si>
    <t>岗位职称</t>
  </si>
  <si>
    <t>GWZC_TITLE</t>
  </si>
  <si>
    <t>GB/T 8561 岗位职称</t>
  </si>
  <si>
    <t>岗位人数</t>
  </si>
  <si>
    <t>GWRS_COUNT</t>
  </si>
  <si>
    <t>是否兼职</t>
  </si>
  <si>
    <t>IS_PART_JOB</t>
  </si>
  <si>
    <t>HQ_ZC_SYSPG</t>
  </si>
  <si>
    <t>奖励级别码</t>
  </si>
  <si>
    <t>HJJB_CODE</t>
  </si>
  <si>
    <t>指整个实验室的综合奖，不包括各种的单项奖励</t>
  </si>
  <si>
    <t>重新定义了</t>
  </si>
  <si>
    <t>评估结果码</t>
  </si>
  <si>
    <t>PGJG_CODE</t>
  </si>
  <si>
    <t>未评估不填写</t>
  </si>
  <si>
    <t>JY/T 1001 SYSPGJG 实验室评估结果代码</t>
  </si>
  <si>
    <t>HQ_ZC_SYXM</t>
  </si>
  <si>
    <t>实验序号</t>
  </si>
  <si>
    <t>SYXH_NUMBER</t>
  </si>
  <si>
    <t>实验名称</t>
  </si>
  <si>
    <t>SY_NAME</t>
  </si>
  <si>
    <t>隶属课程号</t>
  </si>
  <si>
    <t>LSKCH_NUMBER</t>
  </si>
  <si>
    <t>非教学实验不填</t>
  </si>
  <si>
    <t>实验类别码</t>
  </si>
  <si>
    <t>SYLB_CODE</t>
  </si>
  <si>
    <t>JY/T 1001 SYLB 实验类别代码JY/T 1001 ZXXSYLB中小学实验类别代 码</t>
  </si>
  <si>
    <t>专业分类码</t>
  </si>
  <si>
    <t>ZYFL_CODE</t>
  </si>
  <si>
    <t>本实验项目所属的 专业码</t>
  </si>
  <si>
    <t>实验要求码</t>
  </si>
  <si>
    <t>SYYQ_CODE</t>
  </si>
  <si>
    <t>JY/T 1001 SYYQ 实验要求代码</t>
  </si>
  <si>
    <t>实验者类别码</t>
  </si>
  <si>
    <t>SYZLB_CODE</t>
  </si>
  <si>
    <t>JY/T 1001 SYZLB实验者类别代码</t>
  </si>
  <si>
    <t>实验者人数</t>
  </si>
  <si>
    <t>SYZRS_COUNT</t>
  </si>
  <si>
    <t>参加实验的总人 数，单位：人</t>
  </si>
  <si>
    <t>每组人数</t>
  </si>
  <si>
    <t>MZRS_COUNT</t>
  </si>
  <si>
    <t>指每套仪器设备上 作实验的人数，非 教学实验不填，单 位：人</t>
  </si>
  <si>
    <t>实验时数</t>
  </si>
  <si>
    <t>SYSS_COUNT</t>
  </si>
  <si>
    <t>指完成本实验的时 数，单位：小时</t>
  </si>
  <si>
    <t>获奖级别码</t>
  </si>
  <si>
    <t>带课教师号</t>
  </si>
  <si>
    <t>DKJS_ID</t>
  </si>
  <si>
    <t>实验地点</t>
  </si>
  <si>
    <t>SYDD_LOCATION</t>
  </si>
  <si>
    <t>HQ_ZC_YQSB</t>
  </si>
  <si>
    <t>仪器号</t>
  </si>
  <si>
    <t>YQH_NUMBER</t>
  </si>
  <si>
    <t>仪器名称</t>
  </si>
  <si>
    <t>YQ_NAME</t>
  </si>
  <si>
    <t>产品标牌上的汉字名 称，进口产品用英译汉 名称，包括仪器、设备、 教具和玩具等</t>
  </si>
  <si>
    <t>仪器英文名称</t>
  </si>
  <si>
    <t>YQYW_NAME</t>
  </si>
  <si>
    <t>学校单位层次码</t>
  </si>
  <si>
    <t>JY/T 1001 XXDWCC 学校单位层次代码</t>
  </si>
  <si>
    <t>产权码</t>
  </si>
  <si>
    <t>分类码</t>
  </si>
  <si>
    <t>YQFL_CODE</t>
  </si>
  <si>
    <t>高等学校采用高等学校固定资产分类及编码，其他学校采用教学仪器设备产品（物资）分类与代码</t>
  </si>
  <si>
    <t>高等学校固定资产分类及编码教学仪器设备产品（物资）分类与代码</t>
  </si>
  <si>
    <t>仪器型号</t>
  </si>
  <si>
    <t>YQXH_NUMBER</t>
  </si>
  <si>
    <t>出厂日期</t>
  </si>
  <si>
    <t>CC_DATE</t>
  </si>
  <si>
    <t>生产国别/地区码</t>
  </si>
  <si>
    <t>SCGBDQ_CODE</t>
  </si>
  <si>
    <t>指仪器的生产国，用三位字母代码</t>
  </si>
  <si>
    <t>GB/T 2659</t>
  </si>
  <si>
    <t>经费科目码</t>
  </si>
  <si>
    <t>JFKM_CODE</t>
  </si>
  <si>
    <t>JY/T 1001JFKM 经费科目代码</t>
  </si>
  <si>
    <t>购置日期</t>
  </si>
  <si>
    <t>GZ_DATE</t>
  </si>
  <si>
    <t>生产厂家</t>
  </si>
  <si>
    <t>SCCJ_COMPANY</t>
  </si>
  <si>
    <t>指生产厂家的汉字名， 进口产品用英译汉名 或外文名</t>
  </si>
  <si>
    <t>出厂号</t>
  </si>
  <si>
    <t>CCH_NUMBER</t>
  </si>
  <si>
    <t>厂家标注在产品上的 唯一号</t>
  </si>
  <si>
    <t>单据号</t>
  </si>
  <si>
    <t>DJH_NUMBER</t>
  </si>
  <si>
    <t>采购凭证单据号或进 口产品订货合同号</t>
  </si>
  <si>
    <t>图片</t>
  </si>
  <si>
    <t>TP_PIC</t>
  </si>
  <si>
    <t>指仪器设备的图片</t>
  </si>
  <si>
    <t>仪器地点</t>
  </si>
  <si>
    <t>YQDD_LOCATION</t>
  </si>
  <si>
    <t>设备负责人号</t>
  </si>
  <si>
    <t>设备负责人</t>
  </si>
  <si>
    <t>SBFZR_ID</t>
  </si>
  <si>
    <t>设备负责人的工号</t>
  </si>
  <si>
    <t>技术指标</t>
  </si>
  <si>
    <t>JSZB_QUOTA</t>
  </si>
  <si>
    <t>仪器配置</t>
  </si>
  <si>
    <t>YQPZ_CONFIG</t>
  </si>
  <si>
    <t>价格币种</t>
  </si>
  <si>
    <t>JGBZ_CURRENCY</t>
  </si>
  <si>
    <t>GB/T 12406</t>
  </si>
  <si>
    <t>仪器价格</t>
  </si>
  <si>
    <t>YQJG_MONEY</t>
  </si>
  <si>
    <t>仪器说明</t>
  </si>
  <si>
    <t>YQSM_DES</t>
  </si>
  <si>
    <t>财务帐号</t>
  </si>
  <si>
    <t>CWZH_ACCOUNT</t>
  </si>
  <si>
    <t>指校内财务帐号</t>
  </si>
  <si>
    <t>供货商</t>
  </si>
  <si>
    <t>GHS_NAME</t>
  </si>
  <si>
    <t>供货商的名称</t>
  </si>
  <si>
    <t>保修截止日 期</t>
  </si>
  <si>
    <t>BXJZ_DATE</t>
  </si>
  <si>
    <t>设备来源</t>
  </si>
  <si>
    <t>SBLY_SOURCE</t>
  </si>
  <si>
    <t>如：盘盈、外购、调入、 转入、捐赠、自制自建、 其他</t>
  </si>
  <si>
    <t>是否精密贵 重仪器</t>
  </si>
  <si>
    <t>是否精密贵重仪器</t>
  </si>
  <si>
    <t>IS_PRECIOUS</t>
  </si>
  <si>
    <t>HQ_ZC_YQSBFJ</t>
  </si>
  <si>
    <t>附件编号</t>
  </si>
  <si>
    <t>FJBH_NUMBER</t>
  </si>
  <si>
    <t>附件数量</t>
  </si>
  <si>
    <t>FJSL_NUM</t>
  </si>
  <si>
    <t>某仪器设备附件的总 数量，单位：个</t>
  </si>
  <si>
    <t>附件名称</t>
  </si>
  <si>
    <t>FJ_NAME</t>
  </si>
  <si>
    <t>汉字全称或汉字缩写</t>
  </si>
  <si>
    <t>附件型号规格</t>
  </si>
  <si>
    <t>FJXHGG_TYPE</t>
  </si>
  <si>
    <t>O</t>
  </si>
  <si>
    <t>附件价格</t>
  </si>
  <si>
    <t>FJJG_PRICE</t>
  </si>
  <si>
    <t>附件英文名称</t>
  </si>
  <si>
    <t>FJYW_NAME</t>
  </si>
  <si>
    <t>人民币总价</t>
  </si>
  <si>
    <t>RMBZJ_MONEY</t>
  </si>
  <si>
    <t>生产国别/地区 码</t>
  </si>
  <si>
    <t>GHS_SERVICE_NAME</t>
  </si>
  <si>
    <t>HQ_ZC_YQSBGL</t>
  </si>
  <si>
    <t>现状码</t>
  </si>
  <si>
    <t>仪器设备现状</t>
  </si>
  <si>
    <t>XZ_CODE</t>
  </si>
  <si>
    <t>JY/T 1001 YQXZ仪器现状代码</t>
  </si>
  <si>
    <t>YQXZ_CODE</t>
  </si>
  <si>
    <t>使用方向码</t>
  </si>
  <si>
    <t>仪器设备现使用方向</t>
  </si>
  <si>
    <t>SYFX_CODE</t>
  </si>
  <si>
    <t>JY/T 1001 YQSYFX仪器使用方向代 码</t>
  </si>
  <si>
    <t>使用单位号</t>
  </si>
  <si>
    <t>仪器设备现使用单位</t>
  </si>
  <si>
    <t>SYDWH_NUMBER</t>
  </si>
  <si>
    <t>经手人号</t>
  </si>
  <si>
    <t>JSR_ID</t>
  </si>
  <si>
    <t>校内首次办理使用 手续人的工号</t>
  </si>
  <si>
    <t>领用单位</t>
  </si>
  <si>
    <t>LYDW_DEPT</t>
  </si>
  <si>
    <t>仪器设备校内调动 后，新使用单位名称</t>
  </si>
  <si>
    <t>领用人号</t>
  </si>
  <si>
    <t>LYR_ID</t>
  </si>
  <si>
    <t>仪器设备校内调动 后，新使用单位办理 领用手续人的工号</t>
  </si>
  <si>
    <t>维护人数</t>
  </si>
  <si>
    <t>WHRS_PERSON_NUM</t>
  </si>
  <si>
    <t>仪器设备专职操作 维护人员数量，兼职 按工作量折算为全 时人员数时只取整 数，单位：人</t>
  </si>
  <si>
    <t>使用人时数</t>
  </si>
  <si>
    <t>SYRSS_COUNT</t>
  </si>
  <si>
    <t>单位：人时</t>
  </si>
  <si>
    <t>开设实验个数</t>
  </si>
  <si>
    <t>KSSYGS_COUNT</t>
  </si>
  <si>
    <t>单位：个</t>
  </si>
  <si>
    <t>开设实验时数</t>
  </si>
  <si>
    <t>KSSYSS_COUNT</t>
  </si>
  <si>
    <t>单位：小时</t>
  </si>
  <si>
    <t>教学时数</t>
  </si>
  <si>
    <t>JXSS_COUNT</t>
  </si>
  <si>
    <t>科研时数</t>
  </si>
  <si>
    <t>KYSS_COUNT</t>
  </si>
  <si>
    <t>社会项目时数</t>
  </si>
  <si>
    <t>SHXMSS_COUNT</t>
  </si>
  <si>
    <t>保管人号</t>
  </si>
  <si>
    <t>BGRH_NUMBER</t>
  </si>
  <si>
    <t>日常保管人工号</t>
  </si>
  <si>
    <t>HQ_ZC_JMGZYQSB</t>
  </si>
  <si>
    <t>教学机时</t>
  </si>
  <si>
    <t>JXJS_COUNT</t>
  </si>
  <si>
    <t>一学年在仪器设备上完成教 学的学时数，单位：小时</t>
  </si>
  <si>
    <t>科研机时</t>
  </si>
  <si>
    <t>KYJS_COUNT</t>
  </si>
  <si>
    <t>一学年在仪器设备上完成科 研的学时数，单位：小时</t>
  </si>
  <si>
    <t>其他机时</t>
  </si>
  <si>
    <t>QTJS_COUNT</t>
  </si>
  <si>
    <t>一学年在仪器设备上开展非 教学、科研工作的学时数， 单位：小时</t>
  </si>
  <si>
    <t>培训专科生</t>
  </si>
  <si>
    <t>培训专科生人数</t>
  </si>
  <si>
    <t>PXZKS_COUNT</t>
  </si>
  <si>
    <t>一学年在仪器设备上培训专 科人数，单位：人</t>
  </si>
  <si>
    <t>培训本科生</t>
  </si>
  <si>
    <t>培训本科生人数</t>
  </si>
  <si>
    <t>PXBKS_COUNT</t>
  </si>
  <si>
    <t>培训研究生</t>
  </si>
  <si>
    <t>培训研究生人数</t>
  </si>
  <si>
    <t>PXYJS_COUNT</t>
  </si>
  <si>
    <t>一学年在仪器设备上培训研 究生人数，单位：人</t>
  </si>
  <si>
    <t>培训教师</t>
  </si>
  <si>
    <t>培训教师人数</t>
  </si>
  <si>
    <t>PXJS_COUNT</t>
  </si>
  <si>
    <t>一学年在仪器设备上培训教 师人数，单位：人</t>
  </si>
  <si>
    <t>培训其他人</t>
  </si>
  <si>
    <t>培训其他人人数</t>
  </si>
  <si>
    <t>PXQTR_COUNT</t>
  </si>
  <si>
    <t>一学年在仪器设备上培训其 他人数，单位：人</t>
  </si>
  <si>
    <t>新开实验</t>
  </si>
  <si>
    <t>新开教学实验项目数</t>
  </si>
  <si>
    <t>XKSY_COUNT</t>
  </si>
  <si>
    <t>一学年在仪器设备上新开设 的教学实验项目数，单位： 人</t>
  </si>
  <si>
    <t>改进实验</t>
  </si>
  <si>
    <t>改进教学实验项目</t>
  </si>
  <si>
    <t>GJSY_COUNT</t>
  </si>
  <si>
    <t>一学年在仪器设备上改进教 学实验项目数，单位：个</t>
  </si>
  <si>
    <t>进行科研课题</t>
  </si>
  <si>
    <t>进行科研课题数</t>
  </si>
  <si>
    <t>JXKYKT_COUNT</t>
  </si>
  <si>
    <t>一学年在仪器设备开展的科 研课题、社会服务项目数， 单位：个</t>
  </si>
  <si>
    <t>完成科研课题</t>
  </si>
  <si>
    <t>完成科研课题数</t>
  </si>
  <si>
    <t>WCKYKT_COUNT</t>
  </si>
  <si>
    <t>一学年在仪器设备上已经完 成的科研课题、社会服务项 目数，单位：个</t>
  </si>
  <si>
    <t>国家级奖数</t>
  </si>
  <si>
    <t>GJJJS_COUNT</t>
  </si>
  <si>
    <t>一学年在仪器设备上完成的 成果，已经获得科技部、教 育部正式奖励的项目数，单 位：个</t>
  </si>
  <si>
    <t>其他奖励数</t>
  </si>
  <si>
    <t>QTJLS_COUNT</t>
  </si>
  <si>
    <t>一学年在仪器设备上完成的 成果获科技部、教育部以外 其他级别及部门的正式奖励 的项目数,单位：个</t>
  </si>
  <si>
    <t>校内测样数</t>
  </si>
  <si>
    <t>XNCYS_COUNT</t>
  </si>
  <si>
    <t>一学年在仪器设备上测试分 析校内样品的数量，单位： 个</t>
  </si>
  <si>
    <t>校外测样数</t>
  </si>
  <si>
    <t>XWCYS_COUNT</t>
  </si>
  <si>
    <t>一学年在仪器设备上为校外 单位测试分析样品的数量, 单位：个</t>
  </si>
  <si>
    <t>原有功能数</t>
  </si>
  <si>
    <t>YYGNS_COUNT</t>
  </si>
  <si>
    <t>仪器设备到货时已具有的功 能数,单位：个</t>
  </si>
  <si>
    <t>使用功能数</t>
  </si>
  <si>
    <t>SYGNS_COUNT</t>
  </si>
  <si>
    <t>实际使用现有功能的数量， 单位：个</t>
  </si>
  <si>
    <t>新开发功能数</t>
  </si>
  <si>
    <t>XKFGNS_COUNT</t>
  </si>
  <si>
    <t>新开发的功能数，单位：个</t>
  </si>
  <si>
    <t>应用成果</t>
  </si>
  <si>
    <t>YYCG_RESULT</t>
  </si>
  <si>
    <t>知名用户</t>
  </si>
  <si>
    <t>ZMYH_NAME</t>
  </si>
  <si>
    <t>额定机时</t>
  </si>
  <si>
    <t>EDJS_COUNT</t>
  </si>
  <si>
    <t>收费标准</t>
  </si>
  <si>
    <t>SFBZ_STANDARD</t>
  </si>
  <si>
    <t>WHRS_COUNT</t>
  </si>
  <si>
    <t>维修次数</t>
  </si>
  <si>
    <t>WXCS_COUNT</t>
  </si>
  <si>
    <t>维修费用</t>
  </si>
  <si>
    <t>WXFY_MONEY</t>
  </si>
  <si>
    <t>维修支出的费用，单位：元</t>
  </si>
  <si>
    <t>可供机时日程表</t>
  </si>
  <si>
    <t>KGJSRCB</t>
  </si>
  <si>
    <t>校内测试金额</t>
  </si>
  <si>
    <t>XNCSJE_MONEY</t>
  </si>
  <si>
    <t>指校内单位测试收取的费 用，单位：元</t>
  </si>
  <si>
    <t>校外测试金额</t>
  </si>
  <si>
    <t>XWCSJE_MONEY</t>
  </si>
  <si>
    <t>指校外单位测试收取的费 用，单位：元</t>
  </si>
  <si>
    <t>HQ_ZC_YQSBWX</t>
  </si>
  <si>
    <t>故障发生日期</t>
  </si>
  <si>
    <t>故障发生时间</t>
  </si>
  <si>
    <t>GZ_TIME</t>
  </si>
  <si>
    <t>故障现象</t>
  </si>
  <si>
    <t>GZXX_DES</t>
  </si>
  <si>
    <t>故障原因</t>
  </si>
  <si>
    <t>GZYY_REASON</t>
  </si>
  <si>
    <t>维修日期</t>
  </si>
  <si>
    <t>WX_DATE</t>
  </si>
  <si>
    <t>维修内容</t>
  </si>
  <si>
    <t>WXNR_CONTENT</t>
  </si>
  <si>
    <t>经费来源</t>
  </si>
  <si>
    <t>JFLY_SOURCE</t>
  </si>
  <si>
    <t>维修申报人</t>
  </si>
  <si>
    <t>WXSBR_PERSON</t>
  </si>
  <si>
    <t>审批人</t>
  </si>
  <si>
    <t>SPR_PERSON</t>
  </si>
  <si>
    <t>可能包含多级审批人</t>
  </si>
  <si>
    <t>维修商</t>
  </si>
  <si>
    <t>WXS_COMPANY</t>
  </si>
  <si>
    <t>维修完成日期</t>
  </si>
  <si>
    <t>WXWC_DATE</t>
  </si>
  <si>
    <t>维修结论</t>
  </si>
  <si>
    <t>WXJL_CONCLUSION</t>
  </si>
  <si>
    <t>如：已修好、无法修 复等</t>
  </si>
  <si>
    <t>预计维修工时</t>
  </si>
  <si>
    <t>YJWXGS_COUNT</t>
  </si>
  <si>
    <t>维修预算</t>
  </si>
  <si>
    <t>WXYS_MONEY</t>
  </si>
  <si>
    <t>维修单位</t>
  </si>
  <si>
    <t>WXDW_DEPT</t>
  </si>
  <si>
    <t>维修方式</t>
  </si>
  <si>
    <t>WXFS_METHOD</t>
  </si>
  <si>
    <t>仪器设备报损报废</t>
  </si>
  <si>
    <t>HQ_ZC_YQSBBX</t>
  </si>
  <si>
    <t>select YQH_NUMBER from HQ_ZC_YQSB</t>
  </si>
  <si>
    <t>报损报废日期</t>
  </si>
  <si>
    <t>BSBF_DATE</t>
  </si>
  <si>
    <t>报损报废原因</t>
  </si>
  <si>
    <t>BSBFYY_REASON</t>
  </si>
  <si>
    <t>处理结果</t>
  </si>
  <si>
    <t>CLJG_RESULT</t>
  </si>
  <si>
    <t>指对仪器报损报废 处理的结果</t>
  </si>
  <si>
    <t>指办理仪器报损报 废手续人的工号</t>
  </si>
  <si>
    <t>损废说明</t>
  </si>
  <si>
    <t>SFSM_DES</t>
  </si>
  <si>
    <t>与仪器报损报废有 关的情况说明</t>
  </si>
  <si>
    <t>HQ_ZC_YQSBJZ</t>
  </si>
  <si>
    <r>
      <rPr>
        <sz val="11"/>
        <color theme="1"/>
        <rFont val="宋体"/>
        <charset val="134"/>
        <scheme val="minor"/>
      </rPr>
      <t>NO</t>
    </r>
    <r>
      <rPr>
        <sz val="11"/>
        <color theme="1"/>
        <rFont val="宋体"/>
        <charset val="134"/>
        <scheme val="minor"/>
      </rPr>
      <t>_</t>
    </r>
  </si>
  <si>
    <t>捐赠设备名称</t>
  </si>
  <si>
    <t>捐赠状态</t>
  </si>
  <si>
    <t>DONATE_STATUS_CODE</t>
  </si>
  <si>
    <t>设备价值(元)</t>
  </si>
  <si>
    <t>捐赠日期</t>
  </si>
  <si>
    <t>校企合作企业编号</t>
  </si>
  <si>
    <t>HQ_ZC_RJZY</t>
  </si>
  <si>
    <t>软件编号</t>
  </si>
  <si>
    <t>RJBH_NUMBER</t>
  </si>
  <si>
    <t>软件名称</t>
  </si>
  <si>
    <t>RJ_NAME</t>
  </si>
  <si>
    <t>软件分类码</t>
  </si>
  <si>
    <t>RJFL_CODE</t>
  </si>
  <si>
    <t>教学仪器设备 产品（物资） 分类与代码</t>
  </si>
  <si>
    <t>版本号</t>
  </si>
  <si>
    <t>BBH_NUMBER</t>
  </si>
  <si>
    <t>介质类型</t>
  </si>
  <si>
    <t>JZLX_TYPE</t>
  </si>
  <si>
    <t>介质数量</t>
  </si>
  <si>
    <t>JZSL_COUNT</t>
  </si>
  <si>
    <t>授权范围</t>
  </si>
  <si>
    <t>SQFW_SCOPE</t>
  </si>
  <si>
    <t>许可权证书数量或描 述</t>
  </si>
  <si>
    <t>单价</t>
  </si>
  <si>
    <t>DJ_PRICE</t>
  </si>
  <si>
    <t>软件（包括附件、专 用工具、数据库费、 备件及保险费用等） 购置的人民币价格（原值），取二位小 数，进口仪器设备按 当时汇率折算人民币 价，单位：元</t>
  </si>
  <si>
    <t>安装调试费</t>
  </si>
  <si>
    <t>AZTSF_MONEY</t>
  </si>
  <si>
    <t>安装、调试与原系统 集成和验收费用</t>
  </si>
  <si>
    <t>培训及技术支 持费</t>
  </si>
  <si>
    <t>PXJJSZCF_MONEY</t>
  </si>
  <si>
    <t>培训及质保期内服务 和技术支持费</t>
  </si>
  <si>
    <t>HQ_ZC_BASIC</t>
  </si>
  <si>
    <t>资产编号</t>
  </si>
  <si>
    <t>资产名称</t>
  </si>
  <si>
    <t>资产分类(教育部)</t>
  </si>
  <si>
    <t>ASSET_EDU_NO</t>
  </si>
  <si>
    <t>HQ_CODE_ASSET_EDU</t>
  </si>
  <si>
    <t>资产分类名称(教育部)</t>
  </si>
  <si>
    <t>ASSET_EDU_NAME</t>
  </si>
  <si>
    <t>是否记账</t>
  </si>
  <si>
    <t>IS_BOOKKEEPING</t>
  </si>
  <si>
    <t>记账类型</t>
  </si>
  <si>
    <t>BOOKKEEPING_TYPE_CODE</t>
  </si>
  <si>
    <t>现状</t>
  </si>
  <si>
    <t>UNIT_PRICE</t>
  </si>
  <si>
    <t>NUMBER(18,4)</t>
  </si>
  <si>
    <t>计量单位</t>
  </si>
  <si>
    <t>UNIT</t>
  </si>
  <si>
    <t>总价（原值）</t>
  </si>
  <si>
    <t>累计折旧</t>
  </si>
  <si>
    <t>LOSS_MONEY</t>
  </si>
  <si>
    <t>净值（账面净值）</t>
  </si>
  <si>
    <t>LEFTOVER_MONEY</t>
  </si>
  <si>
    <t>使用人</t>
  </si>
  <si>
    <t>USED_TEA_NO</t>
  </si>
  <si>
    <t>使用部门（处室/系院）</t>
  </si>
  <si>
    <t>USED_DEPT_ID</t>
  </si>
  <si>
    <t>使用方向</t>
  </si>
  <si>
    <t>资产来源</t>
  </si>
  <si>
    <t>ASSETS_SOURCE_CODE</t>
  </si>
  <si>
    <t>采购组织形式</t>
  </si>
  <si>
    <t>PRO_FORM_CODE</t>
  </si>
  <si>
    <t>价值类型</t>
  </si>
  <si>
    <t>VALUE_TYPE_CODE</t>
  </si>
  <si>
    <t>教育部十六大类代码</t>
  </si>
  <si>
    <t>EDUCATION_TYPE_CODE</t>
  </si>
  <si>
    <t>财政六大类代码</t>
  </si>
  <si>
    <t>FINANCE_TYPE_CODE</t>
  </si>
  <si>
    <t>HQ_CODE_ASSET_FINANCE</t>
  </si>
  <si>
    <t>PURCHASE_DATE</t>
  </si>
  <si>
    <t>入账/记账日期</t>
  </si>
  <si>
    <t>BOOKKEEPING_DATE</t>
  </si>
  <si>
    <t>处置日期</t>
  </si>
  <si>
    <t>DISPOSAL_DATE</t>
  </si>
  <si>
    <t>建档人</t>
  </si>
  <si>
    <t>CREATE_TEA_NO</t>
  </si>
  <si>
    <t>建档日期</t>
  </si>
  <si>
    <t>CREATE_DATE</t>
  </si>
  <si>
    <t>经手人</t>
  </si>
  <si>
    <t>DEAL_TEA_NO</t>
  </si>
  <si>
    <t>归口部门审核人</t>
  </si>
  <si>
    <t>ASCRIPTION_TEA_NO</t>
  </si>
  <si>
    <t>归口部门（处室/系院）</t>
  </si>
  <si>
    <t>ASCRIPTION_DEPT_ID</t>
  </si>
  <si>
    <t>使用年限</t>
  </si>
  <si>
    <t>EFFECTIVE_YEARS</t>
  </si>
  <si>
    <t>附件总价</t>
  </si>
  <si>
    <t>ANNEX_TOTAL_MONEY</t>
  </si>
  <si>
    <t>附件数</t>
  </si>
  <si>
    <t>ANNEX_COUNT</t>
  </si>
  <si>
    <t>品牌</t>
  </si>
  <si>
    <t>BRAND</t>
  </si>
  <si>
    <t>型号</t>
  </si>
  <si>
    <t>MODEL</t>
  </si>
  <si>
    <t>规格</t>
  </si>
  <si>
    <t>SPECIFICATION</t>
  </si>
  <si>
    <t>MANUFACTURER</t>
  </si>
  <si>
    <t>销售商</t>
  </si>
  <si>
    <t>SELLERS</t>
  </si>
  <si>
    <t>国别码</t>
  </si>
  <si>
    <t>COUNTRY_CODE</t>
  </si>
  <si>
    <t>外币种类</t>
  </si>
  <si>
    <t>CURRENCY_TYPE_CODE</t>
  </si>
  <si>
    <t>外币金额</t>
  </si>
  <si>
    <t>CURRENCY_MONEY</t>
  </si>
  <si>
    <t>会计凭证号</t>
  </si>
  <si>
    <t>ACCOUNTING_VOUCHER_NO</t>
  </si>
  <si>
    <t>验收单号</t>
  </si>
  <si>
    <t>ACCEPT_BILL_NO</t>
  </si>
  <si>
    <t>财务审批人</t>
  </si>
  <si>
    <t>FINANCE_TEA_NO</t>
  </si>
  <si>
    <t>财务审批日期</t>
  </si>
  <si>
    <t>FINANCE_DATE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</si>
</sst>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9">
    <font>
      <sz val="11"/>
      <color theme="1"/>
      <name val="宋体"/>
      <charset val="134"/>
      <scheme val="minor"/>
    </font>
    <font>
      <u/>
      <sz val="12"/>
      <color rgb="FF800080"/>
      <name val="宋体"/>
      <charset val="134"/>
      <scheme val="minor"/>
    </font>
    <font>
      <sz val="16"/>
      <color theme="1"/>
      <name val="微软雅黑"/>
      <charset val="134"/>
    </font>
    <font>
      <u/>
      <sz val="12"/>
      <color theme="10"/>
      <name val="宋体"/>
      <charset val="134"/>
      <scheme val="minor"/>
    </font>
    <font>
      <sz val="12"/>
      <color theme="1"/>
      <name val="微软雅黑"/>
      <charset val="134"/>
    </font>
    <font>
      <b/>
      <sz val="12"/>
      <color theme="1"/>
      <name val="微软雅黑"/>
      <charset val="134"/>
    </font>
    <font>
      <sz val="20"/>
      <color rgb="FFFF0000"/>
      <name val="微软雅黑"/>
      <charset val="134"/>
    </font>
    <font>
      <sz val="11"/>
      <color theme="1"/>
      <name val="宋体"/>
      <charset val="134"/>
    </font>
    <font>
      <sz val="11"/>
      <color theme="1"/>
      <name val="Calibri"/>
      <charset val="134"/>
    </font>
    <font>
      <sz val="12"/>
      <color rgb="FF000000"/>
      <name val="微软雅黑"/>
      <charset val="134"/>
    </font>
    <font>
      <sz val="9"/>
      <color theme="1"/>
      <name val="宋体"/>
      <charset val="134"/>
      <scheme val="minor"/>
    </font>
    <font>
      <sz val="18"/>
      <color theme="1"/>
      <name val="宋体"/>
      <charset val="134"/>
    </font>
    <font>
      <u/>
      <sz val="18"/>
      <color rgb="FF800080"/>
      <name val="宋体"/>
      <charset val="134"/>
      <scheme val="minor"/>
    </font>
    <font>
      <sz val="18"/>
      <color theme="1"/>
      <name val="微软雅黑"/>
      <charset val="134"/>
    </font>
    <font>
      <u/>
      <sz val="18"/>
      <color theme="10"/>
      <name val="宋体"/>
      <charset val="134"/>
      <scheme val="minor"/>
    </font>
    <font>
      <b/>
      <sz val="18"/>
      <color theme="1"/>
      <name val="微软雅黑"/>
      <charset val="134"/>
    </font>
    <font>
      <sz val="18"/>
      <color rgb="FFFF0000"/>
      <name val="微软雅黑"/>
      <charset val="134"/>
    </font>
    <font>
      <sz val="18"/>
      <color theme="1"/>
      <name val="宋体"/>
      <charset val="134"/>
      <scheme val="minor"/>
    </font>
    <font>
      <sz val="18"/>
      <color theme="1"/>
      <name val="Calibri"/>
      <charset val="134"/>
    </font>
    <font>
      <sz val="12"/>
      <color theme="10"/>
      <name val="宋体"/>
      <charset val="134"/>
      <scheme val="minor"/>
    </font>
    <font>
      <sz val="10.5"/>
      <color theme="1"/>
      <name val="等线"/>
      <charset val="134"/>
    </font>
    <font>
      <sz val="11"/>
      <color rgb="FFFF0000"/>
      <name val="宋体"/>
      <charset val="134"/>
      <scheme val="minor"/>
    </font>
    <font>
      <sz val="10"/>
      <color theme="1"/>
      <name val="宋体"/>
      <charset val="134"/>
      <scheme val="minor"/>
    </font>
    <font>
      <sz val="10"/>
      <color rgb="FF000000"/>
      <name val="宋体"/>
      <charset val="134"/>
    </font>
    <font>
      <sz val="10"/>
      <color theme="1"/>
      <name val="Helvetica Neue"/>
      <charset val="134"/>
    </font>
    <font>
      <sz val="11"/>
      <color rgb="FF000000"/>
      <name val="宋体"/>
      <charset val="134"/>
    </font>
    <font>
      <sz val="12"/>
      <color rgb="FFFF0000"/>
      <name val="微软雅黑"/>
      <charset val="134"/>
    </font>
    <font>
      <sz val="11"/>
      <color theme="1"/>
      <name val="微软雅黑"/>
      <charset val="134"/>
    </font>
    <font>
      <sz val="12"/>
      <color theme="1"/>
      <name val=".AppleSystemUIFont"/>
      <charset val="136"/>
    </font>
    <font>
      <sz val="12"/>
      <color rgb="FF333333"/>
      <name val="微软雅黑"/>
      <charset val="134"/>
    </font>
    <font>
      <sz val="12"/>
      <name val="微软雅黑"/>
      <charset val="134"/>
    </font>
    <font>
      <sz val="8"/>
      <name val="微软雅黑"/>
      <charset val="134"/>
    </font>
    <font>
      <sz val="15"/>
      <color theme="1"/>
      <name val="Helvetica Neue"/>
      <charset val="134"/>
    </font>
    <font>
      <sz val="10"/>
      <color theme="1"/>
      <name val="微软雅黑"/>
      <charset val="134"/>
    </font>
    <font>
      <sz val="12"/>
      <name val="宋体"/>
      <charset val="134"/>
    </font>
    <font>
      <sz val="12"/>
      <color rgb="FF000000"/>
      <name val="Arial"/>
      <charset val="134"/>
    </font>
    <font>
      <sz val="12"/>
      <color rgb="FF000000"/>
      <name val="SimSun"/>
      <charset val="134"/>
    </font>
    <font>
      <sz val="11"/>
      <color rgb="FF000000"/>
      <name val="微软雅黑"/>
      <charset val="134"/>
    </font>
    <font>
      <b/>
      <sz val="11"/>
      <color theme="1"/>
      <name val="宋体"/>
      <charset val="134"/>
      <scheme val="minor"/>
    </font>
    <font>
      <b/>
      <sz val="12"/>
      <color theme="1"/>
      <name val="宋体"/>
      <charset val="134"/>
      <scheme val="minor"/>
    </font>
    <font>
      <sz val="12"/>
      <color theme="1"/>
      <name val="宋体"/>
      <charset val="134"/>
      <scheme val="minor"/>
    </font>
    <font>
      <u/>
      <sz val="11"/>
      <color rgb="FF0000FF"/>
      <name val="宋体"/>
      <charset val="134"/>
      <scheme val="minor"/>
    </font>
    <font>
      <u/>
      <sz val="11"/>
      <color rgb="FF800080"/>
      <name val="宋体"/>
      <charset val="134"/>
      <scheme val="minor"/>
    </font>
    <font>
      <sz val="10.5"/>
      <color theme="1"/>
      <name val="宋体"/>
      <charset val="134"/>
      <scheme val="minor"/>
    </font>
    <font>
      <sz val="12"/>
      <color rgb="FFFF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Arial"/>
      <charset val="134"/>
    </font>
    <font>
      <b/>
      <sz val="12"/>
      <color rgb="FFFF0000"/>
      <name val="微软雅黑"/>
      <charset val="134"/>
    </font>
    <font>
      <sz val="8"/>
      <color theme="1"/>
      <name val="宋体"/>
      <charset val="134"/>
      <scheme val="minor"/>
    </font>
    <font>
      <sz val="10"/>
      <name val="宋体"/>
      <charset val="134"/>
    </font>
    <font>
      <b/>
      <sz val="12"/>
      <color rgb="FF00B050"/>
      <name val="宋体"/>
      <charset val="134"/>
      <scheme val="minor"/>
    </font>
    <font>
      <sz val="12"/>
      <color rgb="FF000000"/>
      <name val="宋体"/>
      <charset val="134"/>
    </font>
  </fonts>
  <fills count="44">
    <fill>
      <patternFill patternType="none"/>
    </fill>
    <fill>
      <patternFill patternType="gray125"/>
    </fill>
    <fill>
      <patternFill patternType="solid">
        <fgColor theme="9" tint="0.799829096346934"/>
        <bgColor indexed="64"/>
      </patternFill>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theme="7" tint="0.599993896298105"/>
        <bgColor indexed="64"/>
      </patternFill>
    </fill>
    <fill>
      <patternFill patternType="solid">
        <fgColor theme="9" tint="0.799890133365886"/>
        <bgColor indexed="64"/>
      </patternFill>
    </fill>
    <fill>
      <patternFill patternType="solid">
        <fgColor rgb="FFFF0000"/>
        <bgColor indexed="64"/>
      </patternFill>
    </fill>
    <fill>
      <patternFill patternType="solid">
        <fgColor indexed="47"/>
        <bgColor indexed="64"/>
      </patternFill>
    </fill>
    <fill>
      <patternFill patternType="solid">
        <fgColor indexed="50"/>
        <bgColor indexed="64"/>
      </patternFill>
    </fill>
    <fill>
      <patternFill patternType="solid">
        <fgColor theme="0" tint="-0.149876400036622"/>
        <bgColor indexed="64"/>
      </patternFill>
    </fill>
    <fill>
      <patternFill patternType="solid">
        <fgColor theme="0" tint="-0.149906918546098"/>
        <bgColor indexed="64"/>
      </patternFill>
    </fill>
    <fill>
      <patternFill patternType="solid">
        <fgColor rgb="FFFF9900"/>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top/>
      <bottom/>
      <diagonal/>
    </border>
    <border>
      <left style="thin">
        <color auto="1"/>
      </left>
      <right style="thin">
        <color auto="1"/>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15" borderId="17"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0" fillId="0" borderId="18" applyNumberFormat="0" applyFill="0" applyAlignment="0" applyProtection="0">
      <alignment vertical="center"/>
    </xf>
    <xf numFmtId="0" fontId="51" fillId="0" borderId="19" applyNumberFormat="0" applyFill="0" applyAlignment="0" applyProtection="0">
      <alignment vertical="center"/>
    </xf>
    <xf numFmtId="0" fontId="51" fillId="0" borderId="0" applyNumberFormat="0" applyFill="0" applyBorder="0" applyAlignment="0" applyProtection="0">
      <alignment vertical="center"/>
    </xf>
    <xf numFmtId="0" fontId="52" fillId="16" borderId="20" applyNumberFormat="0" applyAlignment="0" applyProtection="0">
      <alignment vertical="center"/>
    </xf>
    <xf numFmtId="0" fontId="53" fillId="17" borderId="21" applyNumberFormat="0" applyAlignment="0" applyProtection="0">
      <alignment vertical="center"/>
    </xf>
    <xf numFmtId="0" fontId="54" fillId="17" borderId="20" applyNumberFormat="0" applyAlignment="0" applyProtection="0">
      <alignment vertical="center"/>
    </xf>
    <xf numFmtId="0" fontId="55" fillId="18" borderId="22" applyNumberFormat="0" applyAlignment="0" applyProtection="0">
      <alignment vertical="center"/>
    </xf>
    <xf numFmtId="0" fontId="56" fillId="0" borderId="23" applyNumberFormat="0" applyFill="0" applyAlignment="0" applyProtection="0">
      <alignment vertical="center"/>
    </xf>
    <xf numFmtId="0" fontId="57" fillId="0" borderId="24" applyNumberFormat="0" applyFill="0" applyAlignment="0" applyProtection="0">
      <alignment vertical="center"/>
    </xf>
    <xf numFmtId="0" fontId="58" fillId="19" borderId="0" applyNumberFormat="0" applyBorder="0" applyAlignment="0" applyProtection="0">
      <alignment vertical="center"/>
    </xf>
    <xf numFmtId="0" fontId="59" fillId="20" borderId="0" applyNumberFormat="0" applyBorder="0" applyAlignment="0" applyProtection="0">
      <alignment vertical="center"/>
    </xf>
    <xf numFmtId="0" fontId="60" fillId="21" borderId="0" applyNumberFormat="0" applyBorder="0" applyAlignment="0" applyProtection="0">
      <alignment vertical="center"/>
    </xf>
    <xf numFmtId="0" fontId="61"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1" fillId="25" borderId="0" applyNumberFormat="0" applyBorder="0" applyAlignment="0" applyProtection="0">
      <alignment vertical="center"/>
    </xf>
    <xf numFmtId="0" fontId="61" fillId="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6" borderId="0" applyNumberFormat="0" applyBorder="0" applyAlignment="0" applyProtection="0">
      <alignment vertical="center"/>
    </xf>
    <xf numFmtId="0" fontId="61" fillId="35" borderId="0" applyNumberFormat="0" applyBorder="0" applyAlignment="0" applyProtection="0">
      <alignment vertical="center"/>
    </xf>
    <xf numFmtId="0" fontId="61" fillId="36" borderId="0" applyNumberFormat="0" applyBorder="0" applyAlignment="0" applyProtection="0">
      <alignment vertical="center"/>
    </xf>
    <xf numFmtId="0" fontId="62" fillId="37" borderId="0" applyNumberFormat="0" applyBorder="0" applyAlignment="0" applyProtection="0">
      <alignment vertical="center"/>
    </xf>
    <xf numFmtId="0" fontId="62"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2" fillId="41" borderId="0" applyNumberFormat="0" applyBorder="0" applyAlignment="0" applyProtection="0">
      <alignment vertical="center"/>
    </xf>
    <xf numFmtId="0" fontId="62" fillId="42" borderId="0" applyNumberFormat="0" applyBorder="0" applyAlignment="0" applyProtection="0">
      <alignment vertical="center"/>
    </xf>
    <xf numFmtId="0" fontId="61" fillId="43" borderId="0" applyNumberFormat="0" applyBorder="0" applyAlignment="0" applyProtection="0">
      <alignment vertical="center"/>
    </xf>
  </cellStyleXfs>
  <cellXfs count="355">
    <xf numFmtId="0" fontId="0" fillId="0" borderId="0" xfId="0">
      <alignment vertical="center"/>
    </xf>
    <xf numFmtId="0" fontId="1" fillId="0" borderId="1" xfId="6"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6" applyFont="1" applyBorder="1" applyAlignment="1">
      <alignment horizontal="center" vertical="center"/>
    </xf>
    <xf numFmtId="0" fontId="4" fillId="2" borderId="1" xfId="0" applyFont="1" applyFill="1" applyBorder="1" applyAlignment="1">
      <alignment horizontal="left" vertical="center" indent="1"/>
    </xf>
    <xf numFmtId="0" fontId="4" fillId="2" borderId="1" xfId="0" applyFont="1" applyFill="1" applyBorder="1" applyAlignment="1">
      <alignment horizontal="center" vertical="center"/>
    </xf>
    <xf numFmtId="0" fontId="4" fillId="2" borderId="2" xfId="0" applyFont="1" applyFill="1" applyBorder="1" applyAlignment="1">
      <alignment horizontal="left" vertical="center" indent="1"/>
    </xf>
    <xf numFmtId="0" fontId="4" fillId="2" borderId="1" xfId="0" applyFont="1" applyFill="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indent="1"/>
    </xf>
    <xf numFmtId="0" fontId="4" fillId="0" borderId="2" xfId="0" applyFont="1" applyBorder="1" applyAlignment="1">
      <alignment horizontal="left" vertical="center" inden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xf>
    <xf numFmtId="49" fontId="4" fillId="0" borderId="1" xfId="0" applyNumberFormat="1" applyFont="1" applyFill="1" applyBorder="1" applyAlignment="1">
      <alignment vertical="center"/>
    </xf>
    <xf numFmtId="49" fontId="4" fillId="4" borderId="1" xfId="0" applyNumberFormat="1" applyFont="1" applyFill="1" applyBorder="1" applyAlignment="1">
      <alignment vertical="center"/>
    </xf>
    <xf numFmtId="49" fontId="4" fillId="0" borderId="1" xfId="0" applyNumberFormat="1" applyFont="1" applyFill="1" applyBorder="1" applyAlignment="1">
      <alignment vertical="center" wrapText="1"/>
    </xf>
    <xf numFmtId="0" fontId="4" fillId="0" borderId="1" xfId="0" applyFont="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4" fillId="3" borderId="2" xfId="0" applyFont="1" applyFill="1" applyBorder="1" applyAlignment="1">
      <alignment horizontal="center" vertical="center"/>
    </xf>
    <xf numFmtId="0" fontId="6" fillId="0" borderId="1" xfId="0" applyFont="1" applyBorder="1" applyAlignment="1">
      <alignment vertical="center"/>
    </xf>
    <xf numFmtId="49" fontId="0" fillId="0" borderId="1" xfId="0" applyNumberFormat="1" applyFont="1" applyFill="1" applyBorder="1" applyAlignment="1">
      <alignment vertical="center"/>
    </xf>
    <xf numFmtId="49" fontId="0" fillId="4" borderId="1" xfId="0" applyNumberFormat="1" applyFont="1" applyFill="1" applyBorder="1" applyAlignment="1">
      <alignment vertical="center"/>
    </xf>
    <xf numFmtId="49" fontId="0" fillId="0" borderId="1" xfId="0" applyNumberFormat="1" applyFont="1" applyFill="1" applyBorder="1" applyAlignment="1">
      <alignment vertical="center" wrapText="1"/>
    </xf>
    <xf numFmtId="0" fontId="4" fillId="0" borderId="2" xfId="0" applyFont="1" applyBorder="1" applyAlignment="1">
      <alignment vertical="center" wrapText="1"/>
    </xf>
    <xf numFmtId="0" fontId="7" fillId="0" borderId="1" xfId="0" applyFont="1" applyFill="1" applyBorder="1" applyAlignment="1">
      <alignment horizontal="left" wrapText="1"/>
    </xf>
    <xf numFmtId="0" fontId="7" fillId="4" borderId="1" xfId="0" applyFont="1" applyFill="1" applyBorder="1" applyAlignment="1">
      <alignment horizontal="left" wrapText="1"/>
    </xf>
    <xf numFmtId="0" fontId="8" fillId="0" borderId="1" xfId="0" applyFont="1" applyFill="1" applyBorder="1" applyAlignment="1">
      <alignment horizontal="left" wrapText="1"/>
    </xf>
    <xf numFmtId="0" fontId="7" fillId="5" borderId="1" xfId="0" applyFont="1" applyFill="1" applyBorder="1" applyAlignment="1">
      <alignment horizontal="left" wrapText="1"/>
    </xf>
    <xf numFmtId="0" fontId="3" fillId="0" borderId="1" xfId="6" applyFont="1" applyFill="1" applyBorder="1" applyAlignment="1">
      <alignment horizontal="left" wrapText="1"/>
    </xf>
    <xf numFmtId="0" fontId="7" fillId="0"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4" fillId="0" borderId="3" xfId="0" applyFont="1" applyBorder="1" applyAlignment="1">
      <alignment horizontal="center" vertical="center" wrapText="1"/>
    </xf>
    <xf numFmtId="0" fontId="9" fillId="0" borderId="0" xfId="0" applyFont="1" applyAlignment="1">
      <alignment horizontal="center" vertical="center"/>
    </xf>
    <xf numFmtId="0" fontId="10" fillId="0" borderId="1" xfId="0" applyFont="1" applyBorder="1" applyAlignment="1">
      <alignment horizontal="left" vertical="top" wrapText="1"/>
    </xf>
    <xf numFmtId="0" fontId="10" fillId="0" borderId="1" xfId="0" applyFont="1" applyBorder="1" applyAlignment="1">
      <alignment horizontal="justify" vertical="center"/>
    </xf>
    <xf numFmtId="0" fontId="10" fillId="4" borderId="1" xfId="0" applyFont="1" applyFill="1" applyBorder="1" applyAlignment="1">
      <alignment horizontal="left" vertical="top" wrapText="1"/>
    </xf>
    <xf numFmtId="0" fontId="10" fillId="0" borderId="1" xfId="0" applyFont="1" applyBorder="1" applyAlignment="1">
      <alignment horizontal="justify" vertical="top" wrapText="1"/>
    </xf>
    <xf numFmtId="0" fontId="0" fillId="0" borderId="1" xfId="0" applyBorder="1">
      <alignment vertical="center"/>
    </xf>
    <xf numFmtId="0" fontId="8" fillId="0" borderId="1" xfId="0" applyFont="1" applyBorder="1" applyAlignment="1">
      <alignment vertical="top" wrapText="1"/>
    </xf>
    <xf numFmtId="49" fontId="0" fillId="4" borderId="1" xfId="0" applyNumberFormat="1" applyFont="1" applyFill="1" applyBorder="1" applyAlignment="1">
      <alignment horizontal="center" vertical="center"/>
    </xf>
    <xf numFmtId="0" fontId="7" fillId="4" borderId="1" xfId="0" applyFont="1" applyFill="1" applyBorder="1" applyAlignment="1">
      <alignment horizontal="center" wrapText="1"/>
    </xf>
    <xf numFmtId="0" fontId="11" fillId="0" borderId="1" xfId="0" applyFont="1" applyFill="1" applyBorder="1" applyAlignment="1">
      <alignment horizontal="center" vertical="center" wrapText="1"/>
    </xf>
    <xf numFmtId="0" fontId="4" fillId="0" borderId="0" xfId="0" applyFont="1" applyAlignment="1">
      <alignment horizontal="left" vertical="center"/>
    </xf>
    <xf numFmtId="0" fontId="12" fillId="0" borderId="1" xfId="6"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4" fillId="0" borderId="1" xfId="6" applyFont="1" applyBorder="1" applyAlignment="1">
      <alignment horizontal="center" vertical="center"/>
    </xf>
    <xf numFmtId="0" fontId="13" fillId="2" borderId="1" xfId="0" applyFont="1" applyFill="1" applyBorder="1" applyAlignment="1">
      <alignment horizontal="left" vertical="center" indent="1"/>
    </xf>
    <xf numFmtId="0" fontId="13" fillId="2" borderId="1" xfId="0" applyFont="1" applyFill="1" applyBorder="1" applyAlignment="1">
      <alignment horizontal="center" vertical="center"/>
    </xf>
    <xf numFmtId="0" fontId="13" fillId="2" borderId="2" xfId="0" applyFont="1" applyFill="1" applyBorder="1" applyAlignment="1">
      <alignment horizontal="left" vertical="center" indent="1"/>
    </xf>
    <xf numFmtId="0" fontId="13" fillId="2" borderId="1" xfId="0" applyFont="1" applyFill="1" applyBorder="1" applyAlignment="1">
      <alignment horizontal="lef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5"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4" borderId="1" xfId="0" applyFont="1" applyFill="1" applyBorder="1" applyAlignment="1">
      <alignment horizontal="center" vertical="center"/>
    </xf>
    <xf numFmtId="0" fontId="13" fillId="3" borderId="1" xfId="0" applyFont="1" applyFill="1" applyBorder="1" applyAlignment="1">
      <alignment horizontal="left" vertical="center"/>
    </xf>
    <xf numFmtId="0" fontId="13" fillId="3" borderId="2" xfId="0" applyFont="1" applyFill="1" applyBorder="1" applyAlignment="1">
      <alignment horizontal="center" vertical="center"/>
    </xf>
    <xf numFmtId="0" fontId="13" fillId="3" borderId="1" xfId="0" applyFont="1" applyFill="1" applyBorder="1" applyAlignment="1">
      <alignment horizontal="center" vertical="center" wrapText="1"/>
    </xf>
    <xf numFmtId="0" fontId="16" fillId="0" borderId="1" xfId="0" applyFont="1" applyBorder="1" applyAlignment="1">
      <alignment vertical="center"/>
    </xf>
    <xf numFmtId="49" fontId="17" fillId="0" borderId="1" xfId="0"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49" fontId="17" fillId="0" borderId="1" xfId="0" applyNumberFormat="1" applyFont="1" applyFill="1" applyBorder="1" applyAlignment="1">
      <alignment horizontal="left" vertical="center" wrapText="1"/>
    </xf>
    <xf numFmtId="0" fontId="13" fillId="0" borderId="2" xfId="0" applyFont="1" applyBorder="1" applyAlignment="1">
      <alignment vertical="center" wrapText="1"/>
    </xf>
    <xf numFmtId="49" fontId="17" fillId="0" borderId="1" xfId="0" applyNumberFormat="1" applyFont="1" applyFill="1" applyBorder="1" applyAlignment="1">
      <alignment vertical="center" wrapText="1"/>
    </xf>
    <xf numFmtId="0" fontId="11" fillId="4"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8" fillId="0" borderId="1" xfId="0" applyFont="1" applyFill="1" applyBorder="1" applyAlignment="1">
      <alignment horizontal="left" wrapText="1"/>
    </xf>
    <xf numFmtId="0" fontId="18" fillId="0" borderId="1" xfId="0" applyFont="1" applyFill="1" applyBorder="1" applyAlignment="1">
      <alignment horizontal="left" vertical="center" wrapText="1"/>
    </xf>
    <xf numFmtId="0" fontId="14" fillId="0" borderId="1" xfId="6" applyFont="1" applyFill="1" applyBorder="1" applyAlignment="1">
      <alignment horizontal="left" wrapText="1"/>
    </xf>
    <xf numFmtId="0" fontId="11" fillId="0" borderId="1" xfId="0" applyFont="1" applyFill="1" applyBorder="1" applyAlignment="1">
      <alignment horizontal="left" wrapText="1"/>
    </xf>
    <xf numFmtId="0" fontId="4" fillId="0" borderId="0" xfId="0" applyFont="1" applyBorder="1" applyAlignment="1">
      <alignment horizontal="center" vertical="center" wrapText="1"/>
    </xf>
    <xf numFmtId="0" fontId="4" fillId="2" borderId="6" xfId="0" applyFont="1" applyFill="1" applyBorder="1" applyAlignment="1">
      <alignment horizontal="left" vertical="center" indent="1"/>
    </xf>
    <xf numFmtId="0" fontId="4" fillId="2" borderId="6" xfId="0" applyFont="1" applyFill="1" applyBorder="1" applyAlignment="1">
      <alignment horizontal="center" vertical="center"/>
    </xf>
    <xf numFmtId="0" fontId="4" fillId="2" borderId="7" xfId="0" applyFont="1" applyFill="1" applyBorder="1" applyAlignment="1">
      <alignment horizontal="left" vertical="center" indent="1"/>
    </xf>
    <xf numFmtId="0" fontId="4" fillId="2" borderId="8" xfId="0" applyFont="1" applyFill="1" applyBorder="1" applyAlignment="1">
      <alignment horizontal="left" vertical="center" wrapText="1"/>
    </xf>
    <xf numFmtId="0" fontId="19" fillId="0" borderId="1" xfId="6" applyFont="1" applyFill="1" applyBorder="1" applyAlignment="1">
      <alignment horizontal="left" wrapText="1"/>
    </xf>
    <xf numFmtId="49" fontId="3" fillId="0" borderId="1" xfId="6" applyNumberFormat="1" applyFont="1" applyFill="1" applyBorder="1" applyAlignment="1">
      <alignment vertical="center" wrapText="1"/>
    </xf>
    <xf numFmtId="0" fontId="4" fillId="4" borderId="1" xfId="0" applyFont="1" applyFill="1" applyBorder="1" applyAlignment="1">
      <alignment vertical="center" wrapText="1"/>
    </xf>
    <xf numFmtId="49" fontId="0" fillId="4" borderId="1" xfId="0" applyNumberFormat="1" applyFont="1" applyFill="1" applyBorder="1" applyAlignment="1">
      <alignment vertical="center" wrapText="1"/>
    </xf>
    <xf numFmtId="0" fontId="7" fillId="6" borderId="1" xfId="0" applyFont="1" applyFill="1" applyBorder="1" applyAlignment="1">
      <alignment horizontal="left" wrapText="1"/>
    </xf>
    <xf numFmtId="0" fontId="4" fillId="0" borderId="6" xfId="0" applyFont="1" applyBorder="1" applyAlignment="1">
      <alignment horizontal="center" vertical="center"/>
    </xf>
    <xf numFmtId="0" fontId="4" fillId="0" borderId="6" xfId="0" applyFont="1" applyBorder="1" applyAlignment="1">
      <alignment horizontal="center" vertical="center" wrapText="1"/>
    </xf>
    <xf numFmtId="49" fontId="0" fillId="0" borderId="1" xfId="0" applyNumberFormat="1" applyFont="1" applyFill="1" applyBorder="1" applyAlignment="1">
      <alignment horizontal="center" vertical="center"/>
    </xf>
    <xf numFmtId="0" fontId="7" fillId="0"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8" fillId="0" borderId="1" xfId="0" applyFont="1" applyFill="1" applyBorder="1" applyAlignment="1">
      <alignment horizontal="left" vertical="top" wrapText="1"/>
    </xf>
    <xf numFmtId="0" fontId="3" fillId="0" borderId="1" xfId="6" applyFont="1" applyFill="1" applyBorder="1" applyAlignment="1">
      <alignment horizontal="left" vertical="top" wrapText="1"/>
    </xf>
    <xf numFmtId="0" fontId="4" fillId="0" borderId="1" xfId="0" applyFont="1" applyBorder="1" applyAlignment="1">
      <alignment horizontal="left" vertical="center" wrapText="1" indent="1"/>
    </xf>
    <xf numFmtId="0" fontId="4" fillId="0" borderId="3" xfId="0" applyFont="1" applyBorder="1" applyAlignment="1">
      <alignment horizontal="left" vertical="center" wrapText="1" indent="1"/>
    </xf>
    <xf numFmtId="0" fontId="20" fillId="0" borderId="0" xfId="0" applyFont="1">
      <alignment vertical="center"/>
    </xf>
    <xf numFmtId="0" fontId="0" fillId="0" borderId="0" xfId="0" applyFont="1" applyFill="1" applyAlignment="1">
      <alignment vertical="center"/>
    </xf>
    <xf numFmtId="0" fontId="1" fillId="0" borderId="1" xfId="6" applyFont="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6" applyFont="1" applyBorder="1" applyAlignment="1">
      <alignment horizontal="center" vertical="center" wrapText="1"/>
    </xf>
    <xf numFmtId="0" fontId="4" fillId="7"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22" fillId="0" borderId="1" xfId="0" applyFont="1" applyFill="1" applyBorder="1" applyAlignment="1">
      <alignment vertical="center" wrapText="1"/>
    </xf>
    <xf numFmtId="0" fontId="0" fillId="0" borderId="1" xfId="0" applyFont="1" applyFill="1" applyBorder="1" applyAlignment="1">
      <alignment vertical="center"/>
    </xf>
    <xf numFmtId="0" fontId="4" fillId="0"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22" fillId="4" borderId="1" xfId="0" applyFont="1" applyFill="1" applyBorder="1" applyAlignment="1">
      <alignment vertical="center" wrapText="1"/>
    </xf>
    <xf numFmtId="0" fontId="22" fillId="5" borderId="1" xfId="0" applyFont="1" applyFill="1" applyBorder="1" applyAlignment="1">
      <alignment vertical="center" wrapText="1"/>
    </xf>
    <xf numFmtId="0" fontId="22" fillId="8" borderId="1" xfId="0" applyFont="1" applyFill="1" applyBorder="1" applyAlignment="1">
      <alignment vertical="center" wrapText="1"/>
    </xf>
    <xf numFmtId="0" fontId="0" fillId="8" borderId="1" xfId="0" applyFont="1" applyFill="1" applyBorder="1" applyAlignment="1">
      <alignment vertical="center"/>
    </xf>
    <xf numFmtId="0" fontId="23" fillId="0" borderId="9" xfId="0" applyFont="1" applyBorder="1" applyAlignment="1">
      <alignment vertical="center" wrapText="1"/>
    </xf>
    <xf numFmtId="0" fontId="24" fillId="0" borderId="0" xfId="0" applyFont="1">
      <alignment vertical="center"/>
    </xf>
    <xf numFmtId="0" fontId="0" fillId="4" borderId="1" xfId="0" applyFont="1" applyFill="1" applyBorder="1" applyAlignment="1">
      <alignment vertical="center"/>
    </xf>
    <xf numFmtId="0" fontId="0" fillId="0" borderId="1" xfId="0" applyFont="1" applyFill="1" applyBorder="1" applyAlignment="1">
      <alignment vertical="center" wrapText="1"/>
    </xf>
    <xf numFmtId="0" fontId="25" fillId="0" borderId="0" xfId="0" applyFont="1">
      <alignment vertical="center"/>
    </xf>
    <xf numFmtId="0" fontId="22" fillId="4"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0" fillId="4" borderId="1" xfId="0" applyFont="1" applyFill="1" applyBorder="1" applyAlignment="1">
      <alignment horizontal="center" vertical="center"/>
    </xf>
    <xf numFmtId="0" fontId="0" fillId="0" borderId="0" xfId="0" applyFont="1" applyFill="1" applyAlignment="1">
      <alignment vertical="center" wrapText="1"/>
    </xf>
    <xf numFmtId="0" fontId="22" fillId="0" borderId="1" xfId="0" applyFont="1" applyFill="1" applyBorder="1" applyAlignment="1">
      <alignment vertical="center"/>
    </xf>
    <xf numFmtId="0" fontId="0" fillId="5" borderId="1" xfId="0" applyFont="1" applyFill="1" applyBorder="1" applyAlignment="1">
      <alignment horizontal="center" vertical="center"/>
    </xf>
    <xf numFmtId="0" fontId="0" fillId="0" borderId="0" xfId="0" applyFont="1" applyFill="1" applyBorder="1" applyAlignment="1">
      <alignment vertical="center"/>
    </xf>
    <xf numFmtId="0" fontId="22" fillId="0" borderId="0" xfId="0" applyFont="1" applyBorder="1" applyAlignment="1">
      <alignment vertical="center" wrapText="1"/>
    </xf>
    <xf numFmtId="0" fontId="3" fillId="0" borderId="0" xfId="6" applyFont="1" applyAlignment="1">
      <alignment horizontal="center" vertical="center"/>
    </xf>
    <xf numFmtId="0" fontId="4" fillId="7" borderId="3" xfId="0" applyFont="1" applyFill="1" applyBorder="1" applyAlignment="1">
      <alignment horizontal="left" vertical="center" wrapText="1"/>
    </xf>
    <xf numFmtId="0" fontId="4" fillId="0" borderId="2" xfId="0" applyFont="1" applyBorder="1" applyAlignment="1">
      <alignment horizontal="center" vertical="center" wrapText="1"/>
    </xf>
    <xf numFmtId="0" fontId="1" fillId="0" borderId="1" xfId="6" applyFont="1" applyBorder="1" applyAlignment="1">
      <alignment vertical="center" wrapText="1"/>
    </xf>
    <xf numFmtId="0" fontId="2" fillId="0" borderId="10" xfId="0" applyFont="1" applyFill="1" applyBorder="1" applyAlignment="1">
      <alignment vertical="center"/>
    </xf>
    <xf numFmtId="0" fontId="2" fillId="0" borderId="11" xfId="0" applyFont="1" applyFill="1" applyBorder="1" applyAlignment="1">
      <alignment vertical="center"/>
    </xf>
    <xf numFmtId="0" fontId="2" fillId="0" borderId="12" xfId="0" applyFont="1" applyFill="1" applyBorder="1" applyAlignment="1">
      <alignment vertical="center"/>
    </xf>
    <xf numFmtId="0" fontId="4" fillId="0" borderId="1" xfId="0" applyFont="1" applyFill="1" applyBorder="1" applyAlignment="1">
      <alignment vertical="center" wrapText="1"/>
    </xf>
    <xf numFmtId="0" fontId="2" fillId="0" borderId="7" xfId="0" applyFont="1" applyFill="1" applyBorder="1" applyAlignment="1">
      <alignment vertical="center"/>
    </xf>
    <xf numFmtId="0" fontId="2" fillId="0" borderId="13" xfId="0" applyFont="1" applyFill="1" applyBorder="1" applyAlignment="1">
      <alignment vertical="center"/>
    </xf>
    <xf numFmtId="0" fontId="2" fillId="0" borderId="8" xfId="0" applyFont="1" applyFill="1" applyBorder="1" applyAlignment="1">
      <alignment vertical="center"/>
    </xf>
    <xf numFmtId="0" fontId="4" fillId="9" borderId="2" xfId="0" applyFont="1" applyFill="1" applyBorder="1" applyAlignment="1">
      <alignment vertical="center" wrapText="1"/>
    </xf>
    <xf numFmtId="0" fontId="4" fillId="9" borderId="5" xfId="0" applyFont="1" applyFill="1" applyBorder="1" applyAlignment="1">
      <alignment vertical="center" wrapText="1"/>
    </xf>
    <xf numFmtId="0" fontId="4" fillId="9" borderId="4" xfId="0" applyFont="1" applyFill="1" applyBorder="1" applyAlignment="1">
      <alignment vertical="center" wrapText="1"/>
    </xf>
    <xf numFmtId="0" fontId="4" fillId="0" borderId="2" xfId="0" applyFont="1" applyFill="1" applyBorder="1" applyAlignment="1">
      <alignment vertic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2" xfId="0" applyFont="1" applyFill="1" applyBorder="1" applyAlignment="1">
      <alignment vertical="center" wrapText="1"/>
    </xf>
    <xf numFmtId="0" fontId="4" fillId="0" borderId="5" xfId="0" applyFont="1" applyFill="1" applyBorder="1" applyAlignment="1">
      <alignment vertical="center" wrapText="1"/>
    </xf>
    <xf numFmtId="0" fontId="4" fillId="0" borderId="4" xfId="0" applyFont="1" applyFill="1" applyBorder="1" applyAlignment="1">
      <alignment vertical="center" wrapText="1"/>
    </xf>
    <xf numFmtId="0" fontId="4" fillId="10" borderId="1" xfId="0" applyFont="1" applyFill="1" applyBorder="1" applyAlignment="1">
      <alignment vertical="center" wrapText="1"/>
    </xf>
    <xf numFmtId="0" fontId="4" fillId="10" borderId="1" xfId="0" applyFont="1" applyFill="1" applyBorder="1" applyAlignment="1">
      <alignment vertical="center"/>
    </xf>
    <xf numFmtId="0" fontId="21" fillId="0" borderId="1" xfId="0" applyFont="1" applyFill="1" applyBorder="1" applyAlignment="1">
      <alignment vertical="center"/>
    </xf>
    <xf numFmtId="0" fontId="0" fillId="0" borderId="2" xfId="0" applyFont="1" applyFill="1" applyBorder="1" applyAlignment="1">
      <alignment vertical="center"/>
    </xf>
    <xf numFmtId="0" fontId="26" fillId="0" borderId="1" xfId="0" applyFont="1" applyFill="1" applyBorder="1" applyAlignment="1">
      <alignment vertical="center"/>
    </xf>
    <xf numFmtId="0" fontId="4" fillId="0" borderId="1" xfId="0" applyFont="1" applyFill="1" applyBorder="1" applyAlignment="1">
      <alignment vertical="center"/>
    </xf>
    <xf numFmtId="0" fontId="27" fillId="0" borderId="1" xfId="0" applyFont="1" applyBorder="1" applyAlignment="1">
      <alignment horizontal="left" vertical="center"/>
    </xf>
    <xf numFmtId="0" fontId="4" fillId="0" borderId="0" xfId="0" applyFont="1" applyFill="1" applyBorder="1" applyAlignment="1">
      <alignment vertical="center" wrapText="1"/>
    </xf>
    <xf numFmtId="0" fontId="27" fillId="0" borderId="0" xfId="0" applyFont="1" applyBorder="1" applyAlignment="1">
      <alignment horizontal="left" vertical="center"/>
    </xf>
    <xf numFmtId="0" fontId="26" fillId="0" borderId="1" xfId="0" applyFont="1" applyFill="1" applyBorder="1" applyAlignment="1">
      <alignment horizontal="center" vertical="center"/>
    </xf>
    <xf numFmtId="0" fontId="26" fillId="0" borderId="1" xfId="0" applyFont="1" applyBorder="1" applyAlignment="1">
      <alignment horizontal="center" vertical="center"/>
    </xf>
    <xf numFmtId="0" fontId="4" fillId="0" borderId="1" xfId="0" applyFont="1" applyBorder="1">
      <alignment vertical="center"/>
    </xf>
    <xf numFmtId="0" fontId="0" fillId="0" borderId="0" xfId="0" applyBorder="1">
      <alignment vertical="center"/>
    </xf>
    <xf numFmtId="0" fontId="4" fillId="0" borderId="0" xfId="0" applyFont="1" applyBorder="1" applyAlignment="1">
      <alignment vertical="center" wrapText="1"/>
    </xf>
    <xf numFmtId="0" fontId="4" fillId="0" borderId="14" xfId="0" applyFont="1" applyFill="1" applyBorder="1" applyAlignment="1">
      <alignment vertical="center" wrapText="1"/>
    </xf>
    <xf numFmtId="0" fontId="4" fillId="7" borderId="1" xfId="0" applyFont="1" applyFill="1" applyBorder="1" applyAlignment="1">
      <alignment horizontal="left" vertical="center" indent="1"/>
    </xf>
    <xf numFmtId="0" fontId="28" fillId="0" borderId="0" xfId="0" applyFont="1">
      <alignment vertical="center"/>
    </xf>
    <xf numFmtId="0" fontId="9" fillId="0" borderId="9" xfId="0" applyFont="1" applyBorder="1" applyAlignment="1">
      <alignment vertical="center" wrapText="1"/>
    </xf>
    <xf numFmtId="0" fontId="4" fillId="0" borderId="3" xfId="0" applyFont="1" applyFill="1" applyBorder="1" applyAlignment="1">
      <alignment horizontal="center" vertical="center" wrapText="1"/>
    </xf>
    <xf numFmtId="0" fontId="6" fillId="0" borderId="3" xfId="0" applyFont="1" applyBorder="1" applyAlignment="1">
      <alignment horizontal="center" vertical="center"/>
    </xf>
    <xf numFmtId="0" fontId="4" fillId="0" borderId="1" xfId="0" applyFont="1" applyFill="1" applyBorder="1" applyAlignment="1">
      <alignment horizontal="left" vertical="center" indent="1"/>
    </xf>
    <xf numFmtId="0" fontId="4" fillId="10" borderId="1" xfId="0" applyFont="1" applyFill="1" applyBorder="1" applyAlignment="1">
      <alignment horizontal="center" vertical="center" wrapText="1"/>
    </xf>
    <xf numFmtId="0" fontId="29" fillId="0" borderId="1" xfId="0" applyFont="1" applyFill="1" applyBorder="1" applyAlignment="1">
      <alignment vertical="center" wrapText="1"/>
    </xf>
    <xf numFmtId="0" fontId="4" fillId="0" borderId="15" xfId="0" applyFont="1" applyFill="1" applyBorder="1" applyAlignment="1">
      <alignment vertical="center" wrapText="1"/>
    </xf>
    <xf numFmtId="0" fontId="2" fillId="0" borderId="1" xfId="0" applyFont="1" applyFill="1" applyBorder="1" applyAlignment="1">
      <alignment vertical="center"/>
    </xf>
    <xf numFmtId="0" fontId="4" fillId="9" borderId="1" xfId="0" applyFont="1" applyFill="1" applyBorder="1" applyAlignment="1">
      <alignment vertical="center" wrapText="1"/>
    </xf>
    <xf numFmtId="0" fontId="4" fillId="0" borderId="3" xfId="0" applyFont="1" applyFill="1" applyBorder="1" applyAlignment="1">
      <alignment vertical="center" wrapText="1"/>
    </xf>
    <xf numFmtId="0" fontId="4" fillId="4" borderId="3" xfId="0" applyFont="1" applyFill="1" applyBorder="1" applyAlignment="1">
      <alignment horizontal="center" vertical="center" wrapText="1"/>
    </xf>
    <xf numFmtId="0" fontId="4" fillId="0" borderId="1" xfId="0" applyFont="1" applyFill="1" applyBorder="1" applyAlignment="1">
      <alignment horizontal="left" vertical="center" wrapText="1" indent="1"/>
    </xf>
    <xf numFmtId="0" fontId="1" fillId="0" borderId="1" xfId="6" applyFont="1" applyBorder="1" applyAlignment="1">
      <alignment horizontal="left" vertical="center"/>
    </xf>
    <xf numFmtId="0" fontId="3" fillId="0" borderId="1" xfId="6" applyFont="1" applyBorder="1" applyAlignment="1">
      <alignment horizontal="left" vertical="center"/>
    </xf>
    <xf numFmtId="0" fontId="4" fillId="0" borderId="1" xfId="0" applyFont="1" applyBorder="1" applyAlignment="1">
      <alignment horizontal="left"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4" fillId="4" borderId="1" xfId="0" applyFont="1" applyFill="1" applyBorder="1" applyAlignment="1">
      <alignment horizontal="left" vertical="center"/>
    </xf>
    <xf numFmtId="0" fontId="4" fillId="3" borderId="1" xfId="0" applyFont="1" applyFill="1" applyBorder="1" applyAlignment="1">
      <alignment horizontal="left" vertical="center" wrapText="1"/>
    </xf>
    <xf numFmtId="0" fontId="6" fillId="0" borderId="1" xfId="0" applyFont="1" applyBorder="1" applyAlignment="1">
      <alignment horizontal="left" vertical="center"/>
    </xf>
    <xf numFmtId="0" fontId="4" fillId="4" borderId="1" xfId="0" applyFont="1" applyFill="1" applyBorder="1" applyAlignment="1">
      <alignment horizontal="left" vertical="center" wrapText="1"/>
    </xf>
    <xf numFmtId="0" fontId="4" fillId="0" borderId="1" xfId="0" applyFont="1" applyBorder="1" applyAlignment="1">
      <alignment horizontal="left"/>
    </xf>
    <xf numFmtId="0" fontId="4" fillId="4" borderId="1" xfId="0" applyFont="1" applyFill="1" applyBorder="1" applyAlignment="1">
      <alignment horizontal="left"/>
    </xf>
    <xf numFmtId="0" fontId="4" fillId="0" borderId="15" xfId="0" applyFont="1" applyFill="1" applyBorder="1" applyAlignment="1">
      <alignment horizontal="center"/>
    </xf>
    <xf numFmtId="0" fontId="0" fillId="0" borderId="0" xfId="0" applyAlignment="1">
      <alignment horizontal="left" vertical="center"/>
    </xf>
    <xf numFmtId="0" fontId="0" fillId="0" borderId="1" xfId="0" applyBorder="1" applyAlignment="1">
      <alignment horizontal="left" vertical="center"/>
    </xf>
    <xf numFmtId="0" fontId="4" fillId="4" borderId="1" xfId="0" applyFont="1" applyFill="1" applyBorder="1">
      <alignment vertical="center"/>
    </xf>
    <xf numFmtId="0" fontId="30" fillId="0" borderId="1" xfId="0" applyFont="1" applyBorder="1">
      <alignment vertical="center"/>
    </xf>
    <xf numFmtId="0" fontId="30" fillId="4" borderId="1" xfId="0" applyFont="1" applyFill="1" applyBorder="1">
      <alignment vertical="center"/>
    </xf>
    <xf numFmtId="0" fontId="30" fillId="0" borderId="1" xfId="0" applyFont="1" applyBorder="1" applyAlignment="1">
      <alignment vertical="center" wrapText="1"/>
    </xf>
    <xf numFmtId="0" fontId="31" fillId="0" borderId="1" xfId="0" applyFont="1" applyBorder="1" applyAlignment="1">
      <alignment vertical="center" wrapText="1"/>
    </xf>
    <xf numFmtId="0" fontId="4" fillId="0" borderId="1" xfId="0" applyFont="1" applyBorder="1" applyAlignment="1">
      <alignment vertical="center"/>
    </xf>
    <xf numFmtId="0" fontId="4" fillId="0" borderId="0"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xf>
    <xf numFmtId="0" fontId="30" fillId="0" borderId="0" xfId="0" applyFont="1" applyBorder="1" applyAlignment="1">
      <alignment horizontal="center" vertical="center"/>
    </xf>
    <xf numFmtId="49" fontId="4" fillId="0" borderId="1" xfId="0" applyNumberFormat="1" applyFont="1" applyBorder="1" applyAlignment="1">
      <alignment horizontal="left" vertical="center" wrapText="1" indent="1"/>
    </xf>
    <xf numFmtId="0" fontId="4" fillId="0" borderId="0" xfId="0" applyFont="1" applyBorder="1" applyAlignment="1">
      <alignment horizontal="center" vertical="center"/>
    </xf>
    <xf numFmtId="0" fontId="4" fillId="8" borderId="3" xfId="0" applyFont="1" applyFill="1" applyBorder="1" applyAlignment="1">
      <alignment horizontal="center" vertical="center" wrapText="1"/>
    </xf>
    <xf numFmtId="0" fontId="4" fillId="8" borderId="1" xfId="0" applyFont="1" applyFill="1" applyBorder="1" applyAlignment="1">
      <alignment horizontal="left" vertical="center" indent="1"/>
    </xf>
    <xf numFmtId="0" fontId="4" fillId="8" borderId="0" xfId="0" applyFont="1" applyFill="1" applyAlignment="1">
      <alignment horizontal="center" vertical="center"/>
    </xf>
    <xf numFmtId="0" fontId="4" fillId="0" borderId="1" xfId="0" applyFont="1" applyFill="1" applyBorder="1" applyAlignment="1">
      <alignment horizontal="center" vertical="center"/>
    </xf>
    <xf numFmtId="0" fontId="4" fillId="0" borderId="2" xfId="0" applyFont="1" applyBorder="1" applyAlignment="1">
      <alignment horizontal="left" vertical="center" wrapText="1" indent="1"/>
    </xf>
    <xf numFmtId="0" fontId="4" fillId="5" borderId="1" xfId="0" applyFont="1" applyFill="1" applyBorder="1" applyAlignment="1">
      <alignment horizontal="center" vertical="center" wrapText="1"/>
    </xf>
    <xf numFmtId="49" fontId="4" fillId="0" borderId="1" xfId="0" applyNumberFormat="1" applyFont="1" applyBorder="1" applyAlignment="1">
      <alignment horizontal="left" vertical="center" indent="1"/>
    </xf>
    <xf numFmtId="0" fontId="4" fillId="0" borderId="3" xfId="0" applyFont="1" applyBorder="1" applyAlignment="1">
      <alignment horizontal="left" vertical="center" inden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indent="1"/>
    </xf>
    <xf numFmtId="0" fontId="32" fillId="0" borderId="0" xfId="0" applyFont="1">
      <alignment vertical="center"/>
    </xf>
    <xf numFmtId="0" fontId="4" fillId="0" borderId="2"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5" xfId="0" applyFont="1" applyBorder="1" applyAlignment="1">
      <alignment vertical="center" wrapText="1"/>
    </xf>
    <xf numFmtId="0" fontId="4" fillId="0" borderId="4" xfId="0" applyFont="1" applyBorder="1" applyAlignment="1">
      <alignment vertical="center" wrapText="1"/>
    </xf>
    <xf numFmtId="0" fontId="4" fillId="10" borderId="1" xfId="0" applyFont="1" applyFill="1" applyBorder="1">
      <alignment vertical="center"/>
    </xf>
    <xf numFmtId="0" fontId="4" fillId="5" borderId="1" xfId="0" applyFont="1" applyFill="1" applyBorder="1" applyAlignment="1">
      <alignment vertical="center" wrapText="1"/>
    </xf>
    <xf numFmtId="0" fontId="33" fillId="0" borderId="1" xfId="0" applyFont="1" applyBorder="1">
      <alignment vertical="center"/>
    </xf>
    <xf numFmtId="0" fontId="0" fillId="0" borderId="0" xfId="0" applyFont="1">
      <alignment vertical="center"/>
    </xf>
    <xf numFmtId="0" fontId="4" fillId="8" borderId="1" xfId="0" applyFont="1" applyFill="1" applyBorder="1" applyAlignment="1">
      <alignment vertical="center" wrapText="1"/>
    </xf>
    <xf numFmtId="0" fontId="4" fillId="8" borderId="1" xfId="0" applyFont="1" applyFill="1" applyBorder="1">
      <alignment vertical="center"/>
    </xf>
    <xf numFmtId="0" fontId="0" fillId="8" borderId="0" xfId="0" applyFill="1">
      <alignment vertical="center"/>
    </xf>
    <xf numFmtId="0" fontId="34" fillId="0" borderId="0"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6" fillId="0" borderId="1" xfId="0" applyFont="1" applyFill="1" applyBorder="1" applyAlignment="1">
      <alignment vertical="center" wrapText="1"/>
    </xf>
    <xf numFmtId="0" fontId="6" fillId="0" borderId="1" xfId="0" applyFont="1" applyFill="1" applyBorder="1" applyAlignment="1">
      <alignment horizontal="center" vertical="center"/>
    </xf>
    <xf numFmtId="0" fontId="4" fillId="8" borderId="1" xfId="0" applyFont="1" applyFill="1" applyBorder="1" applyAlignment="1">
      <alignment vertical="center"/>
    </xf>
    <xf numFmtId="0" fontId="6" fillId="11" borderId="1" xfId="0" applyFont="1" applyFill="1" applyBorder="1" applyAlignment="1">
      <alignment horizontal="center" vertical="center"/>
    </xf>
    <xf numFmtId="0" fontId="4" fillId="11" borderId="1" xfId="0" applyFont="1" applyFill="1" applyBorder="1" applyAlignment="1">
      <alignment vertical="center" wrapText="1"/>
    </xf>
    <xf numFmtId="0" fontId="4" fillId="11" borderId="1" xfId="0" applyFont="1" applyFill="1" applyBorder="1" applyAlignment="1">
      <alignment vertical="center"/>
    </xf>
    <xf numFmtId="0" fontId="30" fillId="0" borderId="0" xfId="0" applyFont="1" applyFill="1" applyBorder="1" applyAlignment="1">
      <alignment vertical="center"/>
    </xf>
    <xf numFmtId="0" fontId="30" fillId="4" borderId="0" xfId="0" applyFont="1" applyFill="1" applyBorder="1" applyAlignment="1">
      <alignment vertical="center"/>
    </xf>
    <xf numFmtId="0" fontId="34" fillId="8" borderId="0" xfId="0" applyFont="1" applyFill="1" applyBorder="1" applyAlignment="1">
      <alignment vertical="center"/>
    </xf>
    <xf numFmtId="0" fontId="33" fillId="0" borderId="1" xfId="0" applyFont="1" applyFill="1" applyBorder="1" applyAlignment="1">
      <alignment vertical="center"/>
    </xf>
    <xf numFmtId="0" fontId="0" fillId="8" borderId="0" xfId="0" applyFill="1" applyAlignment="1">
      <alignment vertical="center" wrapText="1"/>
    </xf>
    <xf numFmtId="0" fontId="4" fillId="0" borderId="0" xfId="0" applyFont="1" applyFill="1" applyBorder="1" applyAlignment="1">
      <alignment vertical="center"/>
    </xf>
    <xf numFmtId="0" fontId="6" fillId="8" borderId="1" xfId="0" applyFont="1" applyFill="1" applyBorder="1" applyAlignment="1">
      <alignment horizontal="center" vertical="center"/>
    </xf>
    <xf numFmtId="0" fontId="6" fillId="12" borderId="1" xfId="0" applyFont="1" applyFill="1" applyBorder="1" applyAlignment="1">
      <alignment horizontal="center" vertical="center"/>
    </xf>
    <xf numFmtId="0" fontId="4" fillId="12" borderId="1" xfId="0" applyFont="1" applyFill="1" applyBorder="1" applyAlignment="1">
      <alignment vertical="center" wrapText="1"/>
    </xf>
    <xf numFmtId="0" fontId="4" fillId="12" borderId="1" xfId="0" applyFont="1" applyFill="1" applyBorder="1">
      <alignment vertical="center"/>
    </xf>
    <xf numFmtId="0" fontId="4" fillId="12" borderId="14" xfId="0" applyFont="1" applyFill="1" applyBorder="1" applyAlignment="1">
      <alignment vertical="center" wrapText="1"/>
    </xf>
    <xf numFmtId="0" fontId="4" fillId="0" borderId="2" xfId="0" applyFont="1" applyBorder="1" applyAlignment="1">
      <alignment horizontal="center" vertical="center"/>
    </xf>
    <xf numFmtId="0" fontId="6" fillId="0" borderId="1" xfId="0" applyFont="1" applyBorder="1" applyAlignment="1">
      <alignment horizontal="center"/>
    </xf>
    <xf numFmtId="0" fontId="4" fillId="10" borderId="1" xfId="0" applyFont="1" applyFill="1" applyBorder="1" applyAlignment="1">
      <alignment horizontal="left" vertical="center"/>
    </xf>
    <xf numFmtId="0" fontId="35" fillId="13" borderId="16" xfId="0" applyFont="1" applyFill="1" applyBorder="1" applyAlignment="1">
      <alignment horizontal="left" vertical="center" wrapText="1"/>
    </xf>
    <xf numFmtId="0" fontId="35" fillId="4" borderId="16" xfId="0" applyFont="1" applyFill="1" applyBorder="1" applyAlignment="1">
      <alignment horizontal="left" vertical="center" wrapText="1"/>
    </xf>
    <xf numFmtId="0" fontId="35" fillId="0" borderId="16" xfId="0" applyFont="1" applyBorder="1" applyAlignment="1">
      <alignment horizontal="left" vertical="center" wrapText="1"/>
    </xf>
    <xf numFmtId="0" fontId="35" fillId="0" borderId="16" xfId="0" applyFont="1" applyBorder="1" applyAlignment="1">
      <alignment horizontal="left" vertical="center"/>
    </xf>
    <xf numFmtId="0" fontId="36" fillId="4" borderId="16" xfId="0" applyFont="1" applyFill="1" applyBorder="1" applyAlignment="1">
      <alignment horizontal="left" vertical="center" wrapText="1"/>
    </xf>
    <xf numFmtId="0" fontId="33" fillId="0" borderId="1" xfId="0" applyFont="1" applyBorder="1" applyAlignment="1">
      <alignment horizontal="center" vertical="center" wrapText="1"/>
    </xf>
    <xf numFmtId="0" fontId="4" fillId="4" borderId="1" xfId="0" applyFont="1" applyFill="1" applyBorder="1" applyAlignment="1">
      <alignment horizontal="left" vertical="center" indent="1"/>
    </xf>
    <xf numFmtId="0" fontId="33" fillId="0" borderId="3" xfId="0" applyFont="1" applyBorder="1" applyAlignment="1">
      <alignment horizontal="center" vertical="center" wrapText="1"/>
    </xf>
    <xf numFmtId="0" fontId="9" fillId="14"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0" xfId="0" applyFont="1" applyFill="1" applyBorder="1" applyAlignment="1">
      <alignment horizontal="center" vertical="center" wrapText="1"/>
    </xf>
    <xf numFmtId="0" fontId="9" fillId="0" borderId="1" xfId="0" applyFont="1" applyFill="1" applyBorder="1" applyAlignment="1">
      <alignment horizontal="left" vertical="center" wrapText="1" indent="1"/>
    </xf>
    <xf numFmtId="0" fontId="37" fillId="0" borderId="1" xfId="0" applyFont="1" applyFill="1" applyBorder="1" applyAlignment="1">
      <alignment horizontal="left" vertical="center" wrapText="1" indent="1"/>
    </xf>
    <xf numFmtId="0" fontId="9" fillId="0" borderId="0" xfId="0" applyFont="1" applyFill="1" applyAlignment="1">
      <alignment horizontal="center" vertical="center"/>
    </xf>
    <xf numFmtId="0" fontId="0" fillId="0" borderId="0" xfId="0" applyAlignment="1"/>
    <xf numFmtId="0" fontId="0" fillId="0" borderId="0" xfId="0" applyAlignment="1">
      <alignment vertical="center" wrapText="1"/>
    </xf>
    <xf numFmtId="0" fontId="0" fillId="0" borderId="0" xfId="0" applyAlignment="1">
      <alignment horizontal="center" vertical="center" wrapText="1"/>
    </xf>
    <xf numFmtId="0" fontId="38" fillId="0" borderId="3" xfId="0" applyFont="1" applyBorder="1" applyAlignment="1">
      <alignment horizontal="center" vertical="center" wrapText="1"/>
    </xf>
    <xf numFmtId="0" fontId="39" fillId="0" borderId="2" xfId="0" applyFont="1" applyBorder="1" applyAlignment="1">
      <alignment horizontal="left" vertical="center" wrapText="1"/>
    </xf>
    <xf numFmtId="0" fontId="39" fillId="0" borderId="5" xfId="0" applyFont="1" applyBorder="1" applyAlignment="1">
      <alignment horizontal="left" vertical="center" wrapText="1"/>
    </xf>
    <xf numFmtId="0" fontId="39" fillId="0" borderId="5" xfId="0" applyFont="1" applyBorder="1" applyAlignment="1">
      <alignment horizontal="center" vertical="center" wrapText="1"/>
    </xf>
    <xf numFmtId="0" fontId="38" fillId="0" borderId="15" xfId="0" applyFont="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horizontal="center" vertical="center" wrapText="1"/>
    </xf>
    <xf numFmtId="0" fontId="38" fillId="0" borderId="6" xfId="0" applyFont="1" applyBorder="1" applyAlignment="1">
      <alignment horizontal="center" vertical="center" wrapText="1"/>
    </xf>
    <xf numFmtId="0" fontId="38" fillId="0" borderId="3" xfId="0" applyFont="1" applyBorder="1" applyAlignment="1">
      <alignment horizontal="center" vertical="center"/>
    </xf>
    <xf numFmtId="0" fontId="0" fillId="0" borderId="5" xfId="0" applyBorder="1" applyAlignment="1">
      <alignment horizontal="left" vertical="center"/>
    </xf>
    <xf numFmtId="0" fontId="0" fillId="0" borderId="5" xfId="0" applyFont="1" applyBorder="1" applyAlignment="1">
      <alignment horizontal="left" vertical="center"/>
    </xf>
    <xf numFmtId="0" fontId="0" fillId="0" borderId="5" xfId="0" applyFont="1" applyBorder="1" applyAlignment="1">
      <alignment horizontal="center" vertical="center"/>
    </xf>
    <xf numFmtId="0" fontId="38" fillId="0" borderId="15" xfId="0" applyFont="1" applyBorder="1" applyAlignment="1">
      <alignment horizontal="center" vertical="center"/>
    </xf>
    <xf numFmtId="0" fontId="0" fillId="0" borderId="2" xfId="0" applyFont="1" applyBorder="1" applyAlignment="1">
      <alignment horizontal="left" vertical="center" wrapText="1"/>
    </xf>
    <xf numFmtId="0" fontId="0" fillId="0" borderId="5" xfId="0" applyFont="1" applyBorder="1" applyAlignment="1">
      <alignment horizontal="left" vertical="center" wrapText="1"/>
    </xf>
    <xf numFmtId="0" fontId="0" fillId="0" borderId="5" xfId="0" applyFont="1" applyBorder="1" applyAlignment="1">
      <alignment horizontal="center" vertical="center" wrapText="1"/>
    </xf>
    <xf numFmtId="0" fontId="38" fillId="0" borderId="6" xfId="0" applyFont="1" applyBorder="1" applyAlignment="1">
      <alignment horizontal="center" vertical="center"/>
    </xf>
    <xf numFmtId="0" fontId="40" fillId="0" borderId="1" xfId="0" applyFont="1" applyBorder="1" applyAlignment="1">
      <alignment horizontal="center" vertical="center"/>
    </xf>
    <xf numFmtId="0" fontId="4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0" fillId="0" borderId="3" xfId="0" applyFont="1" applyBorder="1" applyAlignment="1">
      <alignment horizontal="center" vertical="center"/>
    </xf>
    <xf numFmtId="0" fontId="1" fillId="0" borderId="15" xfId="6" applyFont="1" applyBorder="1" applyAlignment="1">
      <alignment vertical="center" wrapText="1"/>
    </xf>
    <xf numFmtId="0" fontId="0" fillId="0" borderId="1" xfId="0" applyBorder="1" applyAlignment="1">
      <alignment vertical="center" wrapText="1"/>
    </xf>
    <xf numFmtId="0" fontId="0" fillId="0" borderId="15"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5" xfId="0" applyFont="1" applyBorder="1" applyAlignment="1">
      <alignment horizontal="center" vertical="center"/>
    </xf>
    <xf numFmtId="0" fontId="41" fillId="0" borderId="1" xfId="6" applyBorder="1" applyAlignment="1">
      <alignment vertical="center" wrapText="1"/>
    </xf>
    <xf numFmtId="0" fontId="41" fillId="0" borderId="3" xfId="6" applyBorder="1" applyAlignment="1">
      <alignment vertical="center" wrapText="1"/>
    </xf>
    <xf numFmtId="0" fontId="0" fillId="0" borderId="15" xfId="0" applyBorder="1" applyAlignment="1">
      <alignment horizontal="center" vertical="center"/>
    </xf>
    <xf numFmtId="0" fontId="1" fillId="0" borderId="6" xfId="6" applyFont="1" applyBorder="1" applyAlignment="1">
      <alignment vertical="center" wrapText="1"/>
    </xf>
    <xf numFmtId="0" fontId="42" fillId="0" borderId="6" xfId="6" applyFont="1" applyBorder="1" applyAlignment="1">
      <alignment vertical="center" wrapText="1"/>
    </xf>
    <xf numFmtId="0" fontId="3" fillId="0" borderId="1" xfId="6" applyFont="1" applyBorder="1" applyAlignment="1">
      <alignment vertical="center" wrapText="1"/>
    </xf>
    <xf numFmtId="0" fontId="0" fillId="0" borderId="3" xfId="0" applyFont="1" applyFill="1" applyBorder="1" applyAlignment="1">
      <alignment horizontal="center" vertical="center"/>
    </xf>
    <xf numFmtId="0" fontId="41" fillId="0" borderId="0" xfId="6">
      <alignment vertical="center"/>
    </xf>
    <xf numFmtId="0" fontId="0" fillId="0" borderId="15" xfId="0" applyFont="1" applyFill="1" applyBorder="1" applyAlignment="1">
      <alignment horizontal="center" vertical="center"/>
    </xf>
    <xf numFmtId="0" fontId="42" fillId="0" borderId="0" xfId="6" applyFont="1">
      <alignment vertical="center"/>
    </xf>
    <xf numFmtId="0" fontId="0" fillId="0" borderId="6" xfId="0" applyFont="1" applyFill="1" applyBorder="1" applyAlignment="1">
      <alignment horizontal="center" vertical="center"/>
    </xf>
    <xf numFmtId="0" fontId="0" fillId="0" borderId="15" xfId="0" applyFill="1" applyBorder="1" applyAlignment="1">
      <alignment horizontal="center" vertical="center"/>
    </xf>
    <xf numFmtId="0" fontId="43" fillId="0" borderId="1" xfId="0" applyFont="1" applyBorder="1" applyAlignment="1">
      <alignment horizontal="center" vertical="center"/>
    </xf>
    <xf numFmtId="0" fontId="41" fillId="0" borderId="6" xfId="6" applyBorder="1" applyAlignment="1">
      <alignment vertical="center" wrapText="1"/>
    </xf>
    <xf numFmtId="0" fontId="0" fillId="0" borderId="6" xfId="0" applyBorder="1" applyAlignment="1">
      <alignment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1" fillId="0" borderId="1" xfId="6" applyFont="1" applyBorder="1">
      <alignment vertical="center"/>
    </xf>
    <xf numFmtId="0" fontId="43" fillId="0" borderId="1" xfId="0" applyFont="1" applyBorder="1">
      <alignment vertical="center"/>
    </xf>
    <xf numFmtId="0" fontId="41" fillId="0" borderId="1" xfId="6" applyBorder="1">
      <alignment vertical="center"/>
    </xf>
    <xf numFmtId="0" fontId="1" fillId="0" borderId="3" xfId="6" applyFont="1" applyBorder="1" applyAlignment="1">
      <alignment vertical="center" wrapText="1"/>
    </xf>
    <xf numFmtId="0" fontId="0" fillId="0" borderId="3" xfId="0" applyBorder="1" applyAlignment="1">
      <alignment vertical="center" wrapText="1"/>
    </xf>
    <xf numFmtId="0" fontId="43" fillId="0" borderId="3" xfId="0" applyFont="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39" fillId="0" borderId="4" xfId="0" applyFont="1" applyBorder="1" applyAlignment="1">
      <alignment horizontal="left" vertical="center" wrapText="1"/>
    </xf>
    <xf numFmtId="0" fontId="0" fillId="0" borderId="4" xfId="0" applyBorder="1" applyAlignment="1">
      <alignment horizontal="left" vertical="center" wrapText="1"/>
    </xf>
    <xf numFmtId="0" fontId="0" fillId="0" borderId="4" xfId="0" applyFont="1" applyBorder="1" applyAlignment="1">
      <alignment horizontal="left" vertical="center"/>
    </xf>
    <xf numFmtId="0" fontId="38" fillId="0" borderId="1" xfId="0" applyFont="1" applyBorder="1" applyAlignment="1">
      <alignment horizontal="center" vertical="center"/>
    </xf>
    <xf numFmtId="0" fontId="0" fillId="0" borderId="4" xfId="0" applyFont="1" applyBorder="1" applyAlignment="1">
      <alignment horizontal="left" vertical="center" wrapText="1"/>
    </xf>
    <xf numFmtId="0" fontId="38" fillId="0" borderId="1" xfId="0" applyFont="1" applyFill="1" applyBorder="1" applyAlignment="1">
      <alignment horizontal="center" vertical="center"/>
    </xf>
    <xf numFmtId="0" fontId="42" fillId="0" borderId="1" xfId="6" applyFont="1" applyBorder="1" applyAlignment="1">
      <alignment horizontal="left" vertical="center"/>
    </xf>
    <xf numFmtId="0" fontId="40" fillId="0" borderId="1" xfId="6" applyFont="1" applyBorder="1" applyAlignment="1">
      <alignment horizontal="left" vertical="center"/>
    </xf>
    <xf numFmtId="0" fontId="40" fillId="0" borderId="1" xfId="6" applyFont="1" applyBorder="1" applyAlignment="1">
      <alignment horizontal="center" vertical="center"/>
    </xf>
    <xf numFmtId="0" fontId="1" fillId="0" borderId="0" xfId="6" applyFont="1" applyAlignment="1">
      <alignment vertical="center"/>
    </xf>
    <xf numFmtId="0" fontId="41" fillId="0" borderId="1" xfId="6" applyBorder="1" applyAlignment="1">
      <alignment horizontal="left" vertical="center"/>
    </xf>
    <xf numFmtId="0" fontId="44" fillId="0" borderId="1" xfId="6" applyFont="1" applyBorder="1" applyAlignment="1">
      <alignment horizontal="left" vertical="center"/>
    </xf>
    <xf numFmtId="0" fontId="44" fillId="0" borderId="1" xfId="6" applyFont="1" applyBorder="1" applyAlignment="1">
      <alignment horizontal="center" vertical="center"/>
    </xf>
    <xf numFmtId="0" fontId="3" fillId="0" borderId="1" xfId="6" applyFont="1" applyBorder="1" applyAlignment="1">
      <alignment vertical="center"/>
    </xf>
    <xf numFmtId="0" fontId="43" fillId="0" borderId="1" xfId="0" applyFont="1" applyFill="1" applyBorder="1" applyAlignment="1">
      <alignment vertical="center"/>
    </xf>
    <xf numFmtId="0" fontId="43"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1" fillId="0" borderId="1" xfId="6" applyFont="1" applyBorder="1" applyAlignment="1">
      <alignment vertical="center"/>
    </xf>
    <xf numFmtId="0" fontId="3" fillId="0" borderId="0" xfId="6" applyFont="1" applyFill="1" applyAlignment="1">
      <alignment vertical="center"/>
    </xf>
    <xf numFmtId="0" fontId="41" fillId="0" borderId="0" xfId="6" applyFill="1" applyAlignment="1">
      <alignment vertical="center"/>
    </xf>
    <xf numFmtId="0" fontId="42" fillId="0" borderId="0" xfId="6" applyFont="1" applyFill="1" applyAlignment="1">
      <alignment vertical="center"/>
    </xf>
    <xf numFmtId="0" fontId="42" fillId="0" borderId="1" xfId="6" applyFont="1" applyBorder="1" applyAlignment="1">
      <alignment vertical="center" wrapText="1"/>
    </xf>
    <xf numFmtId="0" fontId="0" fillId="0" borderId="0" xfId="0" applyFont="1" applyFill="1" applyAlignment="1">
      <alignment horizontal="center" vertical="center"/>
    </xf>
    <xf numFmtId="0" fontId="0" fillId="0" borderId="6" xfId="0" applyFont="1" applyBorder="1" applyAlignment="1">
      <alignment horizontal="center" vertical="center"/>
    </xf>
    <xf numFmtId="0" fontId="21" fillId="4" borderId="1" xfId="0" applyFont="1" applyFill="1" applyBorder="1" applyAlignment="1">
      <alignment vertical="center" wrapText="1"/>
    </xf>
    <xf numFmtId="0" fontId="3" fillId="4" borderId="1" xfId="6" applyFont="1" applyFill="1" applyBorder="1">
      <alignment vertical="center"/>
    </xf>
    <xf numFmtId="0" fontId="1" fillId="0" borderId="6" xfId="6" applyFont="1" applyBorder="1" applyAlignment="1">
      <alignment vertical="center"/>
    </xf>
    <xf numFmtId="0" fontId="43" fillId="0" borderId="6" xfId="0" applyFont="1" applyFill="1" applyBorder="1" applyAlignment="1">
      <alignment vertical="center"/>
    </xf>
    <xf numFmtId="0" fontId="0" fillId="0" borderId="1" xfId="0" applyFont="1" applyFill="1" applyBorder="1" applyAlignment="1">
      <alignment horizontal="center" vertical="center" wrapText="1"/>
    </xf>
    <xf numFmtId="0" fontId="43" fillId="0" borderId="6" xfId="0" applyFont="1" applyFill="1" applyBorder="1" applyAlignment="1">
      <alignment horizontal="center" vertical="center"/>
    </xf>
    <xf numFmtId="0" fontId="3" fillId="0" borderId="6" xfId="6" applyFont="1" applyBorder="1" applyAlignment="1">
      <alignment vertical="center"/>
    </xf>
    <xf numFmtId="0" fontId="3" fillId="0" borderId="0" xfId="6"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4" Type="http://schemas.openxmlformats.org/officeDocument/2006/relationships/styles" Target="styles.xml"/><Relationship Id="rId183" Type="http://schemas.openxmlformats.org/officeDocument/2006/relationships/sharedStrings" Target="sharedStrings.xml"/><Relationship Id="rId182" Type="http://schemas.openxmlformats.org/officeDocument/2006/relationships/theme" Target="theme/theme1.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0"/>
  <sheetViews>
    <sheetView zoomScale="115" zoomScaleNormal="115" workbookViewId="0">
      <pane ySplit="9" topLeftCell="A101" activePane="bottomLeft" state="frozen"/>
      <selection/>
      <selection pane="bottomLeft" activeCell="B108" sqref="B108"/>
    </sheetView>
  </sheetViews>
  <sheetFormatPr defaultColWidth="9" defaultRowHeight="13.5"/>
  <cols>
    <col min="1" max="1" width="14.8333333333333" customWidth="1"/>
    <col min="2" max="2" width="49.6666666666667" style="268" customWidth="1"/>
    <col min="3" max="3" width="9" style="268" customWidth="1"/>
    <col min="4" max="4" width="9" style="269" customWidth="1"/>
    <col min="5" max="5" width="9.83333333333333" style="269" customWidth="1"/>
    <col min="6" max="6" width="9.16666666666667" style="269" customWidth="1"/>
    <col min="7" max="7" width="9" style="269" customWidth="1"/>
    <col min="8" max="8" width="9.16666666666667" style="269" customWidth="1"/>
    <col min="9" max="12" width="6.83333333333333" style="269" customWidth="1"/>
    <col min="13" max="13" width="10.1666666666667" style="203" customWidth="1"/>
    <col min="14" max="14" width="9.66666666666667" style="203" customWidth="1"/>
    <col min="15" max="16" width="10.6666666666667" style="203" customWidth="1"/>
    <col min="17" max="17" width="11.5" style="203" customWidth="1"/>
    <col min="18" max="19" width="5.16666666666667" style="203" customWidth="1"/>
    <col min="20" max="20" width="14.1666666666667" customWidth="1"/>
  </cols>
  <sheetData>
    <row r="1" s="267" customFormat="1" ht="14.25" spans="1:21">
      <c r="A1" s="270" t="s">
        <v>0</v>
      </c>
      <c r="B1" s="271" t="s">
        <v>1</v>
      </c>
      <c r="C1" s="272"/>
      <c r="D1" s="272"/>
      <c r="E1" s="273"/>
      <c r="F1" s="273"/>
      <c r="G1" s="273"/>
      <c r="H1" s="273"/>
      <c r="I1" s="273"/>
      <c r="J1" s="273"/>
      <c r="K1" s="273"/>
      <c r="L1" s="273"/>
      <c r="M1" s="273"/>
      <c r="N1" s="272"/>
      <c r="O1" s="272"/>
      <c r="P1" s="272"/>
      <c r="Q1" s="323"/>
      <c r="R1" s="203"/>
      <c r="S1" s="203"/>
      <c r="T1"/>
      <c r="U1"/>
    </row>
    <row r="2" s="267" customFormat="1" spans="1:21">
      <c r="A2" s="274"/>
      <c r="B2" s="275" t="s">
        <v>2</v>
      </c>
      <c r="C2" s="276"/>
      <c r="D2" s="276"/>
      <c r="E2" s="277"/>
      <c r="F2" s="277"/>
      <c r="G2" s="277"/>
      <c r="H2" s="277"/>
      <c r="I2" s="277"/>
      <c r="J2" s="277"/>
      <c r="K2" s="277"/>
      <c r="L2" s="277"/>
      <c r="M2" s="277"/>
      <c r="N2" s="276"/>
      <c r="O2" s="276"/>
      <c r="P2" s="276"/>
      <c r="Q2" s="324"/>
      <c r="R2" s="203"/>
      <c r="S2" s="203"/>
      <c r="T2"/>
      <c r="U2"/>
    </row>
    <row r="3" s="267" customFormat="1" spans="1:21">
      <c r="A3" s="274"/>
      <c r="B3" s="275" t="s">
        <v>3</v>
      </c>
      <c r="C3" s="276"/>
      <c r="D3" s="276"/>
      <c r="E3" s="277"/>
      <c r="F3" s="277"/>
      <c r="G3" s="277"/>
      <c r="H3" s="277"/>
      <c r="I3" s="277"/>
      <c r="J3" s="277"/>
      <c r="K3" s="277"/>
      <c r="L3" s="277"/>
      <c r="M3" s="277"/>
      <c r="N3" s="276"/>
      <c r="O3" s="276"/>
      <c r="P3" s="276"/>
      <c r="Q3" s="324"/>
      <c r="R3" s="203"/>
      <c r="S3" s="203"/>
      <c r="T3"/>
      <c r="U3"/>
    </row>
    <row r="4" s="267" customFormat="1" spans="1:21">
      <c r="A4" s="278"/>
      <c r="B4" s="275" t="s">
        <v>4</v>
      </c>
      <c r="C4" s="276"/>
      <c r="D4" s="276"/>
      <c r="E4" s="277"/>
      <c r="F4" s="277"/>
      <c r="G4" s="277"/>
      <c r="H4" s="277"/>
      <c r="I4" s="277"/>
      <c r="J4" s="277"/>
      <c r="K4" s="277"/>
      <c r="L4" s="277"/>
      <c r="M4" s="277"/>
      <c r="N4" s="276"/>
      <c r="O4" s="276"/>
      <c r="P4" s="276"/>
      <c r="Q4" s="324"/>
      <c r="R4" s="203"/>
      <c r="S4" s="203"/>
      <c r="T4"/>
      <c r="U4"/>
    </row>
    <row r="5" spans="1:20">
      <c r="A5" s="279" t="s">
        <v>5</v>
      </c>
      <c r="B5" s="280" t="s">
        <v>6</v>
      </c>
      <c r="C5" s="281"/>
      <c r="D5" s="281"/>
      <c r="E5" s="282"/>
      <c r="F5" s="282"/>
      <c r="G5" s="282"/>
      <c r="H5" s="282"/>
      <c r="I5" s="282"/>
      <c r="J5" s="282"/>
      <c r="K5" s="282"/>
      <c r="L5" s="282"/>
      <c r="M5" s="282"/>
      <c r="N5" s="281"/>
      <c r="O5" s="281"/>
      <c r="P5" s="281"/>
      <c r="Q5" s="325"/>
      <c r="S5" s="326" t="s">
        <v>7</v>
      </c>
      <c r="T5" s="45" t="s">
        <v>8</v>
      </c>
    </row>
    <row r="6" spans="1:20">
      <c r="A6" s="283"/>
      <c r="B6" s="284" t="s">
        <v>9</v>
      </c>
      <c r="C6" s="285"/>
      <c r="D6" s="285"/>
      <c r="E6" s="286"/>
      <c r="F6" s="286"/>
      <c r="G6" s="286"/>
      <c r="H6" s="286"/>
      <c r="I6" s="286"/>
      <c r="J6" s="286"/>
      <c r="K6" s="286"/>
      <c r="L6" s="286"/>
      <c r="M6" s="286"/>
      <c r="N6" s="285"/>
      <c r="O6" s="285"/>
      <c r="P6" s="285"/>
      <c r="Q6" s="327"/>
      <c r="S6" s="326" t="s">
        <v>10</v>
      </c>
      <c r="T6" s="45" t="s">
        <v>11</v>
      </c>
    </row>
    <row r="7" spans="1:20">
      <c r="A7" s="283"/>
      <c r="B7" s="281" t="s">
        <v>12</v>
      </c>
      <c r="C7" s="281"/>
      <c r="D7" s="281"/>
      <c r="E7" s="282"/>
      <c r="F7" s="282"/>
      <c r="G7" s="282"/>
      <c r="H7" s="282"/>
      <c r="I7" s="282"/>
      <c r="J7" s="282"/>
      <c r="K7" s="282"/>
      <c r="L7" s="282"/>
      <c r="M7" s="282"/>
      <c r="N7" s="281"/>
      <c r="O7" s="281"/>
      <c r="P7" s="281"/>
      <c r="Q7" s="325"/>
      <c r="S7" s="326" t="s">
        <v>13</v>
      </c>
      <c r="T7" s="45" t="s">
        <v>14</v>
      </c>
    </row>
    <row r="8" spans="1:20">
      <c r="A8" s="287"/>
      <c r="B8" s="281" t="s">
        <v>15</v>
      </c>
      <c r="C8" s="281"/>
      <c r="D8" s="281"/>
      <c r="E8" s="282"/>
      <c r="F8" s="282"/>
      <c r="G8" s="282"/>
      <c r="H8" s="282"/>
      <c r="I8" s="282"/>
      <c r="J8" s="282"/>
      <c r="K8" s="282"/>
      <c r="L8" s="282"/>
      <c r="M8" s="282"/>
      <c r="N8" s="281"/>
      <c r="O8" s="281"/>
      <c r="P8" s="281"/>
      <c r="Q8" s="325"/>
      <c r="S8" s="326" t="s">
        <v>13</v>
      </c>
      <c r="T8" s="45" t="s">
        <v>14</v>
      </c>
    </row>
    <row r="9" ht="25" customHeight="1" spans="1:20">
      <c r="A9" s="288" t="s">
        <v>16</v>
      </c>
      <c r="B9" s="289" t="s">
        <v>17</v>
      </c>
      <c r="C9" s="289" t="s">
        <v>18</v>
      </c>
      <c r="D9" s="290" t="s">
        <v>19</v>
      </c>
      <c r="E9" s="289" t="s">
        <v>20</v>
      </c>
      <c r="F9" s="289" t="s">
        <v>21</v>
      </c>
      <c r="G9" s="289" t="s">
        <v>22</v>
      </c>
      <c r="H9" s="289" t="s">
        <v>23</v>
      </c>
      <c r="I9" s="289" t="s">
        <v>24</v>
      </c>
      <c r="J9" s="289" t="s">
        <v>25</v>
      </c>
      <c r="K9" s="289" t="s">
        <v>26</v>
      </c>
      <c r="L9" s="290" t="s">
        <v>27</v>
      </c>
      <c r="M9" s="289" t="s">
        <v>28</v>
      </c>
      <c r="N9" s="288" t="s">
        <v>29</v>
      </c>
      <c r="O9" s="289" t="s">
        <v>30</v>
      </c>
      <c r="P9" s="288" t="s">
        <v>31</v>
      </c>
      <c r="Q9" s="288" t="s">
        <v>32</v>
      </c>
      <c r="S9" s="328" t="s">
        <v>33</v>
      </c>
      <c r="T9" s="45" t="s">
        <v>34</v>
      </c>
    </row>
    <row r="10" ht="25" customHeight="1" spans="1:17">
      <c r="A10" s="291" t="s">
        <v>35</v>
      </c>
      <c r="B10" s="292" t="s">
        <v>36</v>
      </c>
      <c r="C10" s="293"/>
      <c r="D10" s="294" t="s">
        <v>37</v>
      </c>
      <c r="E10" s="295"/>
      <c r="F10" s="296" t="s">
        <v>10</v>
      </c>
      <c r="G10" s="295"/>
      <c r="H10" s="295"/>
      <c r="I10" s="295"/>
      <c r="J10" s="295"/>
      <c r="K10" s="295"/>
      <c r="L10" s="295"/>
      <c r="M10" s="300" t="str">
        <f t="shared" ref="M10" si="0">IF(OR(E10="S",F10="S",G10="S",H10="S",I10="S",J10="S",K10="S",L10="S"),"S",IF(OR(E10="A",F10="A",G10="A",H10="A",I10="A",J10="A",K10="A",L10="A"),"A",IF(OR(E10="B",F10="B",G10="B",H10="B",I10="B",J10="B",K10="B",L10="B"),"B","C")))</f>
        <v>A</v>
      </c>
      <c r="N10" s="296"/>
      <c r="O10" s="296"/>
      <c r="P10" s="296"/>
      <c r="Q10" s="296"/>
    </row>
    <row r="11" ht="25" customHeight="1" spans="1:17">
      <c r="A11" s="297"/>
      <c r="B11" s="298" t="s">
        <v>38</v>
      </c>
      <c r="C11" s="293"/>
      <c r="D11" s="294" t="s">
        <v>37</v>
      </c>
      <c r="E11" s="295" t="s">
        <v>10</v>
      </c>
      <c r="F11" s="296"/>
      <c r="G11" s="295"/>
      <c r="H11" s="295"/>
      <c r="I11" s="295"/>
      <c r="J11" s="295"/>
      <c r="K11" s="295"/>
      <c r="L11" s="295"/>
      <c r="M11" s="300" t="str">
        <f t="shared" ref="M11:M16" si="1">IF(OR(E11="S",F11="S",G11="S",H11="S",I11="S",J11="S",K11="S",L11="S"),"S",IF(OR(E11="A",F11="A",G11="A",H11="A",I11="A",J11="A",K11="A",L11="A"),"A",IF(OR(E11="B",F11="B",G11="B",H11="B",I11="B",J11="B",K11="B",L11="B"),"B","C")))</f>
        <v>A</v>
      </c>
      <c r="N11" s="296"/>
      <c r="O11" s="296"/>
      <c r="P11" s="296"/>
      <c r="Q11" s="296"/>
    </row>
    <row r="12" ht="25" customHeight="1" spans="1:17">
      <c r="A12" s="297"/>
      <c r="B12" s="299" t="s">
        <v>39</v>
      </c>
      <c r="C12" s="293"/>
      <c r="D12" s="294" t="s">
        <v>37</v>
      </c>
      <c r="E12" s="295"/>
      <c r="F12" s="296"/>
      <c r="G12" s="295"/>
      <c r="H12" s="295" t="s">
        <v>10</v>
      </c>
      <c r="I12" s="295"/>
      <c r="J12" s="295"/>
      <c r="K12" s="295"/>
      <c r="L12" s="295"/>
      <c r="M12" s="300" t="str">
        <f t="shared" si="1"/>
        <v>A</v>
      </c>
      <c r="N12" s="296"/>
      <c r="O12" s="296"/>
      <c r="P12" s="296"/>
      <c r="Q12" s="296"/>
    </row>
    <row r="13" ht="25" customHeight="1" spans="1:17">
      <c r="A13" s="297"/>
      <c r="B13" s="299" t="s">
        <v>40</v>
      </c>
      <c r="C13" s="293"/>
      <c r="D13" s="294" t="s">
        <v>37</v>
      </c>
      <c r="E13" s="295"/>
      <c r="F13" s="296"/>
      <c r="G13" s="295"/>
      <c r="H13" s="295" t="s">
        <v>10</v>
      </c>
      <c r="I13" s="295"/>
      <c r="J13" s="295"/>
      <c r="K13" s="295"/>
      <c r="L13" s="295"/>
      <c r="M13" s="300" t="str">
        <f t="shared" si="1"/>
        <v>A</v>
      </c>
      <c r="N13" s="296"/>
      <c r="O13" s="296"/>
      <c r="P13" s="296"/>
      <c r="Q13" s="296"/>
    </row>
    <row r="14" ht="25" customHeight="1" spans="1:17">
      <c r="A14" s="300"/>
      <c r="B14" s="301" t="s">
        <v>41</v>
      </c>
      <c r="C14" s="293"/>
      <c r="D14" s="294" t="s">
        <v>37</v>
      </c>
      <c r="E14" s="295"/>
      <c r="F14" s="296" t="s">
        <v>10</v>
      </c>
      <c r="G14" s="295"/>
      <c r="H14" s="295"/>
      <c r="I14" s="295" t="s">
        <v>10</v>
      </c>
      <c r="J14" s="295"/>
      <c r="K14" s="295"/>
      <c r="L14" s="295"/>
      <c r="M14" s="300" t="str">
        <f t="shared" si="1"/>
        <v>A</v>
      </c>
      <c r="N14" s="296"/>
      <c r="O14" s="296"/>
      <c r="P14" s="296"/>
      <c r="Q14" s="296"/>
    </row>
    <row r="15" ht="25" customHeight="1" spans="1:17">
      <c r="A15" s="300"/>
      <c r="B15" s="302" t="s">
        <v>42</v>
      </c>
      <c r="C15" s="293"/>
      <c r="D15" s="294" t="s">
        <v>37</v>
      </c>
      <c r="E15" s="295"/>
      <c r="F15" s="296" t="s">
        <v>10</v>
      </c>
      <c r="G15" s="295"/>
      <c r="H15" s="295"/>
      <c r="I15" s="295" t="s">
        <v>10</v>
      </c>
      <c r="J15" s="295"/>
      <c r="K15" s="295"/>
      <c r="L15" s="295"/>
      <c r="M15" s="300" t="str">
        <f t="shared" ref="M15" si="2">IF(OR(E15="S",F15="S",G15="S",H15="S",I15="S",J15="S",K15="S",L15="S"),"S",IF(OR(E15="A",F15="A",G15="A",H15="A",I15="A",J15="A",K15="A",L15="A"),"A",IF(OR(E15="B",F15="B",G15="B",H15="B",I15="B",J15="B",K15="B",L15="B"),"B","C")))</f>
        <v>A</v>
      </c>
      <c r="N15" s="296"/>
      <c r="O15" s="296"/>
      <c r="P15" s="296"/>
      <c r="Q15" s="296"/>
    </row>
    <row r="16" ht="25" customHeight="1" spans="1:17">
      <c r="A16" s="300"/>
      <c r="B16" s="301" t="s">
        <v>43</v>
      </c>
      <c r="C16" s="293"/>
      <c r="D16" s="294" t="s">
        <v>37</v>
      </c>
      <c r="E16" s="295"/>
      <c r="F16" s="296" t="s">
        <v>10</v>
      </c>
      <c r="G16" s="295"/>
      <c r="H16" s="295"/>
      <c r="I16" s="295" t="s">
        <v>10</v>
      </c>
      <c r="J16" s="295"/>
      <c r="K16" s="295"/>
      <c r="L16" s="295"/>
      <c r="M16" s="300" t="str">
        <f t="shared" si="1"/>
        <v>A</v>
      </c>
      <c r="N16" s="296"/>
      <c r="O16" s="296"/>
      <c r="P16" s="296"/>
      <c r="Q16" s="296"/>
    </row>
    <row r="17" ht="25" customHeight="1" spans="1:17">
      <c r="A17" s="297" t="s">
        <v>44</v>
      </c>
      <c r="B17" s="303" t="s">
        <v>45</v>
      </c>
      <c r="C17" s="293"/>
      <c r="D17" s="295" t="s">
        <v>46</v>
      </c>
      <c r="E17" s="295"/>
      <c r="F17" s="296" t="s">
        <v>10</v>
      </c>
      <c r="G17" s="295"/>
      <c r="H17" s="295" t="s">
        <v>10</v>
      </c>
      <c r="I17" s="295"/>
      <c r="J17" s="295"/>
      <c r="K17" s="295"/>
      <c r="L17" s="295"/>
      <c r="M17" s="300" t="str">
        <f t="shared" ref="M17:M20" si="3">IF(OR(E17="S",F17="S",G17="S",H17="S",I17="S",J17="S",K17="S",L17="S"),"S",IF(OR(E17="A",F17="A",G17="A",H17="A",I17="A",J17="A",K17="A",L17="A"),"A",IF(OR(E17="B",F17="B",G17="B",H17="B",I17="B",J17="B",K17="B",L17="B"),"B","C")))</f>
        <v>A</v>
      </c>
      <c r="N17" s="296"/>
      <c r="O17" s="296"/>
      <c r="P17" s="296"/>
      <c r="Q17" s="296"/>
    </row>
    <row r="18" ht="25" customHeight="1" spans="1:17">
      <c r="A18" s="300"/>
      <c r="B18" s="303" t="s">
        <v>47</v>
      </c>
      <c r="C18" s="293"/>
      <c r="D18" s="295" t="s">
        <v>46</v>
      </c>
      <c r="E18" s="295"/>
      <c r="F18" s="296" t="s">
        <v>10</v>
      </c>
      <c r="G18" s="295"/>
      <c r="H18" s="295" t="s">
        <v>10</v>
      </c>
      <c r="I18" s="295"/>
      <c r="J18" s="295"/>
      <c r="K18" s="295"/>
      <c r="L18" s="295"/>
      <c r="M18" s="300" t="str">
        <f t="shared" si="3"/>
        <v>A</v>
      </c>
      <c r="N18" s="296"/>
      <c r="O18" s="296"/>
      <c r="P18" s="296"/>
      <c r="Q18" s="296"/>
    </row>
    <row r="19" ht="25" customHeight="1" spans="1:17">
      <c r="A19" s="304" t="s">
        <v>48</v>
      </c>
      <c r="B19" s="305" t="s">
        <v>49</v>
      </c>
      <c r="C19" s="293"/>
      <c r="D19" s="295" t="s">
        <v>37</v>
      </c>
      <c r="E19" s="295"/>
      <c r="F19" s="296" t="s">
        <v>10</v>
      </c>
      <c r="G19" s="295" t="s">
        <v>13</v>
      </c>
      <c r="H19" s="295" t="s">
        <v>10</v>
      </c>
      <c r="I19" s="295" t="s">
        <v>10</v>
      </c>
      <c r="J19" s="295"/>
      <c r="K19" s="295"/>
      <c r="L19" s="295"/>
      <c r="M19" s="300" t="str">
        <f t="shared" si="3"/>
        <v>A</v>
      </c>
      <c r="N19" s="296"/>
      <c r="O19" s="296"/>
      <c r="P19" s="296"/>
      <c r="Q19" s="296"/>
    </row>
    <row r="20" ht="25" customHeight="1" spans="1:17">
      <c r="A20" s="306"/>
      <c r="B20" s="305" t="s">
        <v>50</v>
      </c>
      <c r="C20" s="293"/>
      <c r="D20" s="295" t="s">
        <v>37</v>
      </c>
      <c r="E20" s="295"/>
      <c r="F20" s="296" t="s">
        <v>10</v>
      </c>
      <c r="G20" s="295" t="s">
        <v>13</v>
      </c>
      <c r="H20" s="295" t="s">
        <v>10</v>
      </c>
      <c r="I20" s="295" t="s">
        <v>10</v>
      </c>
      <c r="J20" s="295"/>
      <c r="K20" s="295"/>
      <c r="L20" s="295"/>
      <c r="M20" s="300" t="str">
        <f t="shared" si="3"/>
        <v>A</v>
      </c>
      <c r="N20" s="296"/>
      <c r="O20" s="296"/>
      <c r="P20" s="296"/>
      <c r="Q20" s="296"/>
    </row>
    <row r="21" ht="25" customHeight="1" spans="1:17">
      <c r="A21" s="306"/>
      <c r="B21" s="305" t="s">
        <v>51</v>
      </c>
      <c r="C21" s="293"/>
      <c r="D21" s="295" t="s">
        <v>37</v>
      </c>
      <c r="E21" s="295"/>
      <c r="F21" s="296" t="s">
        <v>10</v>
      </c>
      <c r="G21" s="295" t="s">
        <v>13</v>
      </c>
      <c r="H21" s="295" t="s">
        <v>10</v>
      </c>
      <c r="I21" s="295" t="s">
        <v>10</v>
      </c>
      <c r="J21" s="295"/>
      <c r="K21" s="295"/>
      <c r="L21" s="295"/>
      <c r="M21" s="300" t="str">
        <f t="shared" ref="M21:M25" si="4">IF(OR(E21="S",F21="S",G21="S",H21="S",I21="S",J21="S",K21="S",L21="S"),"S",IF(OR(E21="A",F21="A",G21="A",H21="A",I21="A",J21="A",K21="A",L21="A"),"A",IF(OR(E21="B",F21="B",G21="B",H21="B",I21="B",J21="B",K21="B",L21="B"),"B","C")))</f>
        <v>A</v>
      </c>
      <c r="N21" s="296"/>
      <c r="O21" s="296"/>
      <c r="P21" s="296"/>
      <c r="Q21" s="296"/>
    </row>
    <row r="22" ht="25" customHeight="1" spans="1:17">
      <c r="A22" s="306"/>
      <c r="B22" s="307" t="s">
        <v>52</v>
      </c>
      <c r="C22" s="293"/>
      <c r="D22" s="295" t="s">
        <v>37</v>
      </c>
      <c r="E22" s="295"/>
      <c r="F22" s="296" t="s">
        <v>10</v>
      </c>
      <c r="G22" s="295" t="s">
        <v>13</v>
      </c>
      <c r="H22" s="295" t="s">
        <v>10</v>
      </c>
      <c r="I22" s="295" t="s">
        <v>10</v>
      </c>
      <c r="J22" s="295"/>
      <c r="K22" s="295"/>
      <c r="L22" s="295"/>
      <c r="M22" s="300" t="str">
        <f t="shared" si="4"/>
        <v>A</v>
      </c>
      <c r="N22" s="296"/>
      <c r="O22" s="296"/>
      <c r="P22" s="296"/>
      <c r="Q22" s="296"/>
    </row>
    <row r="23" ht="25" customHeight="1" spans="1:17">
      <c r="A23" s="306"/>
      <c r="B23" s="305" t="s">
        <v>53</v>
      </c>
      <c r="C23" s="293"/>
      <c r="D23" s="295" t="s">
        <v>37</v>
      </c>
      <c r="E23" s="295"/>
      <c r="F23" s="296" t="s">
        <v>10</v>
      </c>
      <c r="G23" s="295" t="s">
        <v>13</v>
      </c>
      <c r="H23" s="295" t="s">
        <v>10</v>
      </c>
      <c r="I23" s="295" t="s">
        <v>10</v>
      </c>
      <c r="J23" s="295"/>
      <c r="K23" s="295"/>
      <c r="L23" s="295"/>
      <c r="M23" s="300" t="str">
        <f t="shared" si="4"/>
        <v>A</v>
      </c>
      <c r="N23" s="296"/>
      <c r="O23" s="296"/>
      <c r="P23" s="296"/>
      <c r="Q23" s="296"/>
    </row>
    <row r="24" ht="25" customHeight="1" spans="1:17">
      <c r="A24" s="306"/>
      <c r="B24" s="305" t="s">
        <v>54</v>
      </c>
      <c r="C24" s="293"/>
      <c r="D24" s="295" t="s">
        <v>37</v>
      </c>
      <c r="E24" s="295"/>
      <c r="F24" s="296" t="s">
        <v>10</v>
      </c>
      <c r="G24" s="295" t="s">
        <v>13</v>
      </c>
      <c r="H24" s="295" t="s">
        <v>10</v>
      </c>
      <c r="I24" s="295" t="s">
        <v>10</v>
      </c>
      <c r="J24" s="295"/>
      <c r="K24" s="295"/>
      <c r="L24" s="295"/>
      <c r="M24" s="300" t="str">
        <f t="shared" si="4"/>
        <v>A</v>
      </c>
      <c r="N24" s="296"/>
      <c r="O24" s="296"/>
      <c r="P24" s="296"/>
      <c r="Q24" s="296"/>
    </row>
    <row r="25" ht="25" customHeight="1" spans="1:17">
      <c r="A25" s="306"/>
      <c r="B25" s="305" t="s">
        <v>55</v>
      </c>
      <c r="C25" s="293"/>
      <c r="D25" s="295" t="s">
        <v>37</v>
      </c>
      <c r="E25" s="295"/>
      <c r="F25" s="296" t="s">
        <v>10</v>
      </c>
      <c r="G25" s="295" t="s">
        <v>13</v>
      </c>
      <c r="H25" s="295" t="s">
        <v>10</v>
      </c>
      <c r="I25" s="295" t="s">
        <v>10</v>
      </c>
      <c r="J25" s="295"/>
      <c r="K25" s="295"/>
      <c r="L25" s="295"/>
      <c r="M25" s="300" t="str">
        <f t="shared" si="4"/>
        <v>A</v>
      </c>
      <c r="N25" s="296"/>
      <c r="O25" s="296"/>
      <c r="P25" s="296"/>
      <c r="Q25" s="296"/>
    </row>
    <row r="26" ht="25" customHeight="1" spans="1:17">
      <c r="A26" s="306"/>
      <c r="B26" s="305" t="s">
        <v>56</v>
      </c>
      <c r="C26" s="293"/>
      <c r="D26" s="295" t="s">
        <v>37</v>
      </c>
      <c r="E26" s="295"/>
      <c r="F26" s="296" t="s">
        <v>10</v>
      </c>
      <c r="G26" s="295" t="s">
        <v>13</v>
      </c>
      <c r="H26" s="295" t="s">
        <v>10</v>
      </c>
      <c r="I26" s="295" t="s">
        <v>10</v>
      </c>
      <c r="J26" s="295"/>
      <c r="K26" s="295"/>
      <c r="L26" s="295"/>
      <c r="M26" s="300" t="str">
        <f t="shared" ref="M26:M28" si="5">IF(OR(E26="S",F26="S",G26="S",H26="S",I26="S",J26="S",K26="S",L26="S"),"S",IF(OR(E26="A",F26="A",G26="A",H26="A",I26="A",J26="A",K26="A",L26="A"),"A",IF(OR(E26="B",F26="B",G26="B",H26="B",I26="B",J26="B",K26="B",L26="B"),"B","C")))</f>
        <v>A</v>
      </c>
      <c r="N26" s="296"/>
      <c r="O26" s="296"/>
      <c r="P26" s="296"/>
      <c r="Q26" s="296"/>
    </row>
    <row r="27" ht="25" customHeight="1" spans="1:17">
      <c r="A27" s="306"/>
      <c r="B27" s="307" t="s">
        <v>57</v>
      </c>
      <c r="C27" s="293"/>
      <c r="D27" s="295" t="s">
        <v>37</v>
      </c>
      <c r="E27" s="295"/>
      <c r="F27" s="296" t="s">
        <v>10</v>
      </c>
      <c r="G27" s="295" t="s">
        <v>13</v>
      </c>
      <c r="H27" s="295" t="s">
        <v>10</v>
      </c>
      <c r="I27" s="295" t="s">
        <v>10</v>
      </c>
      <c r="J27" s="295"/>
      <c r="K27" s="295"/>
      <c r="L27" s="295"/>
      <c r="M27" s="300" t="str">
        <f t="shared" si="5"/>
        <v>A</v>
      </c>
      <c r="N27" s="296"/>
      <c r="O27" s="296"/>
      <c r="P27" s="296"/>
      <c r="Q27" s="296"/>
    </row>
    <row r="28" ht="25" customHeight="1" spans="1:17">
      <c r="A28" s="306"/>
      <c r="B28" s="307" t="s">
        <v>58</v>
      </c>
      <c r="C28" s="293"/>
      <c r="D28" s="295" t="s">
        <v>37</v>
      </c>
      <c r="E28" s="295"/>
      <c r="F28" s="296" t="s">
        <v>10</v>
      </c>
      <c r="G28" s="295" t="s">
        <v>13</v>
      </c>
      <c r="H28" s="295" t="s">
        <v>10</v>
      </c>
      <c r="I28" s="295" t="s">
        <v>10</v>
      </c>
      <c r="J28" s="295"/>
      <c r="K28" s="295"/>
      <c r="L28" s="295"/>
      <c r="M28" s="300" t="str">
        <f t="shared" si="5"/>
        <v>A</v>
      </c>
      <c r="N28" s="296"/>
      <c r="O28" s="296"/>
      <c r="P28" s="296"/>
      <c r="Q28" s="296"/>
    </row>
    <row r="29" ht="25" customHeight="1" spans="1:17">
      <c r="A29" s="306"/>
      <c r="B29" s="307" t="s">
        <v>59</v>
      </c>
      <c r="C29" s="293"/>
      <c r="D29" s="295" t="s">
        <v>37</v>
      </c>
      <c r="E29" s="295"/>
      <c r="F29" s="296" t="s">
        <v>10</v>
      </c>
      <c r="G29" s="295" t="s">
        <v>13</v>
      </c>
      <c r="H29" s="295" t="s">
        <v>10</v>
      </c>
      <c r="I29" s="295" t="s">
        <v>10</v>
      </c>
      <c r="J29" s="295"/>
      <c r="K29" s="295"/>
      <c r="L29" s="295"/>
      <c r="M29" s="300" t="str">
        <f t="shared" ref="M29" si="6">IF(OR(E29="S",F29="S",G29="S",H29="S",I29="S",J29="S",K29="S",L29="S"),"S",IF(OR(E29="A",F29="A",G29="A",H29="A",I29="A",J29="A",K29="A",L29="A"),"A",IF(OR(E29="B",F29="B",G29="B",H29="B",I29="B",J29="B",K29="B",L29="B"),"B","C")))</f>
        <v>A</v>
      </c>
      <c r="N29" s="296"/>
      <c r="O29" s="296"/>
      <c r="P29" s="296"/>
      <c r="Q29" s="296"/>
    </row>
    <row r="30" ht="25" customHeight="1" spans="1:17">
      <c r="A30" s="306"/>
      <c r="B30" s="305" t="s">
        <v>60</v>
      </c>
      <c r="C30" s="293"/>
      <c r="D30" s="295" t="s">
        <v>37</v>
      </c>
      <c r="E30" s="295"/>
      <c r="F30" s="296" t="s">
        <v>10</v>
      </c>
      <c r="G30" s="295" t="s">
        <v>13</v>
      </c>
      <c r="H30" s="295" t="s">
        <v>10</v>
      </c>
      <c r="I30" s="295" t="s">
        <v>10</v>
      </c>
      <c r="J30" s="295"/>
      <c r="K30" s="295"/>
      <c r="L30" s="295"/>
      <c r="M30" s="300" t="str">
        <f t="shared" ref="M30:M33" si="7">IF(OR(E30="S",F30="S",G30="S",H30="S",I30="S",J30="S",K30="S",L30="S"),"S",IF(OR(E30="A",F30="A",G30="A",H30="A",I30="A",J30="A",K30="A",L30="A"),"A",IF(OR(E30="B",F30="B",G30="B",H30="B",I30="B",J30="B",K30="B",L30="B"),"B","C")))</f>
        <v>A</v>
      </c>
      <c r="N30" s="296"/>
      <c r="O30" s="296"/>
      <c r="P30" s="296"/>
      <c r="Q30" s="296"/>
    </row>
    <row r="31" ht="25" customHeight="1" spans="1:17">
      <c r="A31" s="306"/>
      <c r="B31" s="305" t="s">
        <v>61</v>
      </c>
      <c r="C31" s="293"/>
      <c r="D31" s="295" t="s">
        <v>37</v>
      </c>
      <c r="E31" s="295"/>
      <c r="F31" s="296" t="s">
        <v>10</v>
      </c>
      <c r="G31" s="295" t="s">
        <v>13</v>
      </c>
      <c r="H31" s="295" t="s">
        <v>10</v>
      </c>
      <c r="I31" s="295" t="s">
        <v>10</v>
      </c>
      <c r="J31" s="295"/>
      <c r="K31" s="295"/>
      <c r="L31" s="295"/>
      <c r="M31" s="300" t="str">
        <f t="shared" si="7"/>
        <v>A</v>
      </c>
      <c r="N31" s="296"/>
      <c r="O31" s="296"/>
      <c r="P31" s="296"/>
      <c r="Q31" s="296"/>
    </row>
    <row r="32" ht="25" customHeight="1" spans="1:17">
      <c r="A32" s="306"/>
      <c r="B32" s="305" t="s">
        <v>62</v>
      </c>
      <c r="C32" s="293"/>
      <c r="D32" s="295" t="s">
        <v>37</v>
      </c>
      <c r="E32" s="295"/>
      <c r="F32" s="296" t="s">
        <v>10</v>
      </c>
      <c r="G32" s="295" t="s">
        <v>13</v>
      </c>
      <c r="H32" s="295" t="s">
        <v>10</v>
      </c>
      <c r="I32" s="295" t="s">
        <v>10</v>
      </c>
      <c r="J32" s="295"/>
      <c r="K32" s="295"/>
      <c r="L32" s="295"/>
      <c r="M32" s="300" t="str">
        <f t="shared" si="7"/>
        <v>A</v>
      </c>
      <c r="N32" s="296"/>
      <c r="O32" s="296"/>
      <c r="P32" s="296"/>
      <c r="Q32" s="296"/>
    </row>
    <row r="33" ht="25" customHeight="1" spans="1:17">
      <c r="A33" s="308"/>
      <c r="B33" s="305" t="s">
        <v>63</v>
      </c>
      <c r="C33" s="293"/>
      <c r="D33" s="295" t="s">
        <v>37</v>
      </c>
      <c r="E33" s="295"/>
      <c r="F33" s="296" t="s">
        <v>10</v>
      </c>
      <c r="G33" s="295" t="s">
        <v>13</v>
      </c>
      <c r="H33" s="295" t="s">
        <v>10</v>
      </c>
      <c r="I33" s="295" t="s">
        <v>10</v>
      </c>
      <c r="J33" s="295"/>
      <c r="K33" s="295"/>
      <c r="L33" s="295"/>
      <c r="M33" s="300" t="str">
        <f t="shared" si="7"/>
        <v>A</v>
      </c>
      <c r="N33" s="296"/>
      <c r="O33" s="296"/>
      <c r="P33" s="296"/>
      <c r="Q33" s="296"/>
    </row>
    <row r="34" ht="25" customHeight="1" spans="1:17">
      <c r="A34" s="309" t="s">
        <v>64</v>
      </c>
      <c r="B34" s="135" t="s">
        <v>65</v>
      </c>
      <c r="C34" s="293"/>
      <c r="D34" s="310" t="s">
        <v>46</v>
      </c>
      <c r="E34" s="295"/>
      <c r="F34" s="296" t="s">
        <v>10</v>
      </c>
      <c r="G34" s="295"/>
      <c r="H34" s="295" t="s">
        <v>10</v>
      </c>
      <c r="I34" s="295" t="s">
        <v>10</v>
      </c>
      <c r="J34" s="295"/>
      <c r="K34" s="295"/>
      <c r="L34" s="295"/>
      <c r="M34" s="300" t="str">
        <f t="shared" ref="M34:M46" si="8">IF(OR(E34="S",F34="S",G34="S",H34="S",I34="S",J34="S",K34="S",L34="S"),"S",IF(OR(E34="A",F34="A",G34="A",H34="A",I34="A",J34="A",K34="A",L34="A"),"A",IF(OR(E34="B",F34="B",G34="B",H34="B",I34="B",J34="B",K34="B",L34="B"),"B","C")))</f>
        <v>A</v>
      </c>
      <c r="N34" s="296"/>
      <c r="O34" s="296"/>
      <c r="P34" s="296"/>
      <c r="Q34" s="296">
        <v>1</v>
      </c>
    </row>
    <row r="35" ht="25" customHeight="1" spans="1:17">
      <c r="A35" s="309"/>
      <c r="B35" s="135" t="s">
        <v>66</v>
      </c>
      <c r="C35" s="293"/>
      <c r="D35" s="310" t="s">
        <v>46</v>
      </c>
      <c r="E35" s="295"/>
      <c r="F35" s="296" t="s">
        <v>10</v>
      </c>
      <c r="G35" s="295"/>
      <c r="H35" s="295" t="s">
        <v>10</v>
      </c>
      <c r="I35" s="295" t="s">
        <v>10</v>
      </c>
      <c r="J35" s="295"/>
      <c r="K35" s="295"/>
      <c r="L35" s="295"/>
      <c r="M35" s="300" t="str">
        <f t="shared" si="8"/>
        <v>A</v>
      </c>
      <c r="N35" s="296"/>
      <c r="O35" s="296"/>
      <c r="P35" s="296"/>
      <c r="Q35" s="296">
        <v>1</v>
      </c>
    </row>
    <row r="36" ht="25" customHeight="1" spans="1:17">
      <c r="A36" s="309"/>
      <c r="B36" s="135" t="s">
        <v>67</v>
      </c>
      <c r="C36" s="293"/>
      <c r="D36" s="310" t="s">
        <v>46</v>
      </c>
      <c r="E36" s="295"/>
      <c r="F36" s="296" t="s">
        <v>10</v>
      </c>
      <c r="G36" s="295"/>
      <c r="H36" s="295" t="s">
        <v>10</v>
      </c>
      <c r="I36" s="295" t="s">
        <v>10</v>
      </c>
      <c r="J36" s="295"/>
      <c r="K36" s="295"/>
      <c r="L36" s="295"/>
      <c r="M36" s="300" t="str">
        <f t="shared" si="8"/>
        <v>A</v>
      </c>
      <c r="N36" s="296"/>
      <c r="O36" s="296"/>
      <c r="P36" s="296"/>
      <c r="Q36" s="296">
        <v>1</v>
      </c>
    </row>
    <row r="37" ht="25" customHeight="1" spans="1:17">
      <c r="A37" s="309"/>
      <c r="B37" s="298" t="s">
        <v>68</v>
      </c>
      <c r="C37" s="293"/>
      <c r="D37" s="310" t="s">
        <v>46</v>
      </c>
      <c r="E37" s="295"/>
      <c r="F37" s="296" t="s">
        <v>10</v>
      </c>
      <c r="G37" s="295"/>
      <c r="H37" s="295" t="s">
        <v>10</v>
      </c>
      <c r="I37" s="295" t="s">
        <v>10</v>
      </c>
      <c r="J37" s="295"/>
      <c r="K37" s="295"/>
      <c r="L37" s="295"/>
      <c r="M37" s="300" t="str">
        <f t="shared" ref="M37" si="9">IF(OR(E37="S",F37="S",G37="S",H37="S",I37="S",J37="S",K37="S",L37="S"),"S",IF(OR(E37="A",F37="A",G37="A",H37="A",I37="A",J37="A",K37="A",L37="A"),"A",IF(OR(E37="B",F37="B",G37="B",H37="B",I37="B",J37="B",K37="B",L37="B"),"B","C")))</f>
        <v>A</v>
      </c>
      <c r="N37" s="296"/>
      <c r="O37" s="296"/>
      <c r="P37" s="296"/>
      <c r="Q37" s="296">
        <v>1</v>
      </c>
    </row>
    <row r="38" ht="24" customHeight="1" spans="1:17">
      <c r="A38" s="309"/>
      <c r="B38" s="311" t="s">
        <v>69</v>
      </c>
      <c r="C38" s="312"/>
      <c r="D38" s="310" t="s">
        <v>46</v>
      </c>
      <c r="E38" s="313"/>
      <c r="F38" s="314" t="s">
        <v>10</v>
      </c>
      <c r="G38" s="313"/>
      <c r="H38" s="313" t="s">
        <v>10</v>
      </c>
      <c r="I38" s="313" t="s">
        <v>10</v>
      </c>
      <c r="J38" s="313"/>
      <c r="K38" s="313"/>
      <c r="L38" s="313"/>
      <c r="M38" s="300" t="str">
        <f t="shared" ref="M38" si="10">IF(OR(E38="S",F38="S",G38="S",H38="S",I38="S",J38="S",K38="S",L38="S"),"S",IF(OR(E38="A",F38="A",G38="A",H38="A",I38="A",J38="A",K38="A",L38="A"),"A",IF(OR(E38="B",F38="B",G38="B",H38="B",I38="B",J38="B",K38="B",L38="B"),"B","C")))</f>
        <v>A</v>
      </c>
      <c r="N38" s="314"/>
      <c r="O38" s="314"/>
      <c r="P38" s="314"/>
      <c r="Q38" s="296">
        <v>1</v>
      </c>
    </row>
    <row r="39" ht="25" customHeight="1" spans="1:17">
      <c r="A39" s="309"/>
      <c r="B39" s="311" t="s">
        <v>70</v>
      </c>
      <c r="C39" s="312"/>
      <c r="D39" s="310" t="s">
        <v>46</v>
      </c>
      <c r="E39" s="313"/>
      <c r="F39" s="314" t="s">
        <v>10</v>
      </c>
      <c r="G39" s="313"/>
      <c r="H39" s="313" t="s">
        <v>10</v>
      </c>
      <c r="I39" s="313" t="s">
        <v>10</v>
      </c>
      <c r="J39" s="313"/>
      <c r="K39" s="313"/>
      <c r="L39" s="313"/>
      <c r="M39" s="300" t="str">
        <f t="shared" si="8"/>
        <v>A</v>
      </c>
      <c r="N39" s="314"/>
      <c r="O39" s="314"/>
      <c r="P39" s="314"/>
      <c r="Q39" s="296">
        <v>1</v>
      </c>
    </row>
    <row r="40" ht="25" customHeight="1" spans="1:17">
      <c r="A40" s="309"/>
      <c r="B40" s="135" t="s">
        <v>71</v>
      </c>
      <c r="C40" s="293"/>
      <c r="D40" s="310" t="s">
        <v>46</v>
      </c>
      <c r="E40" s="295"/>
      <c r="F40" s="296" t="s">
        <v>10</v>
      </c>
      <c r="G40" s="295"/>
      <c r="H40" s="295" t="s">
        <v>10</v>
      </c>
      <c r="I40" s="295" t="s">
        <v>10</v>
      </c>
      <c r="J40" s="295"/>
      <c r="K40" s="295"/>
      <c r="L40" s="295"/>
      <c r="M40" s="300" t="str">
        <f t="shared" ref="M40" si="11">IF(OR(E40="S",F40="S",G40="S",H40="S",I40="S",J40="S",K40="S",L40="S"),"S",IF(OR(E40="A",F40="A",G40="A",H40="A",I40="A",J40="A",K40="A",L40="A"),"A",IF(OR(E40="B",F40="B",G40="B",H40="B",I40="B",J40="B",K40="B",L40="B"),"B","C")))</f>
        <v>A</v>
      </c>
      <c r="N40" s="296"/>
      <c r="O40" s="296"/>
      <c r="P40" s="296"/>
      <c r="Q40" s="296"/>
    </row>
    <row r="41" ht="25" customHeight="1" spans="1:17">
      <c r="A41" s="309"/>
      <c r="B41" s="135" t="s">
        <v>72</v>
      </c>
      <c r="C41" s="293"/>
      <c r="D41" s="310" t="s">
        <v>46</v>
      </c>
      <c r="E41" s="295"/>
      <c r="F41" s="296" t="s">
        <v>10</v>
      </c>
      <c r="G41" s="295"/>
      <c r="H41" s="295" t="s">
        <v>10</v>
      </c>
      <c r="I41" s="295" t="s">
        <v>10</v>
      </c>
      <c r="J41" s="295"/>
      <c r="K41" s="295"/>
      <c r="L41" s="295"/>
      <c r="M41" s="300" t="str">
        <f t="shared" si="8"/>
        <v>A</v>
      </c>
      <c r="N41" s="296"/>
      <c r="O41" s="296"/>
      <c r="P41" s="296"/>
      <c r="Q41" s="296">
        <v>1</v>
      </c>
    </row>
    <row r="42" ht="25" customHeight="1" spans="1:17">
      <c r="A42" s="309"/>
      <c r="B42" s="135" t="s">
        <v>73</v>
      </c>
      <c r="C42" s="293"/>
      <c r="D42" s="310" t="s">
        <v>46</v>
      </c>
      <c r="E42" s="295"/>
      <c r="F42" s="296" t="s">
        <v>10</v>
      </c>
      <c r="G42" s="295"/>
      <c r="H42" s="295" t="s">
        <v>10</v>
      </c>
      <c r="I42" s="295" t="s">
        <v>10</v>
      </c>
      <c r="J42" s="295"/>
      <c r="K42" s="295"/>
      <c r="L42" s="295"/>
      <c r="M42" s="300" t="str">
        <f t="shared" si="8"/>
        <v>A</v>
      </c>
      <c r="N42" s="296"/>
      <c r="O42" s="296"/>
      <c r="P42" s="296"/>
      <c r="Q42" s="296">
        <v>1</v>
      </c>
    </row>
    <row r="43" ht="25" customHeight="1" spans="1:17">
      <c r="A43" s="309"/>
      <c r="B43" s="315" t="s">
        <v>74</v>
      </c>
      <c r="C43" s="316"/>
      <c r="D43" s="310" t="s">
        <v>46</v>
      </c>
      <c r="E43" s="295"/>
      <c r="F43" s="310" t="s">
        <v>10</v>
      </c>
      <c r="H43" s="310" t="s">
        <v>10</v>
      </c>
      <c r="I43" s="295" t="s">
        <v>10</v>
      </c>
      <c r="J43" s="310"/>
      <c r="K43" s="310"/>
      <c r="L43" s="310"/>
      <c r="M43" s="300" t="str">
        <f t="shared" si="8"/>
        <v>A</v>
      </c>
      <c r="N43" s="296"/>
      <c r="O43" s="296"/>
      <c r="P43" s="296"/>
      <c r="Q43" s="296">
        <v>1</v>
      </c>
    </row>
    <row r="44" ht="25" customHeight="1" spans="1:17">
      <c r="A44" s="309"/>
      <c r="B44" s="315" t="s">
        <v>75</v>
      </c>
      <c r="C44" s="316"/>
      <c r="D44" s="310" t="s">
        <v>46</v>
      </c>
      <c r="E44" s="295"/>
      <c r="F44" s="310" t="s">
        <v>10</v>
      </c>
      <c r="G44" s="295"/>
      <c r="H44" s="310" t="s">
        <v>10</v>
      </c>
      <c r="I44" s="295" t="s">
        <v>10</v>
      </c>
      <c r="J44" s="310"/>
      <c r="K44" s="310"/>
      <c r="L44" s="310"/>
      <c r="M44" s="300" t="str">
        <f t="shared" ref="M44" si="12">IF(OR(E44="S",F44="S",G44="S",H44="S",I44="S",J44="S",K44="S",L44="S"),"S",IF(OR(E44="A",F44="A",G44="A",H44="A",I44="A",J44="A",K44="A",L44="A"),"A",IF(OR(E44="B",F44="B",G44="B",H44="B",I44="B",J44="B",K44="B",L44="B"),"B","C")))</f>
        <v>A</v>
      </c>
      <c r="N44" s="296"/>
      <c r="O44" s="296"/>
      <c r="P44" s="296"/>
      <c r="Q44" s="296">
        <v>1</v>
      </c>
    </row>
    <row r="45" ht="25" customHeight="1" spans="1:17">
      <c r="A45" s="309"/>
      <c r="B45" s="135" t="s">
        <v>76</v>
      </c>
      <c r="C45" s="293"/>
      <c r="D45" s="310" t="s">
        <v>46</v>
      </c>
      <c r="E45" s="295"/>
      <c r="F45" s="296" t="s">
        <v>10</v>
      </c>
      <c r="G45" s="295"/>
      <c r="H45" s="295" t="s">
        <v>10</v>
      </c>
      <c r="I45" s="295" t="s">
        <v>10</v>
      </c>
      <c r="J45" s="295"/>
      <c r="K45" s="295"/>
      <c r="L45" s="295"/>
      <c r="M45" s="300" t="str">
        <f t="shared" si="8"/>
        <v>A</v>
      </c>
      <c r="N45" s="296"/>
      <c r="O45" s="296"/>
      <c r="P45" s="296"/>
      <c r="Q45" s="296">
        <v>1</v>
      </c>
    </row>
    <row r="46" ht="25" customHeight="1" spans="1:17">
      <c r="A46" s="309"/>
      <c r="B46" s="317" t="s">
        <v>77</v>
      </c>
      <c r="C46" s="293"/>
      <c r="D46" s="310" t="s">
        <v>46</v>
      </c>
      <c r="E46" s="295"/>
      <c r="F46" s="296" t="s">
        <v>10</v>
      </c>
      <c r="G46" s="295"/>
      <c r="H46" s="295" t="s">
        <v>10</v>
      </c>
      <c r="I46" s="295" t="s">
        <v>10</v>
      </c>
      <c r="J46" s="295"/>
      <c r="K46" s="295"/>
      <c r="L46" s="295"/>
      <c r="M46" s="300" t="str">
        <f t="shared" si="8"/>
        <v>A</v>
      </c>
      <c r="N46" s="296"/>
      <c r="O46" s="296"/>
      <c r="P46" s="296"/>
      <c r="Q46" s="296">
        <v>1</v>
      </c>
    </row>
    <row r="47" ht="25" customHeight="1" spans="1:17">
      <c r="A47" s="309"/>
      <c r="B47" s="317" t="s">
        <v>78</v>
      </c>
      <c r="C47" s="293"/>
      <c r="D47" s="310" t="s">
        <v>46</v>
      </c>
      <c r="E47" s="295"/>
      <c r="F47" s="296" t="s">
        <v>10</v>
      </c>
      <c r="G47" s="295"/>
      <c r="H47" s="295" t="s">
        <v>10</v>
      </c>
      <c r="I47" s="295" t="s">
        <v>10</v>
      </c>
      <c r="J47" s="295"/>
      <c r="K47" s="295"/>
      <c r="L47" s="295"/>
      <c r="M47" s="300" t="str">
        <f t="shared" ref="M47" si="13">IF(OR(E47="S",F47="S",G47="S",H47="S",I47="S",J47="S",K47="S",L47="S"),"S",IF(OR(E47="A",F47="A",G47="A",H47="A",I47="A",J47="A",K47="A",L47="A"),"A",IF(OR(E47="B",F47="B",G47="B",H47="B",I47="B",J47="B",K47="B",L47="B"),"B","C")))</f>
        <v>A</v>
      </c>
      <c r="N47" s="296"/>
      <c r="O47" s="296"/>
      <c r="P47" s="296"/>
      <c r="Q47" s="296">
        <v>1</v>
      </c>
    </row>
    <row r="48" ht="25" customHeight="1" spans="1:17">
      <c r="A48" s="309"/>
      <c r="B48" s="302" t="s">
        <v>79</v>
      </c>
      <c r="C48" s="312"/>
      <c r="D48" s="310" t="s">
        <v>46</v>
      </c>
      <c r="E48" s="313"/>
      <c r="F48" s="314" t="s">
        <v>10</v>
      </c>
      <c r="G48" s="313"/>
      <c r="H48" s="313" t="s">
        <v>10</v>
      </c>
      <c r="I48" s="313" t="s">
        <v>10</v>
      </c>
      <c r="J48" s="313"/>
      <c r="K48" s="313"/>
      <c r="L48" s="313"/>
      <c r="M48" s="300" t="str">
        <f t="shared" ref="M48:M53" si="14">IF(OR(E48="S",F48="S",G48="S",H48="S",I48="S",J48="S",K48="S",L48="S"),"S",IF(OR(E48="A",F48="A",G48="A",H48="A",I48="A",J48="A",K48="A",L48="A"),"A",IF(OR(E48="B",F48="B",G48="B",H48="B",I48="B",J48="B",K48="B",L48="B"),"B","C")))</f>
        <v>A</v>
      </c>
      <c r="N48" s="314"/>
      <c r="O48" s="314"/>
      <c r="P48" s="314"/>
      <c r="Q48" s="296">
        <v>1</v>
      </c>
    </row>
    <row r="49" ht="25" customHeight="1" spans="1:17">
      <c r="A49" s="309"/>
      <c r="B49" s="311" t="s">
        <v>80</v>
      </c>
      <c r="C49" s="312"/>
      <c r="D49" s="310" t="s">
        <v>46</v>
      </c>
      <c r="E49" s="313"/>
      <c r="F49" s="314" t="s">
        <v>10</v>
      </c>
      <c r="G49" s="313"/>
      <c r="H49" s="313" t="s">
        <v>10</v>
      </c>
      <c r="I49" s="313" t="s">
        <v>10</v>
      </c>
      <c r="J49" s="313"/>
      <c r="K49" s="313"/>
      <c r="L49" s="313"/>
      <c r="M49" s="300" t="str">
        <f t="shared" ref="M49" si="15">IF(OR(E49="S",F49="S",G49="S",H49="S",I49="S",J49="S",K49="S",L49="S"),"S",IF(OR(E49="A",F49="A",G49="A",H49="A",I49="A",J49="A",K49="A",L49="A"),"A",IF(OR(E49="B",F49="B",G49="B",H49="B",I49="B",J49="B",K49="B",L49="B"),"B","C")))</f>
        <v>A</v>
      </c>
      <c r="N49" s="314"/>
      <c r="O49" s="314"/>
      <c r="P49" s="314"/>
      <c r="Q49" s="296">
        <v>1</v>
      </c>
    </row>
    <row r="50" ht="25" customHeight="1" spans="1:17">
      <c r="A50" s="309"/>
      <c r="B50" s="311" t="s">
        <v>81</v>
      </c>
      <c r="C50" s="312"/>
      <c r="D50" s="310" t="s">
        <v>46</v>
      </c>
      <c r="E50" s="313"/>
      <c r="F50" s="314" t="s">
        <v>10</v>
      </c>
      <c r="G50" s="313"/>
      <c r="H50" s="313" t="s">
        <v>10</v>
      </c>
      <c r="I50" s="313" t="s">
        <v>10</v>
      </c>
      <c r="J50" s="313"/>
      <c r="K50" s="313"/>
      <c r="L50" s="313"/>
      <c r="M50" s="300" t="str">
        <f t="shared" ref="M50:M52" si="16">IF(OR(E50="S",F50="S",G50="S",H50="S",I50="S",J50="S",K50="S",L50="S"),"S",IF(OR(E50="A",F50="A",G50="A",H50="A",I50="A",J50="A",K50="A",L50="A"),"A",IF(OR(E50="B",F50="B",G50="B",H50="B",I50="B",J50="B",K50="B",L50="B"),"B","C")))</f>
        <v>A</v>
      </c>
      <c r="N50" s="314"/>
      <c r="O50" s="314"/>
      <c r="P50" s="314"/>
      <c r="Q50" s="296">
        <v>1</v>
      </c>
    </row>
    <row r="51" ht="25" customHeight="1" spans="1:17">
      <c r="A51" s="309"/>
      <c r="B51" s="318" t="s">
        <v>82</v>
      </c>
      <c r="C51" s="319"/>
      <c r="D51" s="320" t="s">
        <v>46</v>
      </c>
      <c r="E51" s="321"/>
      <c r="F51" s="322" t="s">
        <v>10</v>
      </c>
      <c r="G51" s="321"/>
      <c r="H51" s="321"/>
      <c r="I51" s="321"/>
      <c r="J51" s="321"/>
      <c r="K51" s="321"/>
      <c r="L51" s="321"/>
      <c r="M51" s="300" t="str">
        <f t="shared" si="16"/>
        <v>A</v>
      </c>
      <c r="N51" s="322"/>
      <c r="O51" s="322"/>
      <c r="P51" s="322"/>
      <c r="Q51" s="296"/>
    </row>
    <row r="52" ht="25" customHeight="1" spans="1:17">
      <c r="A52" s="309"/>
      <c r="B52" s="318" t="s">
        <v>83</v>
      </c>
      <c r="C52" s="319"/>
      <c r="D52" s="310" t="s">
        <v>46</v>
      </c>
      <c r="E52" s="321"/>
      <c r="F52" s="296" t="s">
        <v>10</v>
      </c>
      <c r="G52" s="321"/>
      <c r="H52" s="321"/>
      <c r="I52" s="321"/>
      <c r="J52" s="321"/>
      <c r="K52" s="321"/>
      <c r="L52" s="321"/>
      <c r="M52" s="300" t="str">
        <f t="shared" si="16"/>
        <v>A</v>
      </c>
      <c r="N52" s="322"/>
      <c r="O52" s="322"/>
      <c r="P52" s="322"/>
      <c r="Q52" s="296"/>
    </row>
    <row r="53" ht="25" customHeight="1" spans="1:17">
      <c r="A53" s="309"/>
      <c r="B53" s="298" t="s">
        <v>84</v>
      </c>
      <c r="C53" s="293"/>
      <c r="D53" s="310" t="s">
        <v>46</v>
      </c>
      <c r="E53" s="295"/>
      <c r="F53" s="296" t="s">
        <v>10</v>
      </c>
      <c r="G53" s="295"/>
      <c r="H53" s="295" t="s">
        <v>10</v>
      </c>
      <c r="I53" s="295" t="s">
        <v>10</v>
      </c>
      <c r="J53" s="295"/>
      <c r="K53" s="295"/>
      <c r="L53" s="295"/>
      <c r="M53" s="300" t="str">
        <f t="shared" si="14"/>
        <v>A</v>
      </c>
      <c r="N53" s="296"/>
      <c r="O53" s="296"/>
      <c r="P53" s="296"/>
      <c r="Q53" s="296">
        <v>1</v>
      </c>
    </row>
    <row r="54" ht="25" customHeight="1" spans="1:17">
      <c r="A54" s="309"/>
      <c r="B54" s="298" t="s">
        <v>85</v>
      </c>
      <c r="C54" s="293"/>
      <c r="D54" s="310" t="s">
        <v>46</v>
      </c>
      <c r="E54" s="295"/>
      <c r="F54" s="296" t="s">
        <v>10</v>
      </c>
      <c r="G54" s="295"/>
      <c r="H54" s="295" t="s">
        <v>10</v>
      </c>
      <c r="I54" s="295" t="s">
        <v>10</v>
      </c>
      <c r="J54" s="295"/>
      <c r="K54" s="295"/>
      <c r="L54" s="295"/>
      <c r="M54" s="300" t="str">
        <f t="shared" ref="M54:M55" si="17">IF(OR(E54="S",F54="S",G54="S",H54="S",I54="S",J54="S",K54="S",L54="S"),"S",IF(OR(E54="A",F54="A",G54="A",H54="A",I54="A",J54="A",K54="A",L54="A"),"A",IF(OR(E54="B",F54="B",G54="B",H54="B",I54="B",J54="B",K54="B",L54="B"),"B","C")))</f>
        <v>A</v>
      </c>
      <c r="N54" s="296"/>
      <c r="O54" s="296"/>
      <c r="P54" s="296"/>
      <c r="Q54" s="296">
        <v>1</v>
      </c>
    </row>
    <row r="55" ht="25" customHeight="1" spans="1:17">
      <c r="A55" s="309"/>
      <c r="B55" s="305" t="s">
        <v>86</v>
      </c>
      <c r="C55" s="293"/>
      <c r="D55" s="310" t="s">
        <v>46</v>
      </c>
      <c r="E55" s="295"/>
      <c r="F55" s="296" t="s">
        <v>10</v>
      </c>
      <c r="G55" s="295"/>
      <c r="H55" s="295" t="s">
        <v>10</v>
      </c>
      <c r="I55" s="295" t="s">
        <v>10</v>
      </c>
      <c r="J55" s="295"/>
      <c r="K55" s="295"/>
      <c r="L55" s="295"/>
      <c r="M55" s="300" t="str">
        <f t="shared" si="17"/>
        <v>A</v>
      </c>
      <c r="N55" s="296"/>
      <c r="O55" s="296"/>
      <c r="P55" s="296"/>
      <c r="Q55" s="296">
        <v>1</v>
      </c>
    </row>
    <row r="56" ht="25" customHeight="1" spans="1:17">
      <c r="A56" s="309"/>
      <c r="B56" s="305" t="s">
        <v>87</v>
      </c>
      <c r="C56" s="293"/>
      <c r="D56" s="310" t="s">
        <v>46</v>
      </c>
      <c r="E56" s="295"/>
      <c r="F56" s="296" t="s">
        <v>10</v>
      </c>
      <c r="G56" s="295"/>
      <c r="H56" s="295" t="s">
        <v>10</v>
      </c>
      <c r="I56" s="295" t="s">
        <v>10</v>
      </c>
      <c r="J56" s="295"/>
      <c r="K56" s="295"/>
      <c r="L56" s="295"/>
      <c r="M56" s="300" t="str">
        <f t="shared" ref="M56:M57" si="18">IF(OR(E56="S",F56="S",G56="S",H56="S",I56="S",J56="S",K56="S",L56="S"),"S",IF(OR(E56="A",F56="A",G56="A",H56="A",I56="A",J56="A",K56="A",L56="A"),"A",IF(OR(E56="B",F56="B",G56="B",H56="B",I56="B",J56="B",K56="B",L56="B"),"B","C")))</f>
        <v>A</v>
      </c>
      <c r="N56" s="296"/>
      <c r="O56" s="296"/>
      <c r="P56" s="296"/>
      <c r="Q56" s="296">
        <v>1</v>
      </c>
    </row>
    <row r="57" ht="25" customHeight="1" spans="1:17">
      <c r="A57" s="309"/>
      <c r="B57" s="305" t="s">
        <v>88</v>
      </c>
      <c r="C57" s="293"/>
      <c r="D57" s="310" t="s">
        <v>46</v>
      </c>
      <c r="E57" s="295"/>
      <c r="F57" s="296" t="s">
        <v>10</v>
      </c>
      <c r="G57" s="295"/>
      <c r="H57" s="295" t="s">
        <v>10</v>
      </c>
      <c r="I57" s="295" t="s">
        <v>10</v>
      </c>
      <c r="J57" s="295"/>
      <c r="K57" s="295"/>
      <c r="L57" s="295"/>
      <c r="M57" s="300" t="str">
        <f t="shared" si="18"/>
        <v>A</v>
      </c>
      <c r="N57" s="296"/>
      <c r="O57" s="296"/>
      <c r="P57" s="296"/>
      <c r="Q57" s="296">
        <v>1</v>
      </c>
    </row>
    <row r="58" ht="25" customHeight="1" spans="1:17">
      <c r="A58" s="309"/>
      <c r="B58" s="305" t="s">
        <v>89</v>
      </c>
      <c r="C58" s="293"/>
      <c r="D58" s="310" t="s">
        <v>46</v>
      </c>
      <c r="E58" s="295"/>
      <c r="F58" s="296" t="s">
        <v>10</v>
      </c>
      <c r="G58" s="295"/>
      <c r="H58" s="295" t="s">
        <v>10</v>
      </c>
      <c r="I58" s="295" t="s">
        <v>10</v>
      </c>
      <c r="J58" s="295"/>
      <c r="K58" s="295"/>
      <c r="L58" s="295"/>
      <c r="M58" s="300" t="str">
        <f t="shared" ref="M58:M60" si="19">IF(OR(E58="S",F58="S",G58="S",H58="S",I58="S",J58="S",K58="S",L58="S"),"S",IF(OR(E58="A",F58="A",G58="A",H58="A",I58="A",J58="A",K58="A",L58="A"),"A",IF(OR(E58="B",F58="B",G58="B",H58="B",I58="B",J58="B",K58="B",L58="B"),"B","C")))</f>
        <v>A</v>
      </c>
      <c r="N58" s="296"/>
      <c r="O58" s="296"/>
      <c r="P58" s="296"/>
      <c r="Q58" s="296">
        <v>1</v>
      </c>
    </row>
    <row r="59" ht="25" customHeight="1" spans="1:17">
      <c r="A59" s="309"/>
      <c r="B59" s="305" t="s">
        <v>90</v>
      </c>
      <c r="C59" s="293"/>
      <c r="D59" s="310" t="s">
        <v>46</v>
      </c>
      <c r="E59" s="295"/>
      <c r="F59" s="296" t="s">
        <v>10</v>
      </c>
      <c r="G59" s="295"/>
      <c r="H59" s="295" t="s">
        <v>10</v>
      </c>
      <c r="I59" s="295" t="s">
        <v>10</v>
      </c>
      <c r="J59" s="295"/>
      <c r="K59" s="295"/>
      <c r="L59" s="295"/>
      <c r="M59" s="300" t="str">
        <f t="shared" si="19"/>
        <v>A</v>
      </c>
      <c r="N59" s="296"/>
      <c r="O59" s="296"/>
      <c r="P59" s="296"/>
      <c r="Q59" s="296">
        <v>1</v>
      </c>
    </row>
    <row r="60" ht="25" customHeight="1" spans="1:17">
      <c r="A60" s="309"/>
      <c r="B60" s="305" t="s">
        <v>91</v>
      </c>
      <c r="C60" s="293"/>
      <c r="D60" s="310" t="s">
        <v>46</v>
      </c>
      <c r="E60" s="295"/>
      <c r="F60" s="296" t="s">
        <v>10</v>
      </c>
      <c r="G60" s="295"/>
      <c r="H60" s="295" t="s">
        <v>10</v>
      </c>
      <c r="I60" s="295" t="s">
        <v>10</v>
      </c>
      <c r="J60" s="295"/>
      <c r="K60" s="295"/>
      <c r="L60" s="295"/>
      <c r="M60" s="300" t="str">
        <f t="shared" si="19"/>
        <v>A</v>
      </c>
      <c r="N60" s="296"/>
      <c r="O60" s="296"/>
      <c r="P60" s="296"/>
      <c r="Q60" s="296">
        <v>1</v>
      </c>
    </row>
    <row r="61" ht="25" customHeight="1" spans="1:17">
      <c r="A61" s="309"/>
      <c r="B61" s="305" t="s">
        <v>92</v>
      </c>
      <c r="C61" s="293"/>
      <c r="D61" s="310" t="s">
        <v>46</v>
      </c>
      <c r="E61" s="295"/>
      <c r="F61" s="296" t="s">
        <v>10</v>
      </c>
      <c r="G61" s="295"/>
      <c r="H61" s="295" t="s">
        <v>10</v>
      </c>
      <c r="I61" s="295" t="s">
        <v>10</v>
      </c>
      <c r="J61" s="295"/>
      <c r="K61" s="295"/>
      <c r="L61" s="295"/>
      <c r="M61" s="300" t="str">
        <f t="shared" ref="M61" si="20">IF(OR(E61="S",F61="S",G61="S",H61="S",I61="S",J61="S",K61="S",L61="S"),"S",IF(OR(E61="A",F61="A",G61="A",H61="A",I61="A",J61="A",K61="A",L61="A"),"A",IF(OR(E61="B",F61="B",G61="B",H61="B",I61="B",J61="B",K61="B",L61="B"),"B","C")))</f>
        <v>A</v>
      </c>
      <c r="N61" s="296"/>
      <c r="O61" s="296"/>
      <c r="P61" s="296"/>
      <c r="Q61" s="296">
        <v>1</v>
      </c>
    </row>
    <row r="62" ht="25" customHeight="1" spans="1:17">
      <c r="A62" s="296" t="s">
        <v>93</v>
      </c>
      <c r="B62" s="135" t="s">
        <v>94</v>
      </c>
      <c r="C62" s="293"/>
      <c r="D62" s="295" t="s">
        <v>37</v>
      </c>
      <c r="E62" s="295"/>
      <c r="F62" s="296" t="s">
        <v>10</v>
      </c>
      <c r="G62" s="295" t="s">
        <v>13</v>
      </c>
      <c r="H62" s="295" t="s">
        <v>10</v>
      </c>
      <c r="I62" s="295" t="s">
        <v>10</v>
      </c>
      <c r="J62" s="295"/>
      <c r="K62" s="295"/>
      <c r="L62" s="295"/>
      <c r="M62" s="300" t="str">
        <f t="shared" ref="M62:M82" si="21">IF(OR(E62="S",F62="S",G62="S",H62="S",I62="S",J62="S",K62="S",L62="S"),"S",IF(OR(E62="A",F62="A",G62="A",H62="A",I62="A",J62="A",K62="A",L62="A"),"A",IF(OR(E62="B",F62="B",G62="B",H62="B",I62="B",J62="B",K62="B",L62="B"),"B","C")))</f>
        <v>A</v>
      </c>
      <c r="N62" s="296"/>
      <c r="O62" s="296"/>
      <c r="P62" s="296"/>
      <c r="Q62" s="296"/>
    </row>
    <row r="63" ht="25" customHeight="1" spans="1:17">
      <c r="A63" s="296"/>
      <c r="B63" s="135" t="s">
        <v>95</v>
      </c>
      <c r="C63" s="293"/>
      <c r="D63" s="295" t="s">
        <v>37</v>
      </c>
      <c r="E63" s="295"/>
      <c r="F63" s="296" t="s">
        <v>10</v>
      </c>
      <c r="G63" s="295" t="s">
        <v>13</v>
      </c>
      <c r="H63" s="295" t="s">
        <v>10</v>
      </c>
      <c r="I63" s="295" t="s">
        <v>10</v>
      </c>
      <c r="J63" s="295"/>
      <c r="K63" s="295"/>
      <c r="L63" s="295"/>
      <c r="M63" s="300" t="str">
        <f t="shared" si="21"/>
        <v>A</v>
      </c>
      <c r="N63" s="296"/>
      <c r="O63" s="296"/>
      <c r="P63" s="296"/>
      <c r="Q63" s="296"/>
    </row>
    <row r="64" ht="25" customHeight="1" spans="1:17">
      <c r="A64" s="296"/>
      <c r="B64" s="135" t="s">
        <v>96</v>
      </c>
      <c r="C64" s="293"/>
      <c r="D64" s="295" t="s">
        <v>37</v>
      </c>
      <c r="E64" s="295"/>
      <c r="F64" s="296" t="s">
        <v>10</v>
      </c>
      <c r="G64" s="295" t="s">
        <v>13</v>
      </c>
      <c r="H64" s="295" t="s">
        <v>10</v>
      </c>
      <c r="I64" s="295" t="s">
        <v>10</v>
      </c>
      <c r="J64" s="295"/>
      <c r="K64" s="295"/>
      <c r="L64" s="295"/>
      <c r="M64" s="300" t="str">
        <f t="shared" si="21"/>
        <v>A</v>
      </c>
      <c r="N64" s="296"/>
      <c r="O64" s="296"/>
      <c r="P64" s="296"/>
      <c r="Q64" s="296">
        <v>1</v>
      </c>
    </row>
    <row r="65" ht="25" customHeight="1" spans="1:17">
      <c r="A65" s="296"/>
      <c r="B65" s="135" t="s">
        <v>97</v>
      </c>
      <c r="C65" s="293"/>
      <c r="D65" s="295" t="s">
        <v>37</v>
      </c>
      <c r="E65" s="295"/>
      <c r="F65" s="296" t="s">
        <v>10</v>
      </c>
      <c r="G65" s="295" t="s">
        <v>13</v>
      </c>
      <c r="H65" s="295" t="s">
        <v>10</v>
      </c>
      <c r="I65" s="295" t="s">
        <v>10</v>
      </c>
      <c r="J65" s="295"/>
      <c r="K65" s="295"/>
      <c r="L65" s="295"/>
      <c r="M65" s="300" t="str">
        <f t="shared" si="21"/>
        <v>A</v>
      </c>
      <c r="N65" s="296"/>
      <c r="O65" s="296"/>
      <c r="P65" s="296"/>
      <c r="Q65" s="296"/>
    </row>
    <row r="66" ht="25" customHeight="1" spans="1:17">
      <c r="A66" s="296"/>
      <c r="B66" s="329" t="s">
        <v>98</v>
      </c>
      <c r="C66" s="330"/>
      <c r="D66" s="295" t="s">
        <v>37</v>
      </c>
      <c r="E66" s="331"/>
      <c r="F66" s="296" t="s">
        <v>10</v>
      </c>
      <c r="G66" s="295" t="s">
        <v>13</v>
      </c>
      <c r="H66" s="295" t="s">
        <v>10</v>
      </c>
      <c r="I66" s="295" t="s">
        <v>10</v>
      </c>
      <c r="J66" s="331"/>
      <c r="K66" s="331"/>
      <c r="L66" s="331"/>
      <c r="M66" s="300" t="str">
        <f t="shared" si="21"/>
        <v>A</v>
      </c>
      <c r="N66" s="296"/>
      <c r="O66" s="296"/>
      <c r="P66" s="296"/>
      <c r="Q66" s="296"/>
    </row>
    <row r="67" ht="25" customHeight="1" spans="1:17">
      <c r="A67" s="296"/>
      <c r="B67" s="307" t="s">
        <v>99</v>
      </c>
      <c r="C67" s="330"/>
      <c r="D67" s="295" t="s">
        <v>37</v>
      </c>
      <c r="E67" s="331"/>
      <c r="F67" s="296" t="s">
        <v>10</v>
      </c>
      <c r="G67" s="295" t="s">
        <v>13</v>
      </c>
      <c r="H67" s="295" t="s">
        <v>10</v>
      </c>
      <c r="I67" s="295" t="s">
        <v>10</v>
      </c>
      <c r="J67" s="331"/>
      <c r="K67" s="331"/>
      <c r="L67" s="331"/>
      <c r="M67" s="300" t="str">
        <f t="shared" si="21"/>
        <v>A</v>
      </c>
      <c r="N67" s="296"/>
      <c r="O67" s="296"/>
      <c r="P67" s="296"/>
      <c r="Q67" s="296"/>
    </row>
    <row r="68" ht="25" customHeight="1" spans="1:17">
      <c r="A68" s="296"/>
      <c r="B68" s="329" t="s">
        <v>100</v>
      </c>
      <c r="C68" s="330"/>
      <c r="D68" s="295" t="s">
        <v>37</v>
      </c>
      <c r="E68" s="331"/>
      <c r="F68" s="296" t="s">
        <v>10</v>
      </c>
      <c r="G68" s="295" t="s">
        <v>13</v>
      </c>
      <c r="H68" s="295" t="s">
        <v>10</v>
      </c>
      <c r="I68" s="295" t="s">
        <v>10</v>
      </c>
      <c r="J68" s="331"/>
      <c r="K68" s="331"/>
      <c r="L68" s="331"/>
      <c r="M68" s="300" t="str">
        <f t="shared" si="21"/>
        <v>A</v>
      </c>
      <c r="N68" s="296"/>
      <c r="O68" s="296"/>
      <c r="P68" s="296"/>
      <c r="Q68" s="296"/>
    </row>
    <row r="69" ht="25" customHeight="1" spans="1:17">
      <c r="A69" s="296"/>
      <c r="B69" s="307" t="s">
        <v>101</v>
      </c>
      <c r="C69" s="330"/>
      <c r="D69" s="295" t="s">
        <v>37</v>
      </c>
      <c r="E69" s="331"/>
      <c r="F69" s="296" t="s">
        <v>10</v>
      </c>
      <c r="G69" s="295" t="s">
        <v>13</v>
      </c>
      <c r="H69" s="295" t="s">
        <v>10</v>
      </c>
      <c r="I69" s="295" t="s">
        <v>10</v>
      </c>
      <c r="J69" s="331"/>
      <c r="K69" s="331"/>
      <c r="L69" s="331"/>
      <c r="M69" s="300" t="str">
        <f t="shared" si="21"/>
        <v>A</v>
      </c>
      <c r="N69" s="296"/>
      <c r="O69" s="296"/>
      <c r="P69" s="296"/>
      <c r="Q69" s="296"/>
    </row>
    <row r="70" ht="25" customHeight="1" spans="1:17">
      <c r="A70" s="296"/>
      <c r="B70" s="181" t="s">
        <v>102</v>
      </c>
      <c r="C70" s="330"/>
      <c r="D70" s="295" t="s">
        <v>37</v>
      </c>
      <c r="E70" s="331"/>
      <c r="F70" s="296" t="s">
        <v>10</v>
      </c>
      <c r="G70" s="295" t="s">
        <v>13</v>
      </c>
      <c r="H70" s="295" t="s">
        <v>10</v>
      </c>
      <c r="I70" s="295" t="s">
        <v>10</v>
      </c>
      <c r="J70" s="331"/>
      <c r="K70" s="331"/>
      <c r="L70" s="331"/>
      <c r="M70" s="300" t="str">
        <f t="shared" si="21"/>
        <v>A</v>
      </c>
      <c r="N70" s="296"/>
      <c r="O70" s="296"/>
      <c r="P70" s="296"/>
      <c r="Q70" s="296"/>
    </row>
    <row r="71" ht="25" customHeight="1" spans="1:17">
      <c r="A71" s="296"/>
      <c r="B71" s="181" t="s">
        <v>103</v>
      </c>
      <c r="C71" s="330"/>
      <c r="D71" s="295" t="s">
        <v>37</v>
      </c>
      <c r="E71" s="331"/>
      <c r="F71" s="296" t="s">
        <v>10</v>
      </c>
      <c r="G71" s="295" t="s">
        <v>13</v>
      </c>
      <c r="H71" s="295" t="s">
        <v>10</v>
      </c>
      <c r="I71" s="295" t="s">
        <v>10</v>
      </c>
      <c r="J71" s="331"/>
      <c r="K71" s="331"/>
      <c r="L71" s="331"/>
      <c r="M71" s="300" t="str">
        <f t="shared" si="21"/>
        <v>A</v>
      </c>
      <c r="N71" s="296"/>
      <c r="O71" s="296"/>
      <c r="P71" s="296"/>
      <c r="Q71" s="296"/>
    </row>
    <row r="72" ht="25" customHeight="1" spans="1:17">
      <c r="A72" s="296"/>
      <c r="B72" s="181" t="s">
        <v>104</v>
      </c>
      <c r="C72" s="330"/>
      <c r="D72" s="295" t="s">
        <v>37</v>
      </c>
      <c r="E72" s="331"/>
      <c r="F72" s="296" t="s">
        <v>10</v>
      </c>
      <c r="G72" s="295" t="s">
        <v>13</v>
      </c>
      <c r="H72" s="295" t="s">
        <v>10</v>
      </c>
      <c r="I72" s="295" t="s">
        <v>10</v>
      </c>
      <c r="J72" s="331"/>
      <c r="K72" s="331"/>
      <c r="L72" s="331"/>
      <c r="M72" s="300" t="str">
        <f t="shared" si="21"/>
        <v>A</v>
      </c>
      <c r="N72" s="296"/>
      <c r="O72" s="296"/>
      <c r="P72" s="296"/>
      <c r="Q72" s="296"/>
    </row>
    <row r="73" ht="25" customHeight="1" spans="1:17">
      <c r="A73" s="296"/>
      <c r="B73" s="181" t="s">
        <v>105</v>
      </c>
      <c r="C73" s="330"/>
      <c r="D73" s="295" t="s">
        <v>37</v>
      </c>
      <c r="E73" s="331"/>
      <c r="F73" s="296" t="s">
        <v>10</v>
      </c>
      <c r="G73" s="295" t="s">
        <v>13</v>
      </c>
      <c r="H73" s="295" t="s">
        <v>10</v>
      </c>
      <c r="I73" s="295" t="s">
        <v>10</v>
      </c>
      <c r="J73" s="331"/>
      <c r="K73" s="331"/>
      <c r="L73" s="331"/>
      <c r="M73" s="300" t="str">
        <f t="shared" si="21"/>
        <v>A</v>
      </c>
      <c r="N73" s="296"/>
      <c r="O73" s="296"/>
      <c r="P73" s="296"/>
      <c r="Q73" s="296"/>
    </row>
    <row r="74" ht="25" customHeight="1" spans="1:17">
      <c r="A74" s="296"/>
      <c r="B74" s="332" t="s">
        <v>106</v>
      </c>
      <c r="C74" s="330"/>
      <c r="D74" s="295" t="s">
        <v>37</v>
      </c>
      <c r="E74" s="331"/>
      <c r="F74" s="296" t="s">
        <v>10</v>
      </c>
      <c r="G74" s="295" t="s">
        <v>13</v>
      </c>
      <c r="H74" s="295" t="s">
        <v>10</v>
      </c>
      <c r="I74" s="295" t="s">
        <v>10</v>
      </c>
      <c r="J74" s="331"/>
      <c r="K74" s="331"/>
      <c r="L74" s="331"/>
      <c r="M74" s="300" t="str">
        <f t="shared" si="21"/>
        <v>A</v>
      </c>
      <c r="N74" s="296"/>
      <c r="O74" s="296"/>
      <c r="P74" s="296"/>
      <c r="Q74" s="296"/>
    </row>
    <row r="75" ht="25" customHeight="1" spans="1:17">
      <c r="A75" s="296"/>
      <c r="B75" s="181" t="s">
        <v>107</v>
      </c>
      <c r="C75" s="330"/>
      <c r="D75" s="295" t="s">
        <v>37</v>
      </c>
      <c r="E75" s="331"/>
      <c r="F75" s="296" t="s">
        <v>10</v>
      </c>
      <c r="G75" s="295" t="s">
        <v>13</v>
      </c>
      <c r="H75" s="295" t="s">
        <v>10</v>
      </c>
      <c r="I75" s="295" t="s">
        <v>10</v>
      </c>
      <c r="J75" s="331"/>
      <c r="K75" s="331"/>
      <c r="L75" s="331"/>
      <c r="M75" s="300" t="str">
        <f t="shared" si="21"/>
        <v>A</v>
      </c>
      <c r="N75" s="296"/>
      <c r="O75" s="296"/>
      <c r="P75" s="296"/>
      <c r="Q75" s="296"/>
    </row>
    <row r="76" ht="25" customHeight="1" spans="1:17">
      <c r="A76" s="296"/>
      <c r="B76" s="333" t="s">
        <v>108</v>
      </c>
      <c r="C76" s="330"/>
      <c r="D76" s="295" t="s">
        <v>37</v>
      </c>
      <c r="E76" s="331"/>
      <c r="F76" s="296" t="s">
        <v>10</v>
      </c>
      <c r="G76" s="295" t="s">
        <v>13</v>
      </c>
      <c r="H76" s="295" t="s">
        <v>10</v>
      </c>
      <c r="I76" s="295" t="s">
        <v>10</v>
      </c>
      <c r="J76" s="331"/>
      <c r="K76" s="331"/>
      <c r="L76" s="331"/>
      <c r="M76" s="300" t="str">
        <f t="shared" ref="M76" si="22">IF(OR(E76="S",F76="S",G76="S",H76="S",I76="S",J76="S",K76="S",L76="S"),"S",IF(OR(E76="A",F76="A",G76="A",H76="A",I76="A",J76="A",K76="A",L76="A"),"A",IF(OR(E76="B",F76="B",G76="B",H76="B",I76="B",J76="B",K76="B",L76="B"),"B","C")))</f>
        <v>A</v>
      </c>
      <c r="N76" s="296"/>
      <c r="O76" s="296"/>
      <c r="P76" s="296"/>
      <c r="Q76" s="296"/>
    </row>
    <row r="77" ht="25" customHeight="1" spans="1:17">
      <c r="A77" s="296"/>
      <c r="B77" s="181" t="s">
        <v>109</v>
      </c>
      <c r="C77" s="330"/>
      <c r="D77" s="295" t="s">
        <v>37</v>
      </c>
      <c r="E77" s="331"/>
      <c r="F77" s="296" t="s">
        <v>10</v>
      </c>
      <c r="G77" s="295" t="s">
        <v>13</v>
      </c>
      <c r="H77" s="295" t="s">
        <v>10</v>
      </c>
      <c r="I77" s="295" t="s">
        <v>10</v>
      </c>
      <c r="J77" s="331"/>
      <c r="K77" s="331"/>
      <c r="L77" s="331"/>
      <c r="M77" s="300" t="str">
        <f t="shared" si="21"/>
        <v>A</v>
      </c>
      <c r="N77" s="296"/>
      <c r="O77" s="296"/>
      <c r="P77" s="296"/>
      <c r="Q77" s="296"/>
    </row>
    <row r="78" ht="25" customHeight="1" spans="1:17">
      <c r="A78" s="296"/>
      <c r="B78" s="333" t="s">
        <v>110</v>
      </c>
      <c r="C78" s="330"/>
      <c r="D78" s="295"/>
      <c r="E78" s="331"/>
      <c r="F78" s="296"/>
      <c r="G78" s="295"/>
      <c r="H78" s="295"/>
      <c r="I78" s="295"/>
      <c r="J78" s="331"/>
      <c r="K78" s="331"/>
      <c r="L78" s="331"/>
      <c r="M78" s="300"/>
      <c r="N78" s="296"/>
      <c r="O78" s="296"/>
      <c r="P78" s="296"/>
      <c r="Q78" s="296"/>
    </row>
    <row r="79" ht="25" customHeight="1" spans="1:17">
      <c r="A79" s="296"/>
      <c r="B79" s="333" t="s">
        <v>111</v>
      </c>
      <c r="C79" s="330"/>
      <c r="D79" s="295"/>
      <c r="E79" s="331"/>
      <c r="F79" s="296"/>
      <c r="G79" s="295"/>
      <c r="H79" s="295"/>
      <c r="I79" s="295"/>
      <c r="J79" s="331"/>
      <c r="K79" s="331"/>
      <c r="L79" s="331"/>
      <c r="M79" s="300"/>
      <c r="N79" s="296"/>
      <c r="O79" s="296"/>
      <c r="P79" s="296"/>
      <c r="Q79" s="296"/>
    </row>
    <row r="80" ht="25" customHeight="1" spans="1:17">
      <c r="A80" s="296"/>
      <c r="B80" s="333" t="s">
        <v>112</v>
      </c>
      <c r="C80" s="330"/>
      <c r="D80" s="295" t="s">
        <v>37</v>
      </c>
      <c r="E80" s="331"/>
      <c r="F80" s="296" t="s">
        <v>10</v>
      </c>
      <c r="G80" s="295" t="s">
        <v>13</v>
      </c>
      <c r="H80" s="295" t="s">
        <v>10</v>
      </c>
      <c r="I80" s="295" t="s">
        <v>10</v>
      </c>
      <c r="J80" s="331"/>
      <c r="K80" s="331"/>
      <c r="L80" s="331"/>
      <c r="M80" s="300" t="str">
        <f t="shared" ref="M80" si="23">IF(OR(E80="S",F80="S",G80="S",H80="S",I80="S",J80="S",K80="S",L80="S"),"S",IF(OR(E80="A",F80="A",G80="A",H80="A",I80="A",J80="A",K80="A",L80="A"),"A",IF(OR(E80="B",F80="B",G80="B",H80="B",I80="B",J80="B",K80="B",L80="B"),"B","C")))</f>
        <v>A</v>
      </c>
      <c r="N80" s="296"/>
      <c r="O80" s="296"/>
      <c r="P80" s="296"/>
      <c r="Q80" s="296"/>
    </row>
    <row r="81" ht="25" customHeight="1" spans="1:17">
      <c r="A81" s="296"/>
      <c r="B81" s="333" t="s">
        <v>113</v>
      </c>
      <c r="C81" s="330"/>
      <c r="D81" s="295" t="s">
        <v>37</v>
      </c>
      <c r="E81" s="331"/>
      <c r="F81" s="296" t="s">
        <v>10</v>
      </c>
      <c r="G81" s="295" t="s">
        <v>13</v>
      </c>
      <c r="H81" s="295" t="s">
        <v>10</v>
      </c>
      <c r="I81" s="295" t="s">
        <v>10</v>
      </c>
      <c r="J81" s="331"/>
      <c r="K81" s="331"/>
      <c r="L81" s="331"/>
      <c r="M81" s="300" t="str">
        <f t="shared" ref="M81" si="24">IF(OR(E81="S",F81="S",G81="S",H81="S",I81="S",J81="S",K81="S",L81="S"),"S",IF(OR(E81="A",F81="A",G81="A",H81="A",I81="A",J81="A",K81="A",L81="A"),"A",IF(OR(E81="B",F81="B",G81="B",H81="B",I81="B",J81="B",K81="B",L81="B"),"B","C")))</f>
        <v>A</v>
      </c>
      <c r="N81" s="296"/>
      <c r="O81" s="296"/>
      <c r="P81" s="296"/>
      <c r="Q81" s="296"/>
    </row>
    <row r="82" ht="25" customHeight="1" spans="1:17">
      <c r="A82" s="296"/>
      <c r="B82" s="307" t="s">
        <v>114</v>
      </c>
      <c r="C82" s="330"/>
      <c r="D82" s="295" t="s">
        <v>37</v>
      </c>
      <c r="E82" s="331"/>
      <c r="F82" s="296" t="s">
        <v>10</v>
      </c>
      <c r="G82" s="295" t="s">
        <v>13</v>
      </c>
      <c r="H82" s="295" t="s">
        <v>10</v>
      </c>
      <c r="I82" s="295" t="s">
        <v>10</v>
      </c>
      <c r="J82" s="331"/>
      <c r="K82" s="331"/>
      <c r="L82" s="331"/>
      <c r="M82" s="300" t="str">
        <f t="shared" si="21"/>
        <v>A</v>
      </c>
      <c r="N82" s="296"/>
      <c r="O82" s="296"/>
      <c r="P82" s="296"/>
      <c r="Q82" s="296"/>
    </row>
    <row r="83" ht="25" customHeight="1" spans="1:17">
      <c r="A83" s="296" t="s">
        <v>115</v>
      </c>
      <c r="B83" s="329" t="s">
        <v>116</v>
      </c>
      <c r="C83" s="330"/>
      <c r="D83" s="331" t="s">
        <v>117</v>
      </c>
      <c r="E83" s="331"/>
      <c r="F83" s="296" t="s">
        <v>10</v>
      </c>
      <c r="G83" s="331"/>
      <c r="H83" s="331" t="s">
        <v>10</v>
      </c>
      <c r="I83" s="331" t="s">
        <v>10</v>
      </c>
      <c r="J83" s="331"/>
      <c r="K83" s="331"/>
      <c r="L83" s="331"/>
      <c r="M83" s="300" t="str">
        <f t="shared" ref="M83:M93" si="25">IF(OR(E83="S",F83="S",G83="S",H83="S",I83="S",J83="S",K83="S",L83="S"),"S",IF(OR(E83="A",F83="A",G83="A",H83="A",I83="A",J83="A",K83="A",L83="A"),"A",IF(OR(E83="B",F83="B",G83="B",H83="B",I83="B",J83="B",K83="B",L83="B"),"B","C")))</f>
        <v>A</v>
      </c>
      <c r="N83" s="296"/>
      <c r="O83" s="296"/>
      <c r="P83" s="296"/>
      <c r="Q83" s="296"/>
    </row>
    <row r="84" ht="25" customHeight="1" spans="1:17">
      <c r="A84" s="296"/>
      <c r="B84" s="329" t="s">
        <v>118</v>
      </c>
      <c r="C84" s="334"/>
      <c r="D84" s="331" t="s">
        <v>117</v>
      </c>
      <c r="E84" s="335"/>
      <c r="F84" s="296" t="s">
        <v>10</v>
      </c>
      <c r="G84" s="335"/>
      <c r="H84" s="335" t="s">
        <v>10</v>
      </c>
      <c r="I84" s="335" t="s">
        <v>10</v>
      </c>
      <c r="J84" s="335"/>
      <c r="K84" s="335"/>
      <c r="L84" s="335"/>
      <c r="M84" s="300" t="str">
        <f t="shared" si="25"/>
        <v>A</v>
      </c>
      <c r="N84" s="296"/>
      <c r="O84" s="296"/>
      <c r="P84" s="296"/>
      <c r="Q84" s="296"/>
    </row>
    <row r="85" ht="25" customHeight="1" spans="1:17">
      <c r="A85" s="296"/>
      <c r="B85" s="333" t="s">
        <v>119</v>
      </c>
      <c r="C85" s="334"/>
      <c r="D85" s="331" t="s">
        <v>117</v>
      </c>
      <c r="E85" s="335"/>
      <c r="F85" s="296" t="s">
        <v>10</v>
      </c>
      <c r="G85" s="335"/>
      <c r="H85" s="335" t="s">
        <v>10</v>
      </c>
      <c r="I85" s="335" t="s">
        <v>10</v>
      </c>
      <c r="J85" s="335"/>
      <c r="K85" s="335"/>
      <c r="L85" s="335"/>
      <c r="M85" s="300" t="str">
        <f t="shared" ref="M85" si="26">IF(OR(E85="S",F85="S",G85="S",H85="S",I85="S",J85="S",K85="S",L85="S"),"S",IF(OR(E85="A",F85="A",G85="A",H85="A",I85="A",J85="A",K85="A",L85="A"),"A",IF(OR(E85="B",F85="B",G85="B",H85="B",I85="B",J85="B",K85="B",L85="B"),"B","C")))</f>
        <v>A</v>
      </c>
      <c r="N85" s="296"/>
      <c r="O85" s="296"/>
      <c r="P85" s="296"/>
      <c r="Q85" s="296"/>
    </row>
    <row r="86" ht="25" customHeight="1" spans="1:17">
      <c r="A86" s="296"/>
      <c r="B86" s="333" t="s">
        <v>120</v>
      </c>
      <c r="C86" s="334"/>
      <c r="D86" s="331" t="s">
        <v>117</v>
      </c>
      <c r="E86" s="335"/>
      <c r="F86" s="296" t="s">
        <v>10</v>
      </c>
      <c r="G86" s="335"/>
      <c r="H86" s="335" t="s">
        <v>10</v>
      </c>
      <c r="I86" s="335" t="s">
        <v>10</v>
      </c>
      <c r="J86" s="335"/>
      <c r="K86" s="335"/>
      <c r="L86" s="335"/>
      <c r="M86" s="300" t="str">
        <f t="shared" si="25"/>
        <v>A</v>
      </c>
      <c r="N86" s="296"/>
      <c r="O86" s="296"/>
      <c r="P86" s="296"/>
      <c r="Q86" s="296">
        <v>1</v>
      </c>
    </row>
    <row r="87" ht="25" customHeight="1" spans="1:17">
      <c r="A87" s="296"/>
      <c r="B87" s="305" t="s">
        <v>121</v>
      </c>
      <c r="C87" s="334"/>
      <c r="D87" s="331" t="s">
        <v>117</v>
      </c>
      <c r="E87" s="335"/>
      <c r="F87" s="296" t="s">
        <v>10</v>
      </c>
      <c r="G87" s="335"/>
      <c r="H87" s="335" t="s">
        <v>10</v>
      </c>
      <c r="I87" s="335" t="s">
        <v>10</v>
      </c>
      <c r="J87" s="335"/>
      <c r="K87" s="335"/>
      <c r="L87" s="335"/>
      <c r="M87" s="300" t="str">
        <f t="shared" si="25"/>
        <v>A</v>
      </c>
      <c r="N87" s="296"/>
      <c r="O87" s="296"/>
      <c r="P87" s="296"/>
      <c r="Q87" s="296">
        <v>1</v>
      </c>
    </row>
    <row r="88" ht="25" customHeight="1" spans="1:17">
      <c r="A88" s="296"/>
      <c r="B88" s="305" t="s">
        <v>122</v>
      </c>
      <c r="C88" s="334"/>
      <c r="D88" s="331" t="s">
        <v>117</v>
      </c>
      <c r="E88" s="335"/>
      <c r="F88" s="296" t="s">
        <v>10</v>
      </c>
      <c r="G88" s="335"/>
      <c r="H88" s="335" t="s">
        <v>10</v>
      </c>
      <c r="I88" s="335" t="s">
        <v>10</v>
      </c>
      <c r="J88" s="335"/>
      <c r="K88" s="335"/>
      <c r="L88" s="335"/>
      <c r="M88" s="300" t="str">
        <f t="shared" si="25"/>
        <v>A</v>
      </c>
      <c r="N88" s="296"/>
      <c r="O88" s="296"/>
      <c r="P88" s="296"/>
      <c r="Q88" s="296">
        <v>1</v>
      </c>
    </row>
    <row r="89" ht="25" customHeight="1" spans="1:17">
      <c r="A89" s="296"/>
      <c r="B89" s="333" t="s">
        <v>123</v>
      </c>
      <c r="C89" s="330"/>
      <c r="D89" s="331" t="s">
        <v>117</v>
      </c>
      <c r="E89" s="331"/>
      <c r="F89" s="296" t="s">
        <v>10</v>
      </c>
      <c r="G89" s="331"/>
      <c r="H89" s="331" t="s">
        <v>10</v>
      </c>
      <c r="I89" s="331" t="s">
        <v>10</v>
      </c>
      <c r="J89" s="331"/>
      <c r="K89" s="331"/>
      <c r="L89" s="331"/>
      <c r="M89" s="300" t="str">
        <f t="shared" si="25"/>
        <v>A</v>
      </c>
      <c r="N89" s="296"/>
      <c r="O89" s="296"/>
      <c r="P89" s="296"/>
      <c r="Q89" s="296"/>
    </row>
    <row r="90" ht="25" customHeight="1" spans="1:17">
      <c r="A90" s="296"/>
      <c r="B90" s="333" t="s">
        <v>124</v>
      </c>
      <c r="C90" s="330"/>
      <c r="D90" s="331" t="s">
        <v>117</v>
      </c>
      <c r="E90" s="331"/>
      <c r="F90" s="296" t="s">
        <v>10</v>
      </c>
      <c r="G90" s="331"/>
      <c r="H90" s="331" t="s">
        <v>10</v>
      </c>
      <c r="I90" s="331" t="s">
        <v>10</v>
      </c>
      <c r="J90" s="331"/>
      <c r="K90" s="331"/>
      <c r="L90" s="331"/>
      <c r="M90" s="300" t="str">
        <f t="shared" si="25"/>
        <v>A</v>
      </c>
      <c r="N90" s="296"/>
      <c r="O90" s="296"/>
      <c r="P90" s="296"/>
      <c r="Q90" s="296"/>
    </row>
    <row r="91" ht="25" customHeight="1" spans="1:17">
      <c r="A91" s="296"/>
      <c r="B91" s="333" t="s">
        <v>125</v>
      </c>
      <c r="C91" s="330"/>
      <c r="D91" s="331" t="s">
        <v>117</v>
      </c>
      <c r="E91" s="331"/>
      <c r="F91" s="296" t="s">
        <v>10</v>
      </c>
      <c r="G91" s="331"/>
      <c r="H91" s="331" t="s">
        <v>10</v>
      </c>
      <c r="I91" s="331" t="s">
        <v>10</v>
      </c>
      <c r="J91" s="331"/>
      <c r="K91" s="331"/>
      <c r="L91" s="331"/>
      <c r="M91" s="300" t="str">
        <f t="shared" si="25"/>
        <v>A</v>
      </c>
      <c r="N91" s="296"/>
      <c r="O91" s="296"/>
      <c r="P91" s="296"/>
      <c r="Q91" s="296"/>
    </row>
    <row r="92" s="100" customFormat="1" ht="25" customHeight="1" spans="1:20">
      <c r="A92" s="304" t="s">
        <v>126</v>
      </c>
      <c r="B92" s="336" t="s">
        <v>127</v>
      </c>
      <c r="C92" s="337"/>
      <c r="D92" s="338" t="s">
        <v>117</v>
      </c>
      <c r="E92" s="338"/>
      <c r="F92" s="339" t="s">
        <v>10</v>
      </c>
      <c r="G92" s="338"/>
      <c r="H92" s="338"/>
      <c r="I92" s="338"/>
      <c r="J92" s="338"/>
      <c r="K92" s="338"/>
      <c r="L92" s="338"/>
      <c r="M92" s="300" t="str">
        <f t="shared" si="25"/>
        <v>A</v>
      </c>
      <c r="N92" s="339"/>
      <c r="O92" s="339"/>
      <c r="P92" s="339"/>
      <c r="Q92" s="339"/>
      <c r="R92" s="203"/>
      <c r="S92" s="345"/>
      <c r="T92" s="345"/>
    </row>
    <row r="93" s="100" customFormat="1" ht="25" customHeight="1" spans="1:20">
      <c r="A93" s="306"/>
      <c r="B93" s="340" t="s">
        <v>128</v>
      </c>
      <c r="C93" s="337"/>
      <c r="D93" s="338" t="s">
        <v>117</v>
      </c>
      <c r="E93" s="338" t="s">
        <v>13</v>
      </c>
      <c r="F93" s="339" t="s">
        <v>10</v>
      </c>
      <c r="G93" s="338"/>
      <c r="H93" s="338" t="s">
        <v>13</v>
      </c>
      <c r="I93" s="338" t="s">
        <v>13</v>
      </c>
      <c r="J93" s="338"/>
      <c r="K93" s="338"/>
      <c r="L93" s="338"/>
      <c r="M93" s="300" t="str">
        <f t="shared" si="25"/>
        <v>A</v>
      </c>
      <c r="N93" s="339"/>
      <c r="O93" s="339"/>
      <c r="P93" s="339"/>
      <c r="Q93" s="339">
        <v>1</v>
      </c>
      <c r="R93" s="203"/>
      <c r="S93" s="345"/>
      <c r="T93" s="345"/>
    </row>
    <row r="94" s="100" customFormat="1" ht="25" customHeight="1" spans="1:20">
      <c r="A94" s="306"/>
      <c r="B94" s="340" t="s">
        <v>129</v>
      </c>
      <c r="C94" s="337"/>
      <c r="D94" s="338" t="s">
        <v>117</v>
      </c>
      <c r="E94" s="338" t="s">
        <v>13</v>
      </c>
      <c r="F94" s="339" t="s">
        <v>10</v>
      </c>
      <c r="G94" s="338"/>
      <c r="H94" s="338" t="s">
        <v>13</v>
      </c>
      <c r="I94" s="338" t="s">
        <v>13</v>
      </c>
      <c r="J94" s="338"/>
      <c r="K94" s="338"/>
      <c r="L94" s="338"/>
      <c r="M94" s="300" t="str">
        <f t="shared" ref="M94:M103" si="27">IF(OR(E94="S",F94="S",G94="S",H94="S",I94="S",J94="S",K94="S",L94="S"),"S",IF(OR(E94="A",F94="A",G94="A",H94="A",I94="A",J94="A",K94="A",L94="A"),"A",IF(OR(E94="B",F94="B",G94="B",H94="B",I94="B",J94="B",K94="B",L94="B"),"B","C")))</f>
        <v>A</v>
      </c>
      <c r="N94" s="339"/>
      <c r="O94" s="339"/>
      <c r="P94" s="339"/>
      <c r="Q94" s="339">
        <v>1</v>
      </c>
      <c r="R94" s="203"/>
      <c r="S94" s="345"/>
      <c r="T94" s="345"/>
    </row>
    <row r="95" s="100" customFormat="1" ht="25" customHeight="1" spans="1:20">
      <c r="A95" s="304" t="s">
        <v>130</v>
      </c>
      <c r="B95" s="336" t="s">
        <v>131</v>
      </c>
      <c r="C95" s="337"/>
      <c r="D95" s="338" t="s">
        <v>117</v>
      </c>
      <c r="E95" s="338"/>
      <c r="F95" s="339" t="s">
        <v>10</v>
      </c>
      <c r="G95" s="338"/>
      <c r="H95" s="338"/>
      <c r="I95" s="338"/>
      <c r="J95" s="338"/>
      <c r="K95" s="338"/>
      <c r="L95" s="338"/>
      <c r="M95" s="300" t="str">
        <f t="shared" si="27"/>
        <v>A</v>
      </c>
      <c r="N95" s="339"/>
      <c r="O95" s="339"/>
      <c r="P95" s="339"/>
      <c r="Q95" s="339">
        <v>1</v>
      </c>
      <c r="R95" s="203"/>
      <c r="S95" s="345"/>
      <c r="T95" s="345"/>
    </row>
    <row r="96" s="100" customFormat="1" ht="25" customHeight="1" spans="1:20">
      <c r="A96" s="306"/>
      <c r="B96" s="341" t="s">
        <v>132</v>
      </c>
      <c r="C96" s="337"/>
      <c r="D96" s="338" t="s">
        <v>117</v>
      </c>
      <c r="E96" s="338"/>
      <c r="F96" s="339" t="s">
        <v>10</v>
      </c>
      <c r="G96" s="338"/>
      <c r="H96" s="338"/>
      <c r="I96" s="338"/>
      <c r="J96" s="338"/>
      <c r="K96" s="338"/>
      <c r="L96" s="338"/>
      <c r="M96" s="300" t="str">
        <f t="shared" si="27"/>
        <v>A</v>
      </c>
      <c r="N96" s="339"/>
      <c r="O96" s="339"/>
      <c r="P96" s="339"/>
      <c r="Q96" s="339">
        <v>1</v>
      </c>
      <c r="R96" s="203"/>
      <c r="S96" s="345"/>
      <c r="T96" s="345"/>
    </row>
    <row r="97" s="100" customFormat="1" ht="25" customHeight="1" spans="1:20">
      <c r="A97" s="306"/>
      <c r="B97" s="336" t="s">
        <v>133</v>
      </c>
      <c r="C97" s="337"/>
      <c r="D97" s="338" t="s">
        <v>117</v>
      </c>
      <c r="E97" s="338"/>
      <c r="F97" s="339" t="s">
        <v>10</v>
      </c>
      <c r="G97" s="338"/>
      <c r="H97" s="338"/>
      <c r="I97" s="338"/>
      <c r="J97" s="338"/>
      <c r="K97" s="338"/>
      <c r="L97" s="338"/>
      <c r="M97" s="300" t="str">
        <f t="shared" si="27"/>
        <v>A</v>
      </c>
      <c r="N97" s="339"/>
      <c r="O97" s="339"/>
      <c r="P97" s="339"/>
      <c r="Q97" s="339">
        <v>1</v>
      </c>
      <c r="R97" s="203"/>
      <c r="S97" s="345"/>
      <c r="T97" s="345"/>
    </row>
    <row r="98" s="100" customFormat="1" ht="25" customHeight="1" spans="1:20">
      <c r="A98" s="306"/>
      <c r="B98" s="340" t="s">
        <v>134</v>
      </c>
      <c r="C98" s="337"/>
      <c r="D98" s="338" t="s">
        <v>117</v>
      </c>
      <c r="E98" s="338"/>
      <c r="F98" s="339" t="s">
        <v>10</v>
      </c>
      <c r="G98" s="338"/>
      <c r="H98" s="338"/>
      <c r="I98" s="338"/>
      <c r="J98" s="338"/>
      <c r="K98" s="338"/>
      <c r="L98" s="338"/>
      <c r="M98" s="300" t="str">
        <f t="shared" si="27"/>
        <v>A</v>
      </c>
      <c r="N98" s="339"/>
      <c r="O98" s="339"/>
      <c r="P98" s="339"/>
      <c r="Q98" s="339">
        <v>1</v>
      </c>
      <c r="R98" s="203"/>
      <c r="S98" s="345"/>
      <c r="T98" s="345"/>
    </row>
    <row r="99" s="100" customFormat="1" ht="25" customHeight="1" spans="1:20">
      <c r="A99" s="306"/>
      <c r="B99" s="336" t="s">
        <v>135</v>
      </c>
      <c r="C99" s="337"/>
      <c r="D99" s="338" t="s">
        <v>117</v>
      </c>
      <c r="E99" s="338"/>
      <c r="F99" s="339" t="s">
        <v>10</v>
      </c>
      <c r="G99" s="338"/>
      <c r="H99" s="338"/>
      <c r="I99" s="338"/>
      <c r="J99" s="338"/>
      <c r="K99" s="338"/>
      <c r="L99" s="338"/>
      <c r="M99" s="300" t="str">
        <f t="shared" si="27"/>
        <v>A</v>
      </c>
      <c r="N99" s="339"/>
      <c r="O99" s="339"/>
      <c r="P99" s="339"/>
      <c r="Q99" s="339">
        <v>1</v>
      </c>
      <c r="R99" s="203"/>
      <c r="S99" s="345"/>
      <c r="T99" s="345"/>
    </row>
    <row r="100" s="100" customFormat="1" ht="25" customHeight="1" spans="1:20">
      <c r="A100" s="306"/>
      <c r="B100" s="336" t="s">
        <v>136</v>
      </c>
      <c r="C100" s="337"/>
      <c r="D100" s="338" t="s">
        <v>117</v>
      </c>
      <c r="E100" s="338"/>
      <c r="F100" s="339" t="s">
        <v>10</v>
      </c>
      <c r="G100" s="338"/>
      <c r="H100" s="338" t="s">
        <v>10</v>
      </c>
      <c r="I100" s="338" t="s">
        <v>10</v>
      </c>
      <c r="J100" s="338"/>
      <c r="K100" s="338"/>
      <c r="L100" s="338"/>
      <c r="M100" s="300" t="str">
        <f t="shared" si="27"/>
        <v>A</v>
      </c>
      <c r="N100" s="339"/>
      <c r="O100" s="339"/>
      <c r="P100" s="339"/>
      <c r="Q100" s="339">
        <v>1</v>
      </c>
      <c r="R100" s="203"/>
      <c r="S100" s="345"/>
      <c r="T100" s="345"/>
    </row>
    <row r="101" s="100" customFormat="1" ht="25" customHeight="1" spans="1:20">
      <c r="A101" s="306"/>
      <c r="B101" s="336" t="s">
        <v>137</v>
      </c>
      <c r="C101" s="337"/>
      <c r="D101" s="338" t="s">
        <v>117</v>
      </c>
      <c r="E101" s="338"/>
      <c r="F101" s="339" t="s">
        <v>10</v>
      </c>
      <c r="G101" s="338"/>
      <c r="H101" s="338"/>
      <c r="I101" s="338"/>
      <c r="J101" s="338"/>
      <c r="K101" s="338"/>
      <c r="L101" s="338"/>
      <c r="M101" s="300" t="str">
        <f t="shared" si="27"/>
        <v>A</v>
      </c>
      <c r="N101" s="339"/>
      <c r="O101" s="339"/>
      <c r="P101" s="339"/>
      <c r="Q101" s="339">
        <v>1</v>
      </c>
      <c r="R101" s="203"/>
      <c r="S101" s="345"/>
      <c r="T101" s="345"/>
    </row>
    <row r="102" s="100" customFormat="1" ht="25" customHeight="1" spans="1:20">
      <c r="A102" s="306"/>
      <c r="B102" s="341" t="s">
        <v>138</v>
      </c>
      <c r="C102" s="337"/>
      <c r="D102" s="338" t="s">
        <v>117</v>
      </c>
      <c r="E102" s="338"/>
      <c r="F102" s="339" t="s">
        <v>10</v>
      </c>
      <c r="G102" s="338"/>
      <c r="H102" s="338"/>
      <c r="I102" s="338"/>
      <c r="J102" s="338"/>
      <c r="K102" s="338"/>
      <c r="L102" s="338"/>
      <c r="M102" s="300" t="str">
        <f t="shared" si="27"/>
        <v>A</v>
      </c>
      <c r="N102" s="339"/>
      <c r="O102" s="339"/>
      <c r="P102" s="339"/>
      <c r="Q102" s="339">
        <v>1</v>
      </c>
      <c r="R102" s="203"/>
      <c r="S102" s="345"/>
      <c r="T102" s="345"/>
    </row>
    <row r="103" s="100" customFormat="1" ht="25" customHeight="1" spans="1:20">
      <c r="A103" s="306"/>
      <c r="B103" s="341" t="s">
        <v>139</v>
      </c>
      <c r="C103" s="337"/>
      <c r="D103" s="338" t="s">
        <v>117</v>
      </c>
      <c r="E103" s="338"/>
      <c r="F103" s="339" t="s">
        <v>10</v>
      </c>
      <c r="G103" s="338"/>
      <c r="H103" s="338"/>
      <c r="I103" s="338"/>
      <c r="J103" s="338"/>
      <c r="K103" s="338"/>
      <c r="L103" s="338"/>
      <c r="M103" s="300" t="str">
        <f t="shared" si="27"/>
        <v>A</v>
      </c>
      <c r="N103" s="339"/>
      <c r="O103" s="339"/>
      <c r="P103" s="339"/>
      <c r="Q103" s="339">
        <v>1</v>
      </c>
      <c r="R103" s="203"/>
      <c r="S103" s="345"/>
      <c r="T103" s="345"/>
    </row>
    <row r="104" s="100" customFormat="1" ht="25" customHeight="1" spans="1:20">
      <c r="A104" s="306"/>
      <c r="B104" s="342" t="s">
        <v>140</v>
      </c>
      <c r="C104" s="337"/>
      <c r="D104" s="338"/>
      <c r="E104" s="338"/>
      <c r="F104" s="339"/>
      <c r="G104" s="338"/>
      <c r="H104" s="338"/>
      <c r="I104" s="338"/>
      <c r="J104" s="338"/>
      <c r="K104" s="338"/>
      <c r="L104" s="338"/>
      <c r="M104" s="300"/>
      <c r="N104" s="339"/>
      <c r="O104" s="339"/>
      <c r="P104" s="339"/>
      <c r="Q104" s="339"/>
      <c r="R104" s="203"/>
      <c r="S104" s="345"/>
      <c r="T104" s="345"/>
    </row>
    <row r="105" s="100" customFormat="1" ht="25" customHeight="1" spans="1:20">
      <c r="A105" s="306"/>
      <c r="B105" s="342" t="s">
        <v>141</v>
      </c>
      <c r="C105" s="337"/>
      <c r="D105" s="338"/>
      <c r="E105" s="338"/>
      <c r="F105" s="339"/>
      <c r="G105" s="338"/>
      <c r="H105" s="338"/>
      <c r="I105" s="338"/>
      <c r="J105" s="338"/>
      <c r="K105" s="338"/>
      <c r="L105" s="338"/>
      <c r="M105" s="300"/>
      <c r="N105" s="339"/>
      <c r="O105" s="339"/>
      <c r="P105" s="339"/>
      <c r="Q105" s="339"/>
      <c r="R105" s="203"/>
      <c r="S105" s="345"/>
      <c r="T105" s="345"/>
    </row>
    <row r="106" s="100" customFormat="1" ht="25" customHeight="1" spans="1:20">
      <c r="A106" s="306"/>
      <c r="B106" s="342" t="s">
        <v>142</v>
      </c>
      <c r="C106" s="337"/>
      <c r="D106" s="338"/>
      <c r="E106" s="338"/>
      <c r="F106" s="339"/>
      <c r="G106" s="338"/>
      <c r="H106" s="338"/>
      <c r="I106" s="338"/>
      <c r="J106" s="338"/>
      <c r="K106" s="338"/>
      <c r="L106" s="338"/>
      <c r="M106" s="300"/>
      <c r="N106" s="339"/>
      <c r="O106" s="339"/>
      <c r="P106" s="339"/>
      <c r="Q106" s="339"/>
      <c r="R106" s="203"/>
      <c r="S106" s="345"/>
      <c r="T106" s="345"/>
    </row>
    <row r="107" s="100" customFormat="1" ht="25" customHeight="1" spans="1:20">
      <c r="A107" s="306"/>
      <c r="B107" s="342" t="s">
        <v>143</v>
      </c>
      <c r="C107" s="337"/>
      <c r="D107" s="338"/>
      <c r="E107" s="338"/>
      <c r="F107" s="339"/>
      <c r="G107" s="338"/>
      <c r="H107" s="338"/>
      <c r="I107" s="338"/>
      <c r="J107" s="338"/>
      <c r="K107" s="338"/>
      <c r="L107" s="338"/>
      <c r="M107" s="300"/>
      <c r="N107" s="339"/>
      <c r="O107" s="339"/>
      <c r="P107" s="339"/>
      <c r="Q107" s="339"/>
      <c r="R107" s="203"/>
      <c r="S107" s="345"/>
      <c r="T107" s="345"/>
    </row>
    <row r="108" s="100" customFormat="1" ht="25" customHeight="1" spans="1:20">
      <c r="A108" s="308"/>
      <c r="B108" s="343" t="s">
        <v>144</v>
      </c>
      <c r="C108" s="337"/>
      <c r="D108" s="338"/>
      <c r="E108" s="338"/>
      <c r="F108" s="339"/>
      <c r="G108" s="338"/>
      <c r="H108" s="338"/>
      <c r="I108" s="338"/>
      <c r="J108" s="338"/>
      <c r="K108" s="338"/>
      <c r="L108" s="338"/>
      <c r="M108" s="300"/>
      <c r="N108" s="339"/>
      <c r="O108" s="339"/>
      <c r="P108" s="339"/>
      <c r="Q108" s="339"/>
      <c r="R108" s="203"/>
      <c r="S108" s="345"/>
      <c r="T108" s="345"/>
    </row>
    <row r="109" ht="25" customHeight="1" spans="1:17">
      <c r="A109" s="322" t="s">
        <v>145</v>
      </c>
      <c r="B109" s="344" t="s">
        <v>146</v>
      </c>
      <c r="C109" s="293"/>
      <c r="D109" s="295" t="s">
        <v>147</v>
      </c>
      <c r="E109" s="295"/>
      <c r="F109" s="296" t="s">
        <v>10</v>
      </c>
      <c r="G109" s="295"/>
      <c r="H109" s="295" t="s">
        <v>13</v>
      </c>
      <c r="I109" s="295" t="s">
        <v>13</v>
      </c>
      <c r="J109" s="295"/>
      <c r="K109" s="295"/>
      <c r="L109" s="295"/>
      <c r="M109" s="300" t="str">
        <f t="shared" ref="M109:M129" si="28">IF(OR(E109="S",F109="S",G109="S",H109="S",I109="S",J109="S",K109="S",L109="S"),"S",IF(OR(E109="A",F109="A",G109="A",H109="A",I109="A",J109="A",K109="A",L109="A"),"A",IF(OR(E109="B",F109="B",G109="B",H109="B",I109="B",J109="B",K109="B",L109="B"),"B","C")))</f>
        <v>A</v>
      </c>
      <c r="N109" s="296"/>
      <c r="O109" s="296"/>
      <c r="P109" s="296"/>
      <c r="Q109" s="296"/>
    </row>
    <row r="110" ht="25" customHeight="1" spans="1:17">
      <c r="A110" s="300"/>
      <c r="B110" s="344" t="s">
        <v>148</v>
      </c>
      <c r="C110" s="293"/>
      <c r="D110" s="295" t="s">
        <v>147</v>
      </c>
      <c r="E110" s="295"/>
      <c r="F110" s="296" t="s">
        <v>10</v>
      </c>
      <c r="G110" s="295"/>
      <c r="H110" s="295" t="s">
        <v>13</v>
      </c>
      <c r="I110" s="295" t="s">
        <v>13</v>
      </c>
      <c r="J110" s="295"/>
      <c r="K110" s="295"/>
      <c r="L110" s="295"/>
      <c r="M110" s="300" t="str">
        <f t="shared" si="28"/>
        <v>A</v>
      </c>
      <c r="N110" s="296"/>
      <c r="O110" s="296"/>
      <c r="P110" s="296"/>
      <c r="Q110" s="296"/>
    </row>
    <row r="111" ht="25" customHeight="1" spans="1:17">
      <c r="A111" s="300"/>
      <c r="B111" s="344" t="s">
        <v>149</v>
      </c>
      <c r="C111" s="293"/>
      <c r="D111" s="295" t="s">
        <v>147</v>
      </c>
      <c r="E111" s="295"/>
      <c r="F111" s="296" t="s">
        <v>10</v>
      </c>
      <c r="G111" s="295"/>
      <c r="H111" s="295" t="s">
        <v>13</v>
      </c>
      <c r="I111" s="295" t="s">
        <v>13</v>
      </c>
      <c r="J111" s="295"/>
      <c r="K111" s="295"/>
      <c r="L111" s="295"/>
      <c r="M111" s="300" t="str">
        <f t="shared" si="28"/>
        <v>A</v>
      </c>
      <c r="N111" s="296"/>
      <c r="O111" s="296"/>
      <c r="P111" s="296"/>
      <c r="Q111" s="296"/>
    </row>
    <row r="112" ht="25" customHeight="1" spans="1:17">
      <c r="A112" s="300"/>
      <c r="B112" s="344" t="s">
        <v>150</v>
      </c>
      <c r="C112" s="293"/>
      <c r="D112" s="295" t="s">
        <v>147</v>
      </c>
      <c r="E112" s="295"/>
      <c r="F112" s="296" t="s">
        <v>10</v>
      </c>
      <c r="G112" s="295"/>
      <c r="H112" s="295" t="s">
        <v>13</v>
      </c>
      <c r="I112" s="295" t="s">
        <v>13</v>
      </c>
      <c r="J112" s="295"/>
      <c r="K112" s="295"/>
      <c r="L112" s="295"/>
      <c r="M112" s="300" t="str">
        <f t="shared" si="28"/>
        <v>A</v>
      </c>
      <c r="N112" s="296"/>
      <c r="O112" s="296"/>
      <c r="P112" s="296"/>
      <c r="Q112" s="296"/>
    </row>
    <row r="113" ht="25" customHeight="1" spans="1:17">
      <c r="A113" s="300"/>
      <c r="B113" s="344" t="s">
        <v>151</v>
      </c>
      <c r="C113" s="293"/>
      <c r="D113" s="295" t="s">
        <v>147</v>
      </c>
      <c r="E113" s="295"/>
      <c r="F113" s="296" t="s">
        <v>10</v>
      </c>
      <c r="G113" s="295"/>
      <c r="H113" s="295" t="s">
        <v>13</v>
      </c>
      <c r="I113" s="295" t="s">
        <v>13</v>
      </c>
      <c r="J113" s="295"/>
      <c r="K113" s="295"/>
      <c r="L113" s="295"/>
      <c r="M113" s="300" t="str">
        <f t="shared" si="28"/>
        <v>A</v>
      </c>
      <c r="N113" s="296"/>
      <c r="O113" s="296"/>
      <c r="P113" s="296"/>
      <c r="Q113" s="296"/>
    </row>
    <row r="114" ht="25" customHeight="1" spans="1:17">
      <c r="A114" s="300"/>
      <c r="B114" s="344" t="s">
        <v>152</v>
      </c>
      <c r="C114" s="293"/>
      <c r="D114" s="295" t="s">
        <v>147</v>
      </c>
      <c r="E114" s="295"/>
      <c r="F114" s="296" t="s">
        <v>10</v>
      </c>
      <c r="G114" s="295"/>
      <c r="H114" s="295" t="s">
        <v>13</v>
      </c>
      <c r="I114" s="295" t="s">
        <v>13</v>
      </c>
      <c r="J114" s="295"/>
      <c r="K114" s="295"/>
      <c r="L114" s="295"/>
      <c r="M114" s="300" t="str">
        <f t="shared" si="28"/>
        <v>A</v>
      </c>
      <c r="N114" s="296"/>
      <c r="O114" s="296"/>
      <c r="P114" s="296"/>
      <c r="Q114" s="296"/>
    </row>
    <row r="115" ht="25" customHeight="1" spans="1:17">
      <c r="A115" s="300"/>
      <c r="B115" s="344" t="s">
        <v>153</v>
      </c>
      <c r="C115" s="293"/>
      <c r="D115" s="295" t="s">
        <v>147</v>
      </c>
      <c r="E115" s="295"/>
      <c r="F115" s="296" t="s">
        <v>10</v>
      </c>
      <c r="G115" s="295"/>
      <c r="H115" s="295" t="s">
        <v>13</v>
      </c>
      <c r="I115" s="295" t="s">
        <v>13</v>
      </c>
      <c r="J115" s="295"/>
      <c r="K115" s="295"/>
      <c r="L115" s="295"/>
      <c r="M115" s="300" t="str">
        <f t="shared" si="28"/>
        <v>A</v>
      </c>
      <c r="N115" s="296"/>
      <c r="O115" s="296"/>
      <c r="P115" s="296"/>
      <c r="Q115" s="296"/>
    </row>
    <row r="116" ht="25" customHeight="1" spans="1:17">
      <c r="A116" s="300"/>
      <c r="B116" s="344" t="s">
        <v>154</v>
      </c>
      <c r="C116" s="293"/>
      <c r="D116" s="295" t="s">
        <v>147</v>
      </c>
      <c r="E116" s="295"/>
      <c r="F116" s="296" t="s">
        <v>10</v>
      </c>
      <c r="G116" s="295"/>
      <c r="H116" s="295" t="s">
        <v>13</v>
      </c>
      <c r="I116" s="295" t="s">
        <v>13</v>
      </c>
      <c r="J116" s="295"/>
      <c r="K116" s="295"/>
      <c r="L116" s="295"/>
      <c r="M116" s="300" t="str">
        <f t="shared" si="28"/>
        <v>A</v>
      </c>
      <c r="N116" s="296"/>
      <c r="O116" s="296"/>
      <c r="P116" s="296"/>
      <c r="Q116" s="296"/>
    </row>
    <row r="117" ht="25" customHeight="1" spans="1:17">
      <c r="A117" s="300"/>
      <c r="B117" s="344" t="s">
        <v>155</v>
      </c>
      <c r="C117" s="293"/>
      <c r="D117" s="295" t="s">
        <v>147</v>
      </c>
      <c r="E117" s="295"/>
      <c r="F117" s="296" t="s">
        <v>10</v>
      </c>
      <c r="G117" s="295"/>
      <c r="H117" s="295" t="s">
        <v>13</v>
      </c>
      <c r="I117" s="295" t="s">
        <v>13</v>
      </c>
      <c r="J117" s="295"/>
      <c r="K117" s="295"/>
      <c r="L117" s="295"/>
      <c r="M117" s="300" t="str">
        <f t="shared" si="28"/>
        <v>A</v>
      </c>
      <c r="N117" s="296"/>
      <c r="O117" s="296"/>
      <c r="P117" s="296"/>
      <c r="Q117" s="296"/>
    </row>
    <row r="118" ht="25" customHeight="1" spans="1:17">
      <c r="A118" s="300"/>
      <c r="B118" s="344" t="s">
        <v>156</v>
      </c>
      <c r="C118" s="293"/>
      <c r="D118" s="295" t="s">
        <v>147</v>
      </c>
      <c r="E118" s="295"/>
      <c r="F118" s="296" t="s">
        <v>10</v>
      </c>
      <c r="G118" s="295"/>
      <c r="H118" s="295" t="s">
        <v>13</v>
      </c>
      <c r="I118" s="295" t="s">
        <v>13</v>
      </c>
      <c r="J118" s="295"/>
      <c r="K118" s="295"/>
      <c r="L118" s="295"/>
      <c r="M118" s="300" t="str">
        <f t="shared" si="28"/>
        <v>A</v>
      </c>
      <c r="N118" s="296"/>
      <c r="O118" s="296"/>
      <c r="P118" s="296"/>
      <c r="Q118" s="296"/>
    </row>
    <row r="119" ht="25" customHeight="1" spans="1:17">
      <c r="A119" s="300"/>
      <c r="B119" s="344" t="s">
        <v>157</v>
      </c>
      <c r="C119" s="293"/>
      <c r="D119" s="295" t="s">
        <v>147</v>
      </c>
      <c r="E119" s="295"/>
      <c r="F119" s="296" t="s">
        <v>10</v>
      </c>
      <c r="G119" s="295"/>
      <c r="H119" s="295" t="s">
        <v>13</v>
      </c>
      <c r="I119" s="295" t="s">
        <v>13</v>
      </c>
      <c r="J119" s="295"/>
      <c r="K119" s="295"/>
      <c r="L119" s="295"/>
      <c r="M119" s="300" t="str">
        <f t="shared" si="28"/>
        <v>A</v>
      </c>
      <c r="N119" s="296"/>
      <c r="O119" s="296"/>
      <c r="P119" s="296"/>
      <c r="Q119" s="296"/>
    </row>
    <row r="120" ht="25" customHeight="1" spans="1:17">
      <c r="A120" s="300"/>
      <c r="B120" s="344" t="s">
        <v>158</v>
      </c>
      <c r="C120" s="293"/>
      <c r="D120" s="295" t="s">
        <v>147</v>
      </c>
      <c r="E120" s="295"/>
      <c r="F120" s="296" t="s">
        <v>10</v>
      </c>
      <c r="G120" s="295"/>
      <c r="H120" s="295" t="s">
        <v>13</v>
      </c>
      <c r="I120" s="295" t="s">
        <v>13</v>
      </c>
      <c r="J120" s="295"/>
      <c r="K120" s="295"/>
      <c r="L120" s="295"/>
      <c r="M120" s="300" t="str">
        <f t="shared" si="28"/>
        <v>A</v>
      </c>
      <c r="N120" s="296"/>
      <c r="O120" s="296"/>
      <c r="P120" s="296"/>
      <c r="Q120" s="296"/>
    </row>
    <row r="121" ht="25" customHeight="1" spans="1:17">
      <c r="A121" s="300"/>
      <c r="B121" s="344" t="s">
        <v>159</v>
      </c>
      <c r="C121" s="293"/>
      <c r="D121" s="295" t="s">
        <v>147</v>
      </c>
      <c r="E121" s="295"/>
      <c r="F121" s="296" t="s">
        <v>10</v>
      </c>
      <c r="G121" s="295"/>
      <c r="H121" s="295" t="s">
        <v>13</v>
      </c>
      <c r="I121" s="295" t="s">
        <v>13</v>
      </c>
      <c r="J121" s="295"/>
      <c r="K121" s="295"/>
      <c r="L121" s="295"/>
      <c r="M121" s="300" t="str">
        <f t="shared" si="28"/>
        <v>A</v>
      </c>
      <c r="N121" s="296"/>
      <c r="O121" s="296"/>
      <c r="P121" s="296"/>
      <c r="Q121" s="296"/>
    </row>
    <row r="122" ht="25" customHeight="1" spans="1:17">
      <c r="A122" s="300"/>
      <c r="B122" s="344" t="s">
        <v>160</v>
      </c>
      <c r="C122" s="293"/>
      <c r="D122" s="295" t="s">
        <v>147</v>
      </c>
      <c r="E122" s="295"/>
      <c r="F122" s="296" t="s">
        <v>10</v>
      </c>
      <c r="G122" s="295"/>
      <c r="H122" s="295" t="s">
        <v>13</v>
      </c>
      <c r="I122" s="295" t="s">
        <v>13</v>
      </c>
      <c r="J122" s="295"/>
      <c r="K122" s="295"/>
      <c r="L122" s="295"/>
      <c r="M122" s="300" t="str">
        <f t="shared" si="28"/>
        <v>A</v>
      </c>
      <c r="N122" s="296"/>
      <c r="O122" s="296"/>
      <c r="P122" s="296"/>
      <c r="Q122" s="296"/>
    </row>
    <row r="123" ht="25" customHeight="1" spans="1:17">
      <c r="A123" s="300"/>
      <c r="B123" s="344" t="s">
        <v>161</v>
      </c>
      <c r="C123" s="293"/>
      <c r="D123" s="295" t="s">
        <v>147</v>
      </c>
      <c r="E123" s="295"/>
      <c r="F123" s="296" t="s">
        <v>10</v>
      </c>
      <c r="G123" s="295"/>
      <c r="H123" s="295" t="s">
        <v>13</v>
      </c>
      <c r="I123" s="295" t="s">
        <v>13</v>
      </c>
      <c r="J123" s="295"/>
      <c r="K123" s="295"/>
      <c r="L123" s="295"/>
      <c r="M123" s="300" t="str">
        <f t="shared" si="28"/>
        <v>A</v>
      </c>
      <c r="N123" s="296"/>
      <c r="O123" s="296"/>
      <c r="P123" s="296"/>
      <c r="Q123" s="296"/>
    </row>
    <row r="124" ht="25" customHeight="1" spans="1:17">
      <c r="A124" s="300"/>
      <c r="B124" s="344" t="s">
        <v>162</v>
      </c>
      <c r="C124" s="293"/>
      <c r="D124" s="295" t="s">
        <v>147</v>
      </c>
      <c r="E124" s="295"/>
      <c r="F124" s="296" t="s">
        <v>10</v>
      </c>
      <c r="G124" s="295"/>
      <c r="H124" s="295" t="s">
        <v>13</v>
      </c>
      <c r="I124" s="295" t="s">
        <v>13</v>
      </c>
      <c r="J124" s="295"/>
      <c r="K124" s="295"/>
      <c r="L124" s="295"/>
      <c r="M124" s="300" t="str">
        <f t="shared" si="28"/>
        <v>A</v>
      </c>
      <c r="N124" s="296"/>
      <c r="O124" s="296"/>
      <c r="P124" s="296"/>
      <c r="Q124" s="296"/>
    </row>
    <row r="125" ht="25" customHeight="1" spans="1:17">
      <c r="A125" s="300"/>
      <c r="B125" s="298" t="s">
        <v>163</v>
      </c>
      <c r="C125" s="293"/>
      <c r="D125" s="295" t="s">
        <v>147</v>
      </c>
      <c r="E125" s="295"/>
      <c r="F125" s="296" t="s">
        <v>10</v>
      </c>
      <c r="G125" s="295"/>
      <c r="H125" s="295" t="s">
        <v>13</v>
      </c>
      <c r="I125" s="295" t="s">
        <v>13</v>
      </c>
      <c r="J125" s="295"/>
      <c r="K125" s="295"/>
      <c r="L125" s="295"/>
      <c r="M125" s="300" t="str">
        <f t="shared" ref="M125" si="29">IF(OR(E125="S",F125="S",G125="S",H125="S",I125="S",J125="S",K125="S",L125="S"),"S",IF(OR(E125="A",F125="A",G125="A",H125="A",I125="A",J125="A",K125="A",L125="A"),"A",IF(OR(E125="B",F125="B",G125="B",H125="B",I125="B",J125="B",K125="B",L125="B"),"B","C")))</f>
        <v>A</v>
      </c>
      <c r="N125" s="296"/>
      <c r="O125" s="296"/>
      <c r="P125" s="296"/>
      <c r="Q125" s="296"/>
    </row>
    <row r="126" ht="25" customHeight="1" spans="1:17">
      <c r="A126" s="300"/>
      <c r="B126" s="344" t="s">
        <v>164</v>
      </c>
      <c r="C126" s="293"/>
      <c r="D126" s="295" t="s">
        <v>147</v>
      </c>
      <c r="E126" s="295"/>
      <c r="F126" s="296" t="s">
        <v>10</v>
      </c>
      <c r="G126" s="295"/>
      <c r="H126" s="295" t="s">
        <v>13</v>
      </c>
      <c r="I126" s="295" t="s">
        <v>13</v>
      </c>
      <c r="J126" s="295"/>
      <c r="K126" s="295"/>
      <c r="L126" s="295"/>
      <c r="M126" s="300" t="str">
        <f t="shared" si="28"/>
        <v>A</v>
      </c>
      <c r="N126" s="296"/>
      <c r="O126" s="296"/>
      <c r="P126" s="296"/>
      <c r="Q126" s="296"/>
    </row>
    <row r="127" ht="25" customHeight="1" spans="1:17">
      <c r="A127" s="314"/>
      <c r="B127" s="298" t="s">
        <v>165</v>
      </c>
      <c r="C127" s="293"/>
      <c r="D127" s="295"/>
      <c r="E127" s="295"/>
      <c r="F127" s="296"/>
      <c r="G127" s="295"/>
      <c r="H127" s="295"/>
      <c r="I127" s="295"/>
      <c r="J127" s="295"/>
      <c r="K127" s="295"/>
      <c r="L127" s="295"/>
      <c r="M127" s="300"/>
      <c r="N127" s="296"/>
      <c r="O127" s="296"/>
      <c r="P127" s="296"/>
      <c r="Q127" s="296"/>
    </row>
    <row r="128" ht="25" customHeight="1" spans="1:17">
      <c r="A128" s="291" t="s">
        <v>166</v>
      </c>
      <c r="B128" s="317" t="s">
        <v>167</v>
      </c>
      <c r="C128" s="293"/>
      <c r="D128" s="310" t="s">
        <v>46</v>
      </c>
      <c r="E128" s="295"/>
      <c r="F128" s="296" t="s">
        <v>10</v>
      </c>
      <c r="G128" s="295"/>
      <c r="H128" s="295" t="s">
        <v>10</v>
      </c>
      <c r="I128" s="295" t="s">
        <v>10</v>
      </c>
      <c r="J128" s="295"/>
      <c r="K128" s="295"/>
      <c r="L128" s="295"/>
      <c r="M128" s="300" t="str">
        <f t="shared" si="28"/>
        <v>A</v>
      </c>
      <c r="N128" s="296"/>
      <c r="O128" s="296"/>
      <c r="P128" s="296"/>
      <c r="Q128" s="296"/>
    </row>
    <row r="129" ht="25" customHeight="1" spans="1:17">
      <c r="A129" s="297"/>
      <c r="B129" s="317" t="s">
        <v>168</v>
      </c>
      <c r="C129" s="293"/>
      <c r="D129" s="310" t="s">
        <v>46</v>
      </c>
      <c r="E129" s="295"/>
      <c r="F129" s="296" t="s">
        <v>10</v>
      </c>
      <c r="G129" s="295"/>
      <c r="H129" s="295" t="s">
        <v>10</v>
      </c>
      <c r="I129" s="295" t="s">
        <v>10</v>
      </c>
      <c r="J129" s="295"/>
      <c r="K129" s="295"/>
      <c r="L129" s="295"/>
      <c r="M129" s="300" t="str">
        <f t="shared" si="28"/>
        <v>A</v>
      </c>
      <c r="N129" s="296"/>
      <c r="O129" s="296"/>
      <c r="P129" s="296"/>
      <c r="Q129" s="296"/>
    </row>
    <row r="130" ht="25" customHeight="1" spans="1:17">
      <c r="A130" s="297"/>
      <c r="B130" s="317" t="s">
        <v>169</v>
      </c>
      <c r="C130" s="293"/>
      <c r="D130" s="310" t="s">
        <v>46</v>
      </c>
      <c r="E130" s="295"/>
      <c r="F130" s="296" t="s">
        <v>10</v>
      </c>
      <c r="G130" s="295"/>
      <c r="H130" s="295" t="s">
        <v>10</v>
      </c>
      <c r="I130" s="295" t="s">
        <v>10</v>
      </c>
      <c r="J130" s="295"/>
      <c r="K130" s="295"/>
      <c r="L130" s="295"/>
      <c r="M130" s="300" t="str">
        <f t="shared" ref="M130:M131" si="30">IF(OR(E130="S",F130="S",G130="S",H130="S",I130="S",J130="S",K130="S",L130="S"),"S",IF(OR(E130="A",F130="A",G130="A",H130="A",I130="A",J130="A",K130="A",L130="A"),"A",IF(OR(E130="B",F130="B",G130="B",H130="B",I130="B",J130="B",K130="B",L130="B"),"B","C")))</f>
        <v>A</v>
      </c>
      <c r="N130" s="296"/>
      <c r="O130" s="296"/>
      <c r="P130" s="296"/>
      <c r="Q130" s="296"/>
    </row>
    <row r="131" ht="25" customHeight="1" spans="1:17">
      <c r="A131" s="297"/>
      <c r="B131" s="317" t="s">
        <v>170</v>
      </c>
      <c r="C131" s="293"/>
      <c r="D131" s="310" t="s">
        <v>46</v>
      </c>
      <c r="E131" s="295"/>
      <c r="F131" s="296" t="s">
        <v>10</v>
      </c>
      <c r="G131" s="295"/>
      <c r="H131" s="295" t="s">
        <v>10</v>
      </c>
      <c r="I131" s="295" t="s">
        <v>10</v>
      </c>
      <c r="J131" s="295"/>
      <c r="K131" s="295"/>
      <c r="L131" s="295"/>
      <c r="M131" s="300" t="str">
        <f t="shared" si="30"/>
        <v>A</v>
      </c>
      <c r="N131" s="296"/>
      <c r="O131" s="296"/>
      <c r="P131" s="296"/>
      <c r="Q131" s="296"/>
    </row>
    <row r="132" ht="25" customHeight="1" spans="1:17">
      <c r="A132" s="297"/>
      <c r="B132" s="317" t="s">
        <v>171</v>
      </c>
      <c r="C132" s="293"/>
      <c r="D132" s="310" t="s">
        <v>46</v>
      </c>
      <c r="E132" s="295"/>
      <c r="F132" s="296" t="s">
        <v>10</v>
      </c>
      <c r="G132" s="295"/>
      <c r="H132" s="295" t="s">
        <v>10</v>
      </c>
      <c r="I132" s="295" t="s">
        <v>10</v>
      </c>
      <c r="J132" s="295"/>
      <c r="K132" s="295"/>
      <c r="L132" s="295"/>
      <c r="M132" s="300" t="str">
        <f t="shared" ref="M132" si="31">IF(OR(E132="S",F132="S",G132="S",H132="S",I132="S",J132="S",K132="S",L132="S"),"S",IF(OR(E132="A",F132="A",G132="A",H132="A",I132="A",J132="A",K132="A",L132="A"),"A",IF(OR(E132="B",F132="B",G132="B",H132="B",I132="B",J132="B",K132="B",L132="B"),"B","C")))</f>
        <v>A</v>
      </c>
      <c r="N132" s="296"/>
      <c r="O132" s="296"/>
      <c r="P132" s="296"/>
      <c r="Q132" s="296"/>
    </row>
    <row r="133" ht="25" customHeight="1" spans="1:17">
      <c r="A133" s="346"/>
      <c r="B133" s="317" t="s">
        <v>172</v>
      </c>
      <c r="C133" s="293"/>
      <c r="D133" s="310" t="s">
        <v>46</v>
      </c>
      <c r="E133" s="295"/>
      <c r="F133" s="296" t="s">
        <v>10</v>
      </c>
      <c r="G133" s="295"/>
      <c r="H133" s="295" t="s">
        <v>10</v>
      </c>
      <c r="I133" s="295" t="s">
        <v>10</v>
      </c>
      <c r="J133" s="295"/>
      <c r="K133" s="295"/>
      <c r="L133" s="295"/>
      <c r="M133" s="300" t="str">
        <f t="shared" ref="M133" si="32">IF(OR(E133="S",F133="S",G133="S",H133="S",I133="S",J133="S",K133="S",L133="S"),"S",IF(OR(E133="A",F133="A",G133="A",H133="A",I133="A",J133="A",K133="A",L133="A"),"A",IF(OR(E133="B",F133="B",G133="B",H133="B",I133="B",J133="B",K133="B",L133="B"),"B","C")))</f>
        <v>A</v>
      </c>
      <c r="N133" s="296"/>
      <c r="O133" s="296"/>
      <c r="P133" s="296"/>
      <c r="Q133" s="296"/>
    </row>
    <row r="134" ht="25" customHeight="1" spans="1:17">
      <c r="A134" s="304" t="s">
        <v>173</v>
      </c>
      <c r="B134" s="344" t="s">
        <v>174</v>
      </c>
      <c r="C134" s="293"/>
      <c r="D134" s="310"/>
      <c r="E134" s="295"/>
      <c r="F134" s="296"/>
      <c r="G134" s="295"/>
      <c r="H134" s="295"/>
      <c r="I134" s="295"/>
      <c r="J134" s="295"/>
      <c r="K134" s="295"/>
      <c r="L134" s="295"/>
      <c r="M134" s="300"/>
      <c r="N134" s="296"/>
      <c r="O134" s="296"/>
      <c r="P134" s="296"/>
      <c r="Q134" s="296"/>
    </row>
    <row r="135" ht="25" customHeight="1" spans="1:17">
      <c r="A135" s="304"/>
      <c r="B135" s="344" t="s">
        <v>175</v>
      </c>
      <c r="C135" s="293"/>
      <c r="D135" s="310"/>
      <c r="E135" s="295"/>
      <c r="F135" s="296"/>
      <c r="G135" s="295"/>
      <c r="H135" s="295"/>
      <c r="I135" s="295"/>
      <c r="J135" s="295"/>
      <c r="K135" s="295"/>
      <c r="L135" s="295"/>
      <c r="M135" s="300"/>
      <c r="N135" s="296"/>
      <c r="O135" s="296"/>
      <c r="P135" s="296"/>
      <c r="Q135" s="296"/>
    </row>
    <row r="136" ht="25" customHeight="1" spans="1:17">
      <c r="A136" s="304"/>
      <c r="B136" s="344" t="s">
        <v>176</v>
      </c>
      <c r="C136" s="293"/>
      <c r="D136" s="310" t="s">
        <v>46</v>
      </c>
      <c r="E136" s="295" t="s">
        <v>10</v>
      </c>
      <c r="F136" s="296" t="s">
        <v>10</v>
      </c>
      <c r="G136" s="295"/>
      <c r="H136" s="295" t="s">
        <v>10</v>
      </c>
      <c r="I136" s="295" t="s">
        <v>10</v>
      </c>
      <c r="J136" s="295"/>
      <c r="K136" s="295"/>
      <c r="L136" s="295"/>
      <c r="M136" s="300" t="str">
        <f>IF(OR(E136="S",F136="S",G136="S",H136="S",I136="S",J136="S",K136="S",L136="S"),"S",IF(OR(E136="A",F136="A",G136="A",H136="A",I136="A",J136="A",K136="A",L136="A"),"A",IF(OR(E136="B",F136="B",G136="B",H136="B",I136="B",J136="B",K136="B",L136="B"),"B","C")))</f>
        <v>A</v>
      </c>
      <c r="N136" s="296"/>
      <c r="O136" s="296"/>
      <c r="P136" s="296"/>
      <c r="Q136" s="296"/>
    </row>
    <row r="137" ht="25" customHeight="1" spans="1:17">
      <c r="A137" s="306"/>
      <c r="B137" s="303" t="s">
        <v>177</v>
      </c>
      <c r="C137" s="293"/>
      <c r="D137" s="310" t="s">
        <v>46</v>
      </c>
      <c r="E137" s="295" t="s">
        <v>10</v>
      </c>
      <c r="F137" s="296" t="s">
        <v>10</v>
      </c>
      <c r="G137" s="295"/>
      <c r="H137" s="295" t="s">
        <v>10</v>
      </c>
      <c r="I137" s="295" t="s">
        <v>10</v>
      </c>
      <c r="J137" s="295"/>
      <c r="K137" s="295"/>
      <c r="L137" s="295"/>
      <c r="M137" s="300" t="str">
        <f t="shared" ref="M137" si="33">IF(OR(E137="S",F137="S",G137="S",H137="S",I137="S",J137="S",K137="S",L137="S"),"S",IF(OR(E137="A",F137="A",G137="A",H137="A",I137="A",J137="A",K137="A",L137="A"),"A",IF(OR(E137="B",F137="B",G137="B",H137="B",I137="B",J137="B",K137="B",L137="B"),"B","C")))</f>
        <v>A</v>
      </c>
      <c r="N137" s="296"/>
      <c r="O137" s="296"/>
      <c r="P137" s="296"/>
      <c r="Q137" s="296"/>
    </row>
    <row r="138" ht="25" customHeight="1" spans="1:17">
      <c r="A138" s="306"/>
      <c r="B138" s="347" t="s">
        <v>178</v>
      </c>
      <c r="C138" s="293"/>
      <c r="D138" s="295" t="s">
        <v>46</v>
      </c>
      <c r="E138" s="295" t="s">
        <v>10</v>
      </c>
      <c r="F138" s="296" t="s">
        <v>10</v>
      </c>
      <c r="G138" s="295"/>
      <c r="H138" s="295"/>
      <c r="I138" s="295"/>
      <c r="J138" s="295"/>
      <c r="K138" s="295"/>
      <c r="L138" s="295"/>
      <c r="M138" s="300" t="str">
        <f t="shared" ref="M138" si="34">IF(OR(E138="S",F138="S",G138="S",H138="S",I138="S",J138="S",K138="S",L138="S"),"S",IF(OR(E138="A",F138="A",G138="A",H138="A",I138="A",J138="A",K138="A",L138="A"),"A",IF(OR(E138="B",F138="B",G138="B",H138="B",I138="B",J138="B",K138="B",L138="B"),"B","C")))</f>
        <v>A</v>
      </c>
      <c r="N138" s="296"/>
      <c r="O138" s="296"/>
      <c r="P138" s="296"/>
      <c r="Q138" s="296"/>
    </row>
    <row r="139" ht="25" customHeight="1" spans="1:17">
      <c r="A139" s="306"/>
      <c r="B139" s="348" t="s">
        <v>179</v>
      </c>
      <c r="C139" s="316"/>
      <c r="D139" s="310" t="s">
        <v>46</v>
      </c>
      <c r="E139" s="310" t="s">
        <v>10</v>
      </c>
      <c r="F139" s="296" t="s">
        <v>10</v>
      </c>
      <c r="G139" s="310"/>
      <c r="H139" s="310" t="s">
        <v>10</v>
      </c>
      <c r="I139" s="310" t="s">
        <v>10</v>
      </c>
      <c r="J139" s="310" t="s">
        <v>10</v>
      </c>
      <c r="K139" s="310"/>
      <c r="L139" s="310"/>
      <c r="M139" s="300" t="str">
        <f t="shared" ref="M139:M180" si="35">IF(OR(E139="S",F139="S",G139="S",H139="S",I139="S",J139="S",K139="S",L139="S"),"S",IF(OR(E139="A",F139="A",G139="A",H139="A",I139="A",J139="A",K139="A",L139="A"),"A",IF(OR(E139="B",F139="B",G139="B",H139="B",I139="B",J139="B",K139="B",L139="B"),"B","C")))</f>
        <v>A</v>
      </c>
      <c r="N139" s="296"/>
      <c r="O139" s="296"/>
      <c r="P139" s="296"/>
      <c r="Q139" s="296">
        <v>1</v>
      </c>
    </row>
    <row r="140" s="100" customFormat="1" ht="25" customHeight="1" spans="1:19">
      <c r="A140" s="306" t="s">
        <v>180</v>
      </c>
      <c r="B140" s="349" t="s">
        <v>181</v>
      </c>
      <c r="C140" s="350"/>
      <c r="D140" s="351" t="s">
        <v>182</v>
      </c>
      <c r="E140" s="352"/>
      <c r="F140" s="308"/>
      <c r="G140" s="352"/>
      <c r="H140" s="352" t="s">
        <v>10</v>
      </c>
      <c r="I140" s="352" t="s">
        <v>10</v>
      </c>
      <c r="J140" s="352"/>
      <c r="K140" s="352"/>
      <c r="L140" s="352"/>
      <c r="M140" s="300" t="str">
        <f t="shared" si="35"/>
        <v>A</v>
      </c>
      <c r="N140" s="308"/>
      <c r="O140" s="308"/>
      <c r="P140" s="308"/>
      <c r="Q140" s="339"/>
      <c r="R140" s="345"/>
      <c r="S140" s="345"/>
    </row>
    <row r="141" s="100" customFormat="1" ht="25" customHeight="1" spans="1:19">
      <c r="A141" s="306"/>
      <c r="B141" s="353" t="s">
        <v>183</v>
      </c>
      <c r="C141" s="350"/>
      <c r="D141" s="351" t="s">
        <v>182</v>
      </c>
      <c r="E141" s="352"/>
      <c r="F141" s="308"/>
      <c r="G141" s="352"/>
      <c r="H141" s="352" t="s">
        <v>10</v>
      </c>
      <c r="I141" s="352" t="s">
        <v>10</v>
      </c>
      <c r="J141" s="352"/>
      <c r="K141" s="352"/>
      <c r="L141" s="352"/>
      <c r="M141" s="300" t="str">
        <f t="shared" si="35"/>
        <v>A</v>
      </c>
      <c r="N141" s="308"/>
      <c r="O141" s="308"/>
      <c r="P141" s="308"/>
      <c r="Q141" s="339"/>
      <c r="R141" s="345"/>
      <c r="S141" s="345"/>
    </row>
    <row r="142" s="100" customFormat="1" ht="25" customHeight="1" spans="1:19">
      <c r="A142" s="306"/>
      <c r="B142" s="353" t="s">
        <v>184</v>
      </c>
      <c r="C142" s="350"/>
      <c r="D142" s="351" t="s">
        <v>182</v>
      </c>
      <c r="E142" s="352"/>
      <c r="F142" s="308"/>
      <c r="G142" s="352"/>
      <c r="H142" s="352" t="s">
        <v>10</v>
      </c>
      <c r="I142" s="352" t="s">
        <v>10</v>
      </c>
      <c r="J142" s="352"/>
      <c r="K142" s="352"/>
      <c r="L142" s="352"/>
      <c r="M142" s="300" t="str">
        <f t="shared" si="35"/>
        <v>A</v>
      </c>
      <c r="N142" s="308"/>
      <c r="O142" s="308"/>
      <c r="P142" s="308"/>
      <c r="Q142" s="339"/>
      <c r="R142" s="345"/>
      <c r="S142" s="345"/>
    </row>
    <row r="143" s="100" customFormat="1" ht="25" customHeight="1" spans="1:19">
      <c r="A143" s="306"/>
      <c r="B143" s="353" t="s">
        <v>185</v>
      </c>
      <c r="C143" s="350"/>
      <c r="D143" s="351" t="s">
        <v>182</v>
      </c>
      <c r="E143" s="352"/>
      <c r="F143" s="308"/>
      <c r="G143" s="352"/>
      <c r="H143" s="352" t="s">
        <v>10</v>
      </c>
      <c r="I143" s="352" t="s">
        <v>10</v>
      </c>
      <c r="J143" s="352"/>
      <c r="K143" s="352"/>
      <c r="L143" s="352"/>
      <c r="M143" s="300" t="str">
        <f t="shared" si="35"/>
        <v>A</v>
      </c>
      <c r="N143" s="308"/>
      <c r="O143" s="308"/>
      <c r="P143" s="308"/>
      <c r="Q143" s="339"/>
      <c r="R143" s="345"/>
      <c r="S143" s="345"/>
    </row>
    <row r="144" s="100" customFormat="1" ht="25" customHeight="1" spans="1:19">
      <c r="A144" s="306"/>
      <c r="B144" s="353" t="s">
        <v>186</v>
      </c>
      <c r="C144" s="350"/>
      <c r="D144" s="351" t="s">
        <v>182</v>
      </c>
      <c r="E144" s="352"/>
      <c r="F144" s="308"/>
      <c r="G144" s="352"/>
      <c r="H144" s="352" t="s">
        <v>10</v>
      </c>
      <c r="I144" s="352" t="s">
        <v>10</v>
      </c>
      <c r="J144" s="352"/>
      <c r="K144" s="352"/>
      <c r="L144" s="352"/>
      <c r="M144" s="300" t="str">
        <f t="shared" si="35"/>
        <v>A</v>
      </c>
      <c r="N144" s="308"/>
      <c r="O144" s="308"/>
      <c r="P144" s="308"/>
      <c r="Q144" s="339"/>
      <c r="R144" s="345"/>
      <c r="S144" s="345"/>
    </row>
    <row r="145" s="100" customFormat="1" ht="25" customHeight="1" spans="1:19">
      <c r="A145" s="306"/>
      <c r="B145" s="353" t="s">
        <v>187</v>
      </c>
      <c r="C145" s="350"/>
      <c r="D145" s="351" t="s">
        <v>182</v>
      </c>
      <c r="E145" s="352"/>
      <c r="F145" s="308"/>
      <c r="G145" s="352"/>
      <c r="H145" s="352" t="s">
        <v>10</v>
      </c>
      <c r="I145" s="352" t="s">
        <v>10</v>
      </c>
      <c r="J145" s="352"/>
      <c r="K145" s="352"/>
      <c r="L145" s="352"/>
      <c r="M145" s="300" t="str">
        <f t="shared" si="35"/>
        <v>A</v>
      </c>
      <c r="N145" s="308"/>
      <c r="O145" s="308"/>
      <c r="P145" s="308"/>
      <c r="Q145" s="339"/>
      <c r="R145" s="345"/>
      <c r="S145" s="345"/>
    </row>
    <row r="146" s="100" customFormat="1" ht="25" customHeight="1" spans="1:19">
      <c r="A146" s="306"/>
      <c r="B146" s="353" t="s">
        <v>188</v>
      </c>
      <c r="C146" s="350"/>
      <c r="D146" s="351" t="s">
        <v>182</v>
      </c>
      <c r="E146" s="352"/>
      <c r="F146" s="308"/>
      <c r="G146" s="352"/>
      <c r="H146" s="352" t="s">
        <v>10</v>
      </c>
      <c r="I146" s="352" t="s">
        <v>10</v>
      </c>
      <c r="J146" s="352"/>
      <c r="K146" s="352"/>
      <c r="L146" s="352"/>
      <c r="M146" s="300" t="str">
        <f t="shared" si="35"/>
        <v>A</v>
      </c>
      <c r="N146" s="308"/>
      <c r="O146" s="308"/>
      <c r="P146" s="308"/>
      <c r="Q146" s="339"/>
      <c r="R146" s="345"/>
      <c r="S146" s="345"/>
    </row>
    <row r="147" s="100" customFormat="1" ht="25" customHeight="1" spans="1:19">
      <c r="A147" s="306"/>
      <c r="B147" s="353" t="s">
        <v>189</v>
      </c>
      <c r="C147" s="350"/>
      <c r="D147" s="351" t="s">
        <v>182</v>
      </c>
      <c r="E147" s="352"/>
      <c r="F147" s="308"/>
      <c r="G147" s="352"/>
      <c r="H147" s="352" t="s">
        <v>10</v>
      </c>
      <c r="I147" s="352" t="s">
        <v>10</v>
      </c>
      <c r="J147" s="352"/>
      <c r="K147" s="352"/>
      <c r="L147" s="352"/>
      <c r="M147" s="300" t="str">
        <f t="shared" si="35"/>
        <v>A</v>
      </c>
      <c r="N147" s="308"/>
      <c r="O147" s="308"/>
      <c r="P147" s="308"/>
      <c r="Q147" s="339"/>
      <c r="R147" s="345"/>
      <c r="S147" s="345"/>
    </row>
    <row r="148" s="100" customFormat="1" ht="25" customHeight="1" spans="1:19">
      <c r="A148" s="306"/>
      <c r="B148" s="353" t="s">
        <v>190</v>
      </c>
      <c r="C148" s="350"/>
      <c r="D148" s="351" t="s">
        <v>182</v>
      </c>
      <c r="E148" s="352"/>
      <c r="F148" s="308"/>
      <c r="G148" s="352"/>
      <c r="H148" s="352" t="s">
        <v>10</v>
      </c>
      <c r="I148" s="352" t="s">
        <v>10</v>
      </c>
      <c r="J148" s="352"/>
      <c r="K148" s="352"/>
      <c r="L148" s="352"/>
      <c r="M148" s="300" t="str">
        <f t="shared" si="35"/>
        <v>A</v>
      </c>
      <c r="N148" s="308"/>
      <c r="O148" s="308"/>
      <c r="P148" s="308"/>
      <c r="Q148" s="339"/>
      <c r="R148" s="345"/>
      <c r="S148" s="345"/>
    </row>
    <row r="149" s="100" customFormat="1" ht="25" customHeight="1" spans="1:19">
      <c r="A149" s="306"/>
      <c r="B149" s="353" t="s">
        <v>191</v>
      </c>
      <c r="C149" s="350"/>
      <c r="D149" s="351" t="s">
        <v>182</v>
      </c>
      <c r="E149" s="352"/>
      <c r="F149" s="308"/>
      <c r="G149" s="352"/>
      <c r="H149" s="352" t="s">
        <v>10</v>
      </c>
      <c r="I149" s="352" t="s">
        <v>10</v>
      </c>
      <c r="J149" s="352"/>
      <c r="K149" s="352"/>
      <c r="L149" s="352"/>
      <c r="M149" s="300" t="str">
        <f t="shared" si="35"/>
        <v>A</v>
      </c>
      <c r="N149" s="308"/>
      <c r="O149" s="308"/>
      <c r="P149" s="308"/>
      <c r="Q149" s="339"/>
      <c r="R149" s="345"/>
      <c r="S149" s="345"/>
    </row>
    <row r="150" s="100" customFormat="1" ht="25" customHeight="1" spans="1:19">
      <c r="A150" s="306"/>
      <c r="B150" s="353" t="s">
        <v>192</v>
      </c>
      <c r="C150" s="350"/>
      <c r="D150" s="351" t="s">
        <v>182</v>
      </c>
      <c r="E150" s="352"/>
      <c r="F150" s="308"/>
      <c r="G150" s="352"/>
      <c r="H150" s="352" t="s">
        <v>10</v>
      </c>
      <c r="I150" s="352" t="s">
        <v>10</v>
      </c>
      <c r="J150" s="352"/>
      <c r="K150" s="352"/>
      <c r="L150" s="352"/>
      <c r="M150" s="300" t="str">
        <f t="shared" si="35"/>
        <v>A</v>
      </c>
      <c r="N150" s="308"/>
      <c r="O150" s="308"/>
      <c r="P150" s="308"/>
      <c r="Q150" s="339"/>
      <c r="R150" s="345"/>
      <c r="S150" s="345"/>
    </row>
    <row r="151" s="100" customFormat="1" ht="25" customHeight="1" spans="1:19">
      <c r="A151" s="306"/>
      <c r="B151" s="353" t="s">
        <v>193</v>
      </c>
      <c r="C151" s="350"/>
      <c r="D151" s="351" t="s">
        <v>182</v>
      </c>
      <c r="E151" s="352"/>
      <c r="F151" s="308"/>
      <c r="G151" s="352"/>
      <c r="H151" s="352" t="s">
        <v>10</v>
      </c>
      <c r="I151" s="352" t="s">
        <v>10</v>
      </c>
      <c r="J151" s="352"/>
      <c r="K151" s="352"/>
      <c r="L151" s="352"/>
      <c r="M151" s="300" t="str">
        <f t="shared" si="35"/>
        <v>A</v>
      </c>
      <c r="N151" s="308"/>
      <c r="O151" s="308"/>
      <c r="P151" s="308"/>
      <c r="Q151" s="339"/>
      <c r="R151" s="345"/>
      <c r="S151" s="345"/>
    </row>
    <row r="152" s="100" customFormat="1" ht="25" customHeight="1" spans="1:19">
      <c r="A152" s="306"/>
      <c r="B152" s="354" t="s">
        <v>194</v>
      </c>
      <c r="C152" s="350"/>
      <c r="D152" s="351" t="s">
        <v>182</v>
      </c>
      <c r="E152" s="352"/>
      <c r="F152" s="308"/>
      <c r="G152" s="352"/>
      <c r="H152" s="352" t="s">
        <v>10</v>
      </c>
      <c r="I152" s="352" t="s">
        <v>10</v>
      </c>
      <c r="J152" s="352"/>
      <c r="K152" s="352"/>
      <c r="L152" s="352"/>
      <c r="M152" s="300" t="str">
        <f t="shared" si="35"/>
        <v>A</v>
      </c>
      <c r="N152" s="308"/>
      <c r="O152" s="308"/>
      <c r="P152" s="308"/>
      <c r="Q152" s="339"/>
      <c r="R152" s="345"/>
      <c r="S152" s="345"/>
    </row>
    <row r="153" s="100" customFormat="1" ht="25" customHeight="1" spans="1:19">
      <c r="A153" s="306"/>
      <c r="B153" s="353" t="s">
        <v>195</v>
      </c>
      <c r="C153" s="350"/>
      <c r="D153" s="351" t="s">
        <v>182</v>
      </c>
      <c r="E153" s="352"/>
      <c r="F153" s="308"/>
      <c r="G153" s="352"/>
      <c r="H153" s="352" t="s">
        <v>10</v>
      </c>
      <c r="I153" s="352" t="s">
        <v>10</v>
      </c>
      <c r="J153" s="352"/>
      <c r="K153" s="352"/>
      <c r="L153" s="352"/>
      <c r="M153" s="300" t="str">
        <f t="shared" si="35"/>
        <v>A</v>
      </c>
      <c r="N153" s="308"/>
      <c r="O153" s="308"/>
      <c r="P153" s="308"/>
      <c r="Q153" s="339"/>
      <c r="R153" s="345"/>
      <c r="S153" s="345"/>
    </row>
    <row r="154" s="100" customFormat="1" ht="25" customHeight="1" spans="1:19">
      <c r="A154" s="306"/>
      <c r="B154" s="353" t="s">
        <v>196</v>
      </c>
      <c r="C154" s="350"/>
      <c r="D154" s="351" t="s">
        <v>182</v>
      </c>
      <c r="E154" s="352"/>
      <c r="F154" s="308"/>
      <c r="G154" s="352"/>
      <c r="H154" s="352" t="s">
        <v>10</v>
      </c>
      <c r="I154" s="352" t="s">
        <v>10</v>
      </c>
      <c r="J154" s="352"/>
      <c r="K154" s="352"/>
      <c r="L154" s="352"/>
      <c r="M154" s="300" t="str">
        <f t="shared" si="35"/>
        <v>A</v>
      </c>
      <c r="N154" s="308"/>
      <c r="O154" s="308"/>
      <c r="P154" s="308"/>
      <c r="Q154" s="339"/>
      <c r="R154" s="345"/>
      <c r="S154" s="345"/>
    </row>
    <row r="155" s="100" customFormat="1" ht="25" customHeight="1" spans="1:19">
      <c r="A155" s="306"/>
      <c r="B155" s="353" t="s">
        <v>197</v>
      </c>
      <c r="C155" s="350"/>
      <c r="D155" s="351" t="s">
        <v>182</v>
      </c>
      <c r="E155" s="352"/>
      <c r="F155" s="308"/>
      <c r="G155" s="352"/>
      <c r="H155" s="352" t="s">
        <v>10</v>
      </c>
      <c r="I155" s="352" t="s">
        <v>10</v>
      </c>
      <c r="J155" s="352"/>
      <c r="K155" s="352"/>
      <c r="L155" s="352"/>
      <c r="M155" s="300" t="str">
        <f t="shared" si="35"/>
        <v>A</v>
      </c>
      <c r="N155" s="308"/>
      <c r="O155" s="308"/>
      <c r="P155" s="308"/>
      <c r="Q155" s="339"/>
      <c r="R155" s="345"/>
      <c r="S155" s="345"/>
    </row>
    <row r="156" s="100" customFormat="1" ht="25" customHeight="1" spans="1:19">
      <c r="A156" s="306"/>
      <c r="B156" s="353" t="s">
        <v>198</v>
      </c>
      <c r="C156" s="350"/>
      <c r="D156" s="351" t="s">
        <v>182</v>
      </c>
      <c r="E156" s="352"/>
      <c r="F156" s="308"/>
      <c r="G156" s="352"/>
      <c r="H156" s="352" t="s">
        <v>10</v>
      </c>
      <c r="I156" s="352" t="s">
        <v>10</v>
      </c>
      <c r="J156" s="352"/>
      <c r="K156" s="352"/>
      <c r="L156" s="352"/>
      <c r="M156" s="300" t="str">
        <f t="shared" si="35"/>
        <v>A</v>
      </c>
      <c r="N156" s="308"/>
      <c r="O156" s="308"/>
      <c r="P156" s="308"/>
      <c r="Q156" s="339"/>
      <c r="R156" s="345"/>
      <c r="S156" s="345"/>
    </row>
    <row r="157" s="100" customFormat="1" ht="25" customHeight="1" spans="1:19">
      <c r="A157" s="306"/>
      <c r="B157" s="353" t="s">
        <v>199</v>
      </c>
      <c r="C157" s="350"/>
      <c r="D157" s="351" t="s">
        <v>182</v>
      </c>
      <c r="E157" s="352"/>
      <c r="F157" s="308"/>
      <c r="G157" s="352"/>
      <c r="H157" s="352" t="s">
        <v>10</v>
      </c>
      <c r="I157" s="352" t="s">
        <v>10</v>
      </c>
      <c r="J157" s="352"/>
      <c r="K157" s="352"/>
      <c r="L157" s="352"/>
      <c r="M157" s="300" t="str">
        <f t="shared" si="35"/>
        <v>A</v>
      </c>
      <c r="N157" s="308"/>
      <c r="O157" s="308"/>
      <c r="P157" s="308"/>
      <c r="Q157" s="339"/>
      <c r="R157" s="345"/>
      <c r="S157" s="345"/>
    </row>
    <row r="158" s="100" customFormat="1" ht="25" customHeight="1" spans="1:19">
      <c r="A158" s="306"/>
      <c r="B158" s="353" t="s">
        <v>200</v>
      </c>
      <c r="C158" s="350"/>
      <c r="D158" s="351" t="s">
        <v>182</v>
      </c>
      <c r="E158" s="352"/>
      <c r="F158" s="308"/>
      <c r="G158" s="352"/>
      <c r="H158" s="352" t="s">
        <v>10</v>
      </c>
      <c r="I158" s="352" t="s">
        <v>10</v>
      </c>
      <c r="J158" s="352"/>
      <c r="K158" s="352"/>
      <c r="L158" s="352"/>
      <c r="M158" s="300" t="str">
        <f t="shared" si="35"/>
        <v>A</v>
      </c>
      <c r="N158" s="308"/>
      <c r="O158" s="308"/>
      <c r="P158" s="308"/>
      <c r="Q158" s="339"/>
      <c r="R158" s="345"/>
      <c r="S158" s="345"/>
    </row>
    <row r="159" s="100" customFormat="1" ht="25" customHeight="1" spans="1:19">
      <c r="A159" s="306"/>
      <c r="B159" s="353" t="s">
        <v>201</v>
      </c>
      <c r="C159" s="350"/>
      <c r="D159" s="351" t="s">
        <v>182</v>
      </c>
      <c r="E159" s="352"/>
      <c r="F159" s="308"/>
      <c r="G159" s="352"/>
      <c r="H159" s="352" t="s">
        <v>10</v>
      </c>
      <c r="I159" s="352" t="s">
        <v>10</v>
      </c>
      <c r="J159" s="352"/>
      <c r="K159" s="352"/>
      <c r="L159" s="352"/>
      <c r="M159" s="300" t="str">
        <f t="shared" si="35"/>
        <v>A</v>
      </c>
      <c r="N159" s="308"/>
      <c r="O159" s="308"/>
      <c r="P159" s="308"/>
      <c r="Q159" s="339"/>
      <c r="R159" s="345"/>
      <c r="S159" s="345"/>
    </row>
    <row r="160" s="100" customFormat="1" ht="25" customHeight="1" spans="1:19">
      <c r="A160" s="306"/>
      <c r="B160" s="353" t="s">
        <v>202</v>
      </c>
      <c r="C160" s="350"/>
      <c r="D160" s="351" t="s">
        <v>182</v>
      </c>
      <c r="E160" s="352"/>
      <c r="F160" s="308"/>
      <c r="G160" s="352"/>
      <c r="H160" s="352" t="s">
        <v>10</v>
      </c>
      <c r="I160" s="352" t="s">
        <v>10</v>
      </c>
      <c r="J160" s="352"/>
      <c r="K160" s="352"/>
      <c r="L160" s="352"/>
      <c r="M160" s="300" t="str">
        <f t="shared" si="35"/>
        <v>A</v>
      </c>
      <c r="N160" s="308"/>
      <c r="O160" s="308"/>
      <c r="P160" s="308"/>
      <c r="Q160" s="339"/>
      <c r="R160" s="345"/>
      <c r="S160" s="345"/>
    </row>
    <row r="161" s="100" customFormat="1" ht="25" customHeight="1" spans="1:19">
      <c r="A161" s="306"/>
      <c r="B161" s="353" t="s">
        <v>203</v>
      </c>
      <c r="C161" s="350"/>
      <c r="D161" s="351" t="s">
        <v>182</v>
      </c>
      <c r="E161" s="352"/>
      <c r="F161" s="308"/>
      <c r="G161" s="352"/>
      <c r="H161" s="352" t="s">
        <v>10</v>
      </c>
      <c r="I161" s="352" t="s">
        <v>10</v>
      </c>
      <c r="J161" s="352"/>
      <c r="K161" s="352"/>
      <c r="L161" s="352"/>
      <c r="M161" s="300" t="str">
        <f t="shared" si="35"/>
        <v>A</v>
      </c>
      <c r="N161" s="308"/>
      <c r="O161" s="308"/>
      <c r="P161" s="308"/>
      <c r="Q161" s="339"/>
      <c r="R161" s="345"/>
      <c r="S161" s="345"/>
    </row>
    <row r="162" s="100" customFormat="1" ht="25" customHeight="1" spans="1:19">
      <c r="A162" s="306"/>
      <c r="B162" s="354" t="s">
        <v>204</v>
      </c>
      <c r="C162" s="350"/>
      <c r="D162" s="351" t="s">
        <v>182</v>
      </c>
      <c r="E162" s="352"/>
      <c r="F162" s="308"/>
      <c r="G162" s="352"/>
      <c r="H162" s="352" t="s">
        <v>10</v>
      </c>
      <c r="I162" s="352" t="s">
        <v>10</v>
      </c>
      <c r="J162" s="352"/>
      <c r="K162" s="352"/>
      <c r="L162" s="352"/>
      <c r="M162" s="300" t="str">
        <f t="shared" si="35"/>
        <v>A</v>
      </c>
      <c r="N162" s="308"/>
      <c r="O162" s="308"/>
      <c r="P162" s="308"/>
      <c r="Q162" s="339"/>
      <c r="R162" s="345"/>
      <c r="S162" s="345"/>
    </row>
    <row r="163" s="100" customFormat="1" ht="25" customHeight="1" spans="1:19">
      <c r="A163" s="306"/>
      <c r="B163" s="353" t="s">
        <v>205</v>
      </c>
      <c r="C163" s="350"/>
      <c r="D163" s="351" t="s">
        <v>182</v>
      </c>
      <c r="E163" s="352"/>
      <c r="F163" s="308"/>
      <c r="G163" s="352"/>
      <c r="H163" s="352" t="s">
        <v>10</v>
      </c>
      <c r="I163" s="352" t="s">
        <v>10</v>
      </c>
      <c r="J163" s="352"/>
      <c r="K163" s="352"/>
      <c r="L163" s="352"/>
      <c r="M163" s="300" t="str">
        <f t="shared" si="35"/>
        <v>A</v>
      </c>
      <c r="N163" s="308"/>
      <c r="O163" s="308"/>
      <c r="P163" s="308"/>
      <c r="Q163" s="339"/>
      <c r="R163" s="345"/>
      <c r="S163" s="345"/>
    </row>
    <row r="164" s="100" customFormat="1" ht="25" customHeight="1" spans="1:19">
      <c r="A164" s="306"/>
      <c r="B164" s="353" t="s">
        <v>206</v>
      </c>
      <c r="C164" s="350"/>
      <c r="D164" s="351" t="s">
        <v>182</v>
      </c>
      <c r="E164" s="352"/>
      <c r="F164" s="308"/>
      <c r="G164" s="352"/>
      <c r="H164" s="352" t="s">
        <v>10</v>
      </c>
      <c r="I164" s="352" t="s">
        <v>10</v>
      </c>
      <c r="J164" s="352"/>
      <c r="K164" s="352"/>
      <c r="L164" s="352"/>
      <c r="M164" s="300" t="str">
        <f t="shared" si="35"/>
        <v>A</v>
      </c>
      <c r="N164" s="308"/>
      <c r="O164" s="308"/>
      <c r="P164" s="308"/>
      <c r="Q164" s="339"/>
      <c r="R164" s="345"/>
      <c r="S164" s="345"/>
    </row>
    <row r="165" s="100" customFormat="1" ht="25" customHeight="1" spans="1:19">
      <c r="A165" s="306"/>
      <c r="B165" s="353" t="s">
        <v>207</v>
      </c>
      <c r="C165" s="350"/>
      <c r="D165" s="351" t="s">
        <v>182</v>
      </c>
      <c r="E165" s="352"/>
      <c r="F165" s="308"/>
      <c r="G165" s="352"/>
      <c r="H165" s="352" t="s">
        <v>10</v>
      </c>
      <c r="I165" s="352" t="s">
        <v>10</v>
      </c>
      <c r="J165" s="352"/>
      <c r="K165" s="352"/>
      <c r="L165" s="352"/>
      <c r="M165" s="300" t="str">
        <f t="shared" si="35"/>
        <v>A</v>
      </c>
      <c r="N165" s="308"/>
      <c r="O165" s="308"/>
      <c r="P165" s="308"/>
      <c r="Q165" s="339"/>
      <c r="R165" s="345"/>
      <c r="S165" s="345"/>
    </row>
    <row r="166" s="100" customFormat="1" ht="25" customHeight="1" spans="1:19">
      <c r="A166" s="306"/>
      <c r="B166" s="353" t="s">
        <v>208</v>
      </c>
      <c r="C166" s="350"/>
      <c r="D166" s="351" t="s">
        <v>182</v>
      </c>
      <c r="E166" s="352"/>
      <c r="F166" s="308"/>
      <c r="G166" s="352"/>
      <c r="H166" s="352" t="s">
        <v>10</v>
      </c>
      <c r="I166" s="352" t="s">
        <v>10</v>
      </c>
      <c r="J166" s="352"/>
      <c r="K166" s="352"/>
      <c r="L166" s="352"/>
      <c r="M166" s="300" t="str">
        <f t="shared" si="35"/>
        <v>A</v>
      </c>
      <c r="N166" s="308"/>
      <c r="O166" s="308"/>
      <c r="P166" s="308"/>
      <c r="Q166" s="339"/>
      <c r="R166" s="345"/>
      <c r="S166" s="345"/>
    </row>
    <row r="167" s="100" customFormat="1" ht="25" customHeight="1" spans="1:19">
      <c r="A167" s="306"/>
      <c r="B167" s="353" t="s">
        <v>209</v>
      </c>
      <c r="C167" s="350"/>
      <c r="D167" s="351" t="s">
        <v>182</v>
      </c>
      <c r="E167" s="352"/>
      <c r="F167" s="308"/>
      <c r="G167" s="352"/>
      <c r="H167" s="352" t="s">
        <v>10</v>
      </c>
      <c r="I167" s="352" t="s">
        <v>10</v>
      </c>
      <c r="J167" s="352"/>
      <c r="K167" s="352"/>
      <c r="L167" s="352"/>
      <c r="M167" s="300" t="str">
        <f t="shared" si="35"/>
        <v>A</v>
      </c>
      <c r="N167" s="308"/>
      <c r="O167" s="308"/>
      <c r="P167" s="308"/>
      <c r="Q167" s="339"/>
      <c r="R167" s="345"/>
      <c r="S167" s="345"/>
    </row>
    <row r="168" s="100" customFormat="1" ht="25" customHeight="1" spans="1:19">
      <c r="A168" s="306"/>
      <c r="B168" s="353" t="s">
        <v>210</v>
      </c>
      <c r="C168" s="350"/>
      <c r="D168" s="351" t="s">
        <v>182</v>
      </c>
      <c r="E168" s="352"/>
      <c r="F168" s="308"/>
      <c r="G168" s="352"/>
      <c r="H168" s="352" t="s">
        <v>10</v>
      </c>
      <c r="I168" s="352" t="s">
        <v>10</v>
      </c>
      <c r="J168" s="352"/>
      <c r="K168" s="352"/>
      <c r="L168" s="352"/>
      <c r="M168" s="300" t="str">
        <f t="shared" si="35"/>
        <v>A</v>
      </c>
      <c r="N168" s="308"/>
      <c r="O168" s="308"/>
      <c r="P168" s="308"/>
      <c r="Q168" s="339"/>
      <c r="R168" s="345"/>
      <c r="S168" s="345"/>
    </row>
    <row r="169" s="100" customFormat="1" ht="25" customHeight="1" spans="1:19">
      <c r="A169" s="306"/>
      <c r="B169" s="353" t="s">
        <v>211</v>
      </c>
      <c r="C169" s="350"/>
      <c r="D169" s="351" t="s">
        <v>182</v>
      </c>
      <c r="E169" s="352"/>
      <c r="F169" s="308"/>
      <c r="G169" s="352"/>
      <c r="H169" s="352" t="s">
        <v>10</v>
      </c>
      <c r="I169" s="352" t="s">
        <v>10</v>
      </c>
      <c r="J169" s="352"/>
      <c r="K169" s="352"/>
      <c r="L169" s="352"/>
      <c r="M169" s="300" t="str">
        <f t="shared" si="35"/>
        <v>A</v>
      </c>
      <c r="N169" s="308"/>
      <c r="O169" s="308"/>
      <c r="P169" s="308"/>
      <c r="Q169" s="339"/>
      <c r="R169" s="345"/>
      <c r="S169" s="345"/>
    </row>
    <row r="170" s="100" customFormat="1" ht="25" customHeight="1" spans="1:19">
      <c r="A170" s="306"/>
      <c r="B170" s="353" t="s">
        <v>212</v>
      </c>
      <c r="C170" s="350"/>
      <c r="D170" s="351" t="s">
        <v>182</v>
      </c>
      <c r="E170" s="352"/>
      <c r="F170" s="308"/>
      <c r="G170" s="352"/>
      <c r="H170" s="352" t="s">
        <v>10</v>
      </c>
      <c r="I170" s="352" t="s">
        <v>10</v>
      </c>
      <c r="J170" s="352"/>
      <c r="K170" s="352"/>
      <c r="L170" s="352"/>
      <c r="M170" s="300" t="str">
        <f t="shared" si="35"/>
        <v>A</v>
      </c>
      <c r="N170" s="308"/>
      <c r="O170" s="308"/>
      <c r="P170" s="308"/>
      <c r="Q170" s="339"/>
      <c r="R170" s="345"/>
      <c r="S170" s="345"/>
    </row>
    <row r="171" s="100" customFormat="1" ht="25" customHeight="1" spans="1:19">
      <c r="A171" s="306"/>
      <c r="B171" s="353" t="s">
        <v>213</v>
      </c>
      <c r="C171" s="350"/>
      <c r="D171" s="351" t="s">
        <v>182</v>
      </c>
      <c r="E171" s="352"/>
      <c r="F171" s="308"/>
      <c r="G171" s="352"/>
      <c r="H171" s="352" t="s">
        <v>10</v>
      </c>
      <c r="I171" s="352" t="s">
        <v>10</v>
      </c>
      <c r="J171" s="352"/>
      <c r="K171" s="352"/>
      <c r="L171" s="352"/>
      <c r="M171" s="300" t="str">
        <f t="shared" si="35"/>
        <v>A</v>
      </c>
      <c r="N171" s="308"/>
      <c r="O171" s="308"/>
      <c r="P171" s="308"/>
      <c r="Q171" s="339"/>
      <c r="R171" s="345"/>
      <c r="S171" s="345"/>
    </row>
    <row r="172" s="100" customFormat="1" ht="25" customHeight="1" spans="1:19">
      <c r="A172" s="306"/>
      <c r="B172" s="353" t="s">
        <v>214</v>
      </c>
      <c r="C172" s="350"/>
      <c r="D172" s="351" t="s">
        <v>182</v>
      </c>
      <c r="E172" s="352"/>
      <c r="F172" s="308"/>
      <c r="G172" s="352"/>
      <c r="H172" s="352" t="s">
        <v>10</v>
      </c>
      <c r="I172" s="352" t="s">
        <v>10</v>
      </c>
      <c r="J172" s="352"/>
      <c r="K172" s="352"/>
      <c r="L172" s="352"/>
      <c r="M172" s="300" t="str">
        <f t="shared" si="35"/>
        <v>A</v>
      </c>
      <c r="N172" s="308"/>
      <c r="O172" s="308"/>
      <c r="P172" s="308"/>
      <c r="Q172" s="339"/>
      <c r="R172" s="345"/>
      <c r="S172" s="345"/>
    </row>
    <row r="173" s="100" customFormat="1" ht="25" customHeight="1" spans="1:19">
      <c r="A173" s="306"/>
      <c r="B173" s="353" t="s">
        <v>215</v>
      </c>
      <c r="C173" s="350"/>
      <c r="D173" s="351" t="s">
        <v>182</v>
      </c>
      <c r="E173" s="352"/>
      <c r="F173" s="308"/>
      <c r="G173" s="352"/>
      <c r="H173" s="352" t="s">
        <v>10</v>
      </c>
      <c r="I173" s="352" t="s">
        <v>10</v>
      </c>
      <c r="J173" s="352"/>
      <c r="K173" s="352"/>
      <c r="L173" s="352"/>
      <c r="M173" s="300" t="str">
        <f t="shared" si="35"/>
        <v>A</v>
      </c>
      <c r="N173" s="308"/>
      <c r="O173" s="308"/>
      <c r="P173" s="308"/>
      <c r="Q173" s="339"/>
      <c r="R173" s="345"/>
      <c r="S173" s="345"/>
    </row>
    <row r="174" s="100" customFormat="1" ht="25" customHeight="1" spans="1:19">
      <c r="A174" s="306"/>
      <c r="B174" s="353" t="s">
        <v>216</v>
      </c>
      <c r="C174" s="350"/>
      <c r="D174" s="351" t="s">
        <v>182</v>
      </c>
      <c r="E174" s="352"/>
      <c r="F174" s="308"/>
      <c r="G174" s="352"/>
      <c r="H174" s="352" t="s">
        <v>10</v>
      </c>
      <c r="I174" s="352" t="s">
        <v>10</v>
      </c>
      <c r="J174" s="352"/>
      <c r="K174" s="352"/>
      <c r="L174" s="352"/>
      <c r="M174" s="300" t="str">
        <f t="shared" si="35"/>
        <v>A</v>
      </c>
      <c r="N174" s="308"/>
      <c r="O174" s="308"/>
      <c r="P174" s="308"/>
      <c r="Q174" s="339"/>
      <c r="R174" s="345"/>
      <c r="S174" s="345"/>
    </row>
    <row r="175" s="100" customFormat="1" ht="25" customHeight="1" spans="1:19">
      <c r="A175" s="306"/>
      <c r="B175" s="353" t="s">
        <v>217</v>
      </c>
      <c r="C175" s="350"/>
      <c r="D175" s="351" t="s">
        <v>182</v>
      </c>
      <c r="E175" s="352"/>
      <c r="F175" s="308"/>
      <c r="G175" s="352"/>
      <c r="H175" s="352" t="s">
        <v>10</v>
      </c>
      <c r="I175" s="352" t="s">
        <v>10</v>
      </c>
      <c r="J175" s="352"/>
      <c r="K175" s="352"/>
      <c r="L175" s="352"/>
      <c r="M175" s="300" t="str">
        <f t="shared" si="35"/>
        <v>A</v>
      </c>
      <c r="N175" s="308"/>
      <c r="O175" s="308"/>
      <c r="P175" s="308"/>
      <c r="Q175" s="339"/>
      <c r="R175" s="345"/>
      <c r="S175" s="345"/>
    </row>
    <row r="176" s="100" customFormat="1" ht="25" customHeight="1" spans="1:19">
      <c r="A176" s="306"/>
      <c r="B176" s="353" t="s">
        <v>218</v>
      </c>
      <c r="C176" s="350"/>
      <c r="D176" s="351" t="s">
        <v>182</v>
      </c>
      <c r="E176" s="352"/>
      <c r="F176" s="308"/>
      <c r="G176" s="352"/>
      <c r="H176" s="352" t="s">
        <v>10</v>
      </c>
      <c r="I176" s="352" t="s">
        <v>10</v>
      </c>
      <c r="J176" s="352"/>
      <c r="K176" s="352"/>
      <c r="L176" s="352"/>
      <c r="M176" s="300" t="str">
        <f t="shared" si="35"/>
        <v>A</v>
      </c>
      <c r="N176" s="308"/>
      <c r="O176" s="308"/>
      <c r="P176" s="308"/>
      <c r="Q176" s="339"/>
      <c r="R176" s="345"/>
      <c r="S176" s="345"/>
    </row>
    <row r="177" s="100" customFormat="1" ht="25" customHeight="1" spans="1:19">
      <c r="A177" s="306"/>
      <c r="B177" s="353" t="s">
        <v>219</v>
      </c>
      <c r="C177" s="350"/>
      <c r="D177" s="351" t="s">
        <v>182</v>
      </c>
      <c r="E177" s="352"/>
      <c r="F177" s="308"/>
      <c r="G177" s="352"/>
      <c r="H177" s="352" t="s">
        <v>10</v>
      </c>
      <c r="I177" s="352" t="s">
        <v>10</v>
      </c>
      <c r="J177" s="352"/>
      <c r="K177" s="352"/>
      <c r="L177" s="352"/>
      <c r="M177" s="300" t="str">
        <f t="shared" si="35"/>
        <v>A</v>
      </c>
      <c r="N177" s="308"/>
      <c r="O177" s="308"/>
      <c r="P177" s="308"/>
      <c r="Q177" s="339"/>
      <c r="R177" s="345"/>
      <c r="S177" s="345"/>
    </row>
    <row r="178" s="100" customFormat="1" ht="25" customHeight="1" spans="1:19">
      <c r="A178" s="306"/>
      <c r="B178" s="353" t="s">
        <v>220</v>
      </c>
      <c r="C178" s="350"/>
      <c r="D178" s="351" t="s">
        <v>182</v>
      </c>
      <c r="E178" s="352"/>
      <c r="F178" s="308"/>
      <c r="G178" s="352"/>
      <c r="H178" s="352" t="s">
        <v>10</v>
      </c>
      <c r="I178" s="352" t="s">
        <v>10</v>
      </c>
      <c r="J178" s="352"/>
      <c r="K178" s="352"/>
      <c r="L178" s="352"/>
      <c r="M178" s="300" t="str">
        <f t="shared" si="35"/>
        <v>A</v>
      </c>
      <c r="N178" s="308"/>
      <c r="O178" s="308"/>
      <c r="P178" s="308"/>
      <c r="Q178" s="339"/>
      <c r="R178" s="345"/>
      <c r="S178" s="345"/>
    </row>
    <row r="179" s="100" customFormat="1" ht="25" customHeight="1" spans="1:19">
      <c r="A179" s="306"/>
      <c r="B179" s="353" t="s">
        <v>221</v>
      </c>
      <c r="C179" s="350"/>
      <c r="D179" s="351" t="s">
        <v>182</v>
      </c>
      <c r="E179" s="352"/>
      <c r="F179" s="308"/>
      <c r="G179" s="352"/>
      <c r="H179" s="352" t="s">
        <v>10</v>
      </c>
      <c r="I179" s="352" t="s">
        <v>10</v>
      </c>
      <c r="J179" s="352"/>
      <c r="K179" s="352"/>
      <c r="L179" s="352"/>
      <c r="M179" s="300" t="str">
        <f t="shared" si="35"/>
        <v>A</v>
      </c>
      <c r="N179" s="308"/>
      <c r="O179" s="308"/>
      <c r="P179" s="308"/>
      <c r="Q179" s="339"/>
      <c r="R179" s="345"/>
      <c r="S179" s="345"/>
    </row>
    <row r="180" s="100" customFormat="1" ht="25" customHeight="1" spans="1:19">
      <c r="A180" s="308"/>
      <c r="B180" s="353" t="s">
        <v>222</v>
      </c>
      <c r="C180" s="350"/>
      <c r="D180" s="351" t="s">
        <v>182</v>
      </c>
      <c r="E180" s="352"/>
      <c r="F180" s="308"/>
      <c r="G180" s="352"/>
      <c r="H180" s="352" t="s">
        <v>10</v>
      </c>
      <c r="I180" s="352" t="s">
        <v>10</v>
      </c>
      <c r="J180" s="352"/>
      <c r="K180" s="352"/>
      <c r="L180" s="352"/>
      <c r="M180" s="300" t="str">
        <f t="shared" si="35"/>
        <v>A</v>
      </c>
      <c r="N180" s="308"/>
      <c r="O180" s="308"/>
      <c r="P180" s="308"/>
      <c r="Q180" s="339"/>
      <c r="R180" s="345"/>
      <c r="S180" s="345"/>
    </row>
  </sheetData>
  <autoFilter xmlns:etc="http://www.wps.cn/officeDocument/2017/etCustomData" ref="A9:Q180" etc:filterBottomFollowUsedRange="0">
    <extLst/>
  </autoFilter>
  <mergeCells count="22">
    <mergeCell ref="B1:Q1"/>
    <mergeCell ref="B2:Q2"/>
    <mergeCell ref="B3:Q3"/>
    <mergeCell ref="B4:Q4"/>
    <mergeCell ref="B5:Q5"/>
    <mergeCell ref="B6:Q6"/>
    <mergeCell ref="B7:Q7"/>
    <mergeCell ref="B8:Q8"/>
    <mergeCell ref="A1:A4"/>
    <mergeCell ref="A5:A8"/>
    <mergeCell ref="A10:A16"/>
    <mergeCell ref="A17:A18"/>
    <mergeCell ref="A19:A33"/>
    <mergeCell ref="A34:A61"/>
    <mergeCell ref="A62:A82"/>
    <mergeCell ref="A83:A91"/>
    <mergeCell ref="A92:A94"/>
    <mergeCell ref="A95:A108"/>
    <mergeCell ref="A109:A127"/>
    <mergeCell ref="A128:A133"/>
    <mergeCell ref="A134:A139"/>
    <mergeCell ref="A140:A180"/>
  </mergeCells>
  <conditionalFormatting sqref="P11">
    <cfRule type="containsText" dxfId="0" priority="79" operator="between" text="有">
      <formula>NOT(ISERROR(SEARCH("有",P11)))</formula>
    </cfRule>
  </conditionalFormatting>
  <conditionalFormatting sqref="P12">
    <cfRule type="containsText" dxfId="0" priority="234" operator="between" text="有">
      <formula>NOT(ISERROR(SEARCH("有",P12)))</formula>
    </cfRule>
  </conditionalFormatting>
  <conditionalFormatting sqref="Q12">
    <cfRule type="cellIs" dxfId="1" priority="235" operator="equal">
      <formula>1</formula>
    </cfRule>
  </conditionalFormatting>
  <conditionalFormatting sqref="P13">
    <cfRule type="containsText" dxfId="0" priority="232" operator="between" text="有">
      <formula>NOT(ISERROR(SEARCH("有",P13)))</formula>
    </cfRule>
  </conditionalFormatting>
  <conditionalFormatting sqref="Q13">
    <cfRule type="cellIs" dxfId="1" priority="233" operator="equal">
      <formula>1</formula>
    </cfRule>
  </conditionalFormatting>
  <conditionalFormatting sqref="F15">
    <cfRule type="containsText" dxfId="0" priority="223" operator="between" text="S">
      <formula>NOT(ISERROR(SEARCH("S",F15)))</formula>
    </cfRule>
  </conditionalFormatting>
  <conditionalFormatting sqref="M15">
    <cfRule type="cellIs" dxfId="2" priority="218" operator="equal">
      <formula>"A"</formula>
    </cfRule>
    <cfRule type="containsText" dxfId="0" priority="222" operator="between" text="S">
      <formula>NOT(ISERROR(SEARCH("S",M15)))</formula>
    </cfRule>
  </conditionalFormatting>
  <conditionalFormatting sqref="P15">
    <cfRule type="containsText" dxfId="0" priority="220" operator="between" text="有">
      <formula>NOT(ISERROR(SEARCH("有",P15)))</formula>
    </cfRule>
  </conditionalFormatting>
  <conditionalFormatting sqref="Q15">
    <cfRule type="cellIs" dxfId="1" priority="221" operator="equal">
      <formula>1</formula>
    </cfRule>
  </conditionalFormatting>
  <conditionalFormatting sqref="E19:L19">
    <cfRule type="containsText" dxfId="0" priority="326" operator="between" text="S">
      <formula>NOT(ISERROR(SEARCH("S",E19)))</formula>
    </cfRule>
  </conditionalFormatting>
  <conditionalFormatting sqref="M19">
    <cfRule type="cellIs" dxfId="2" priority="324" operator="equal">
      <formula>"A"</formula>
    </cfRule>
    <cfRule type="containsText" dxfId="0" priority="325" operator="between" text="S">
      <formula>NOT(ISERROR(SEARCH("S",M19)))</formula>
    </cfRule>
  </conditionalFormatting>
  <conditionalFormatting sqref="P19">
    <cfRule type="containsText" dxfId="0" priority="327" operator="between" text="有">
      <formula>NOT(ISERROR(SEARCH("有",P19)))</formula>
    </cfRule>
  </conditionalFormatting>
  <conditionalFormatting sqref="Q19">
    <cfRule type="cellIs" dxfId="1" priority="328" operator="equal">
      <formula>1</formula>
    </cfRule>
  </conditionalFormatting>
  <conditionalFormatting sqref="E20:L20">
    <cfRule type="containsText" dxfId="0" priority="316" operator="between" text="S">
      <formula>NOT(ISERROR(SEARCH("S",E20)))</formula>
    </cfRule>
  </conditionalFormatting>
  <conditionalFormatting sqref="M20">
    <cfRule type="cellIs" dxfId="2" priority="314" operator="equal">
      <formula>"A"</formula>
    </cfRule>
    <cfRule type="containsText" dxfId="0" priority="315" operator="between" text="S">
      <formula>NOT(ISERROR(SEARCH("S",M20)))</formula>
    </cfRule>
  </conditionalFormatting>
  <conditionalFormatting sqref="P20">
    <cfRule type="containsText" dxfId="0" priority="317" operator="between" text="有">
      <formula>NOT(ISERROR(SEARCH("有",P20)))</formula>
    </cfRule>
  </conditionalFormatting>
  <conditionalFormatting sqref="Q20">
    <cfRule type="cellIs" dxfId="1" priority="318" operator="equal">
      <formula>1</formula>
    </cfRule>
  </conditionalFormatting>
  <conditionalFormatting sqref="E21:L21">
    <cfRule type="containsText" dxfId="0" priority="281" operator="between" text="S">
      <formula>NOT(ISERROR(SEARCH("S",E21)))</formula>
    </cfRule>
  </conditionalFormatting>
  <conditionalFormatting sqref="M21">
    <cfRule type="cellIs" dxfId="2" priority="279" operator="equal">
      <formula>"A"</formula>
    </cfRule>
    <cfRule type="containsText" dxfId="0" priority="280" operator="between" text="S">
      <formula>NOT(ISERROR(SEARCH("S",M21)))</formula>
    </cfRule>
  </conditionalFormatting>
  <conditionalFormatting sqref="P21">
    <cfRule type="containsText" dxfId="0" priority="282" operator="between" text="有">
      <formula>NOT(ISERROR(SEARCH("有",P21)))</formula>
    </cfRule>
  </conditionalFormatting>
  <conditionalFormatting sqref="Q21">
    <cfRule type="cellIs" dxfId="1" priority="283" operator="equal">
      <formula>1</formula>
    </cfRule>
  </conditionalFormatting>
  <conditionalFormatting sqref="E22:L22">
    <cfRule type="containsText" dxfId="0" priority="321" operator="between" text="S">
      <formula>NOT(ISERROR(SEARCH("S",E22)))</formula>
    </cfRule>
  </conditionalFormatting>
  <conditionalFormatting sqref="M22">
    <cfRule type="cellIs" dxfId="2" priority="319" operator="equal">
      <formula>"A"</formula>
    </cfRule>
    <cfRule type="containsText" dxfId="0" priority="320" operator="between" text="S">
      <formula>NOT(ISERROR(SEARCH("S",M22)))</formula>
    </cfRule>
  </conditionalFormatting>
  <conditionalFormatting sqref="P22">
    <cfRule type="containsText" dxfId="0" priority="322" operator="between" text="有">
      <formula>NOT(ISERROR(SEARCH("有",P22)))</formula>
    </cfRule>
  </conditionalFormatting>
  <conditionalFormatting sqref="Q22">
    <cfRule type="cellIs" dxfId="1" priority="323" operator="equal">
      <formula>1</formula>
    </cfRule>
  </conditionalFormatting>
  <conditionalFormatting sqref="E23:L23">
    <cfRule type="containsText" dxfId="0" priority="306" operator="between" text="S">
      <formula>NOT(ISERROR(SEARCH("S",E23)))</formula>
    </cfRule>
  </conditionalFormatting>
  <conditionalFormatting sqref="M23">
    <cfRule type="cellIs" dxfId="2" priority="304" operator="equal">
      <formula>"A"</formula>
    </cfRule>
    <cfRule type="containsText" dxfId="0" priority="305" operator="between" text="S">
      <formula>NOT(ISERROR(SEARCH("S",M23)))</formula>
    </cfRule>
  </conditionalFormatting>
  <conditionalFormatting sqref="P23">
    <cfRule type="containsText" dxfId="0" priority="307" operator="between" text="有">
      <formula>NOT(ISERROR(SEARCH("有",P23)))</formula>
    </cfRule>
  </conditionalFormatting>
  <conditionalFormatting sqref="Q23">
    <cfRule type="cellIs" dxfId="1" priority="308" operator="equal">
      <formula>1</formula>
    </cfRule>
  </conditionalFormatting>
  <conditionalFormatting sqref="E24:L24">
    <cfRule type="containsText" dxfId="0" priority="296" operator="between" text="S">
      <formula>NOT(ISERROR(SEARCH("S",E24)))</formula>
    </cfRule>
  </conditionalFormatting>
  <conditionalFormatting sqref="M24">
    <cfRule type="cellIs" dxfId="2" priority="294" operator="equal">
      <formula>"A"</formula>
    </cfRule>
    <cfRule type="containsText" dxfId="0" priority="295" operator="between" text="S">
      <formula>NOT(ISERROR(SEARCH("S",M24)))</formula>
    </cfRule>
  </conditionalFormatting>
  <conditionalFormatting sqref="P24">
    <cfRule type="containsText" dxfId="0" priority="297" operator="between" text="有">
      <formula>NOT(ISERROR(SEARCH("有",P24)))</formula>
    </cfRule>
  </conditionalFormatting>
  <conditionalFormatting sqref="Q24">
    <cfRule type="cellIs" dxfId="1" priority="298" operator="equal">
      <formula>1</formula>
    </cfRule>
  </conditionalFormatting>
  <conditionalFormatting sqref="E25:L25">
    <cfRule type="containsText" dxfId="0" priority="276" operator="between" text="S">
      <formula>NOT(ISERROR(SEARCH("S",E25)))</formula>
    </cfRule>
  </conditionalFormatting>
  <conditionalFormatting sqref="M25">
    <cfRule type="cellIs" dxfId="2" priority="274" operator="equal">
      <formula>"A"</formula>
    </cfRule>
    <cfRule type="containsText" dxfId="0" priority="275" operator="between" text="S">
      <formula>NOT(ISERROR(SEARCH("S",M25)))</formula>
    </cfRule>
  </conditionalFormatting>
  <conditionalFormatting sqref="P25">
    <cfRule type="containsText" dxfId="0" priority="277" operator="between" text="有">
      <formula>NOT(ISERROR(SEARCH("有",P25)))</formula>
    </cfRule>
  </conditionalFormatting>
  <conditionalFormatting sqref="Q25">
    <cfRule type="cellIs" dxfId="1" priority="278" operator="equal">
      <formula>1</formula>
    </cfRule>
  </conditionalFormatting>
  <conditionalFormatting sqref="E26:L26">
    <cfRule type="containsText" dxfId="0" priority="119" operator="between" text="S">
      <formula>NOT(ISERROR(SEARCH("S",E26)))</formula>
    </cfRule>
  </conditionalFormatting>
  <conditionalFormatting sqref="M26">
    <cfRule type="cellIs" dxfId="2" priority="117" operator="equal">
      <formula>"A"</formula>
    </cfRule>
    <cfRule type="containsText" dxfId="0" priority="118" operator="between" text="S">
      <formula>NOT(ISERROR(SEARCH("S",M26)))</formula>
    </cfRule>
  </conditionalFormatting>
  <conditionalFormatting sqref="P26">
    <cfRule type="containsText" dxfId="0" priority="120" operator="between" text="有">
      <formula>NOT(ISERROR(SEARCH("有",P26)))</formula>
    </cfRule>
  </conditionalFormatting>
  <conditionalFormatting sqref="Q26">
    <cfRule type="cellIs" dxfId="1" priority="121" operator="equal">
      <formula>1</formula>
    </cfRule>
  </conditionalFormatting>
  <conditionalFormatting sqref="E27:L27">
    <cfRule type="containsText" dxfId="0" priority="18" operator="between" text="S">
      <formula>NOT(ISERROR(SEARCH("S",E27)))</formula>
    </cfRule>
  </conditionalFormatting>
  <conditionalFormatting sqref="M27">
    <cfRule type="cellIs" dxfId="2" priority="16" operator="equal">
      <formula>"A"</formula>
    </cfRule>
    <cfRule type="containsText" dxfId="0" priority="17" operator="between" text="S">
      <formula>NOT(ISERROR(SEARCH("S",M27)))</formula>
    </cfRule>
  </conditionalFormatting>
  <conditionalFormatting sqref="P27">
    <cfRule type="containsText" dxfId="0" priority="19" operator="between" text="有">
      <formula>NOT(ISERROR(SEARCH("有",P27)))</formula>
    </cfRule>
  </conditionalFormatting>
  <conditionalFormatting sqref="Q27">
    <cfRule type="cellIs" dxfId="1" priority="20" operator="equal">
      <formula>1</formula>
    </cfRule>
  </conditionalFormatting>
  <conditionalFormatting sqref="E28:L28">
    <cfRule type="containsText" dxfId="0" priority="13" operator="between" text="S">
      <formula>NOT(ISERROR(SEARCH("S",E28)))</formula>
    </cfRule>
  </conditionalFormatting>
  <conditionalFormatting sqref="M28">
    <cfRule type="cellIs" dxfId="2" priority="11" operator="equal">
      <formula>"A"</formula>
    </cfRule>
    <cfRule type="containsText" dxfId="0" priority="12" operator="between" text="S">
      <formula>NOT(ISERROR(SEARCH("S",M28)))</formula>
    </cfRule>
  </conditionalFormatting>
  <conditionalFormatting sqref="P28">
    <cfRule type="containsText" dxfId="0" priority="14" operator="between" text="有">
      <formula>NOT(ISERROR(SEARCH("有",P28)))</formula>
    </cfRule>
  </conditionalFormatting>
  <conditionalFormatting sqref="Q28">
    <cfRule type="cellIs" dxfId="1" priority="15" operator="equal">
      <formula>1</formula>
    </cfRule>
  </conditionalFormatting>
  <conditionalFormatting sqref="E29:L29">
    <cfRule type="containsText" dxfId="0" priority="249" operator="between" text="S">
      <formula>NOT(ISERROR(SEARCH("S",E29)))</formula>
    </cfRule>
  </conditionalFormatting>
  <conditionalFormatting sqref="M29">
    <cfRule type="cellIs" dxfId="2" priority="247" operator="equal">
      <formula>"A"</formula>
    </cfRule>
    <cfRule type="containsText" dxfId="0" priority="248" operator="between" text="S">
      <formula>NOT(ISERROR(SEARCH("S",M29)))</formula>
    </cfRule>
  </conditionalFormatting>
  <conditionalFormatting sqref="P29">
    <cfRule type="containsText" dxfId="0" priority="250" operator="between" text="有">
      <formula>NOT(ISERROR(SEARCH("有",P29)))</formula>
    </cfRule>
  </conditionalFormatting>
  <conditionalFormatting sqref="Q29">
    <cfRule type="cellIs" dxfId="1" priority="251" operator="equal">
      <formula>1</formula>
    </cfRule>
  </conditionalFormatting>
  <conditionalFormatting sqref="E30:L30">
    <cfRule type="containsText" dxfId="0" priority="266" operator="between" text="S">
      <formula>NOT(ISERROR(SEARCH("S",E30)))</formula>
    </cfRule>
  </conditionalFormatting>
  <conditionalFormatting sqref="M30">
    <cfRule type="cellIs" dxfId="2" priority="264" operator="equal">
      <formula>"A"</formula>
    </cfRule>
    <cfRule type="containsText" dxfId="0" priority="265" operator="between" text="S">
      <formula>NOT(ISERROR(SEARCH("S",M30)))</formula>
    </cfRule>
  </conditionalFormatting>
  <conditionalFormatting sqref="P30">
    <cfRule type="containsText" dxfId="0" priority="267" operator="between" text="有">
      <formula>NOT(ISERROR(SEARCH("有",P30)))</formula>
    </cfRule>
  </conditionalFormatting>
  <conditionalFormatting sqref="Q30">
    <cfRule type="cellIs" dxfId="1" priority="268" operator="equal">
      <formula>1</formula>
    </cfRule>
  </conditionalFormatting>
  <conditionalFormatting sqref="E31:L31">
    <cfRule type="containsText" dxfId="0" priority="271" operator="between" text="S">
      <formula>NOT(ISERROR(SEARCH("S",E31)))</formula>
    </cfRule>
  </conditionalFormatting>
  <conditionalFormatting sqref="M31">
    <cfRule type="cellIs" dxfId="2" priority="269" operator="equal">
      <formula>"A"</formula>
    </cfRule>
    <cfRule type="containsText" dxfId="0" priority="270" operator="between" text="S">
      <formula>NOT(ISERROR(SEARCH("S",M31)))</formula>
    </cfRule>
  </conditionalFormatting>
  <conditionalFormatting sqref="P31">
    <cfRule type="containsText" dxfId="0" priority="272" operator="between" text="有">
      <formula>NOT(ISERROR(SEARCH("有",P31)))</formula>
    </cfRule>
  </conditionalFormatting>
  <conditionalFormatting sqref="Q31">
    <cfRule type="cellIs" dxfId="1" priority="273" operator="equal">
      <formula>1</formula>
    </cfRule>
  </conditionalFormatting>
  <conditionalFormatting sqref="E32:L32">
    <cfRule type="containsText" dxfId="0" priority="33" operator="between" text="S">
      <formula>NOT(ISERROR(SEARCH("S",E32)))</formula>
    </cfRule>
  </conditionalFormatting>
  <conditionalFormatting sqref="M32">
    <cfRule type="cellIs" dxfId="2" priority="31" operator="equal">
      <formula>"A"</formula>
    </cfRule>
    <cfRule type="containsText" dxfId="0" priority="32" operator="between" text="S">
      <formula>NOT(ISERROR(SEARCH("S",M32)))</formula>
    </cfRule>
  </conditionalFormatting>
  <conditionalFormatting sqref="P32">
    <cfRule type="containsText" dxfId="0" priority="34" operator="between" text="有">
      <formula>NOT(ISERROR(SEARCH("有",P32)))</formula>
    </cfRule>
  </conditionalFormatting>
  <conditionalFormatting sqref="Q32">
    <cfRule type="cellIs" dxfId="1" priority="35" operator="equal">
      <formula>1</formula>
    </cfRule>
  </conditionalFormatting>
  <conditionalFormatting sqref="E33:L33">
    <cfRule type="containsText" dxfId="0" priority="311" operator="between" text="S">
      <formula>NOT(ISERROR(SEARCH("S",E33)))</formula>
    </cfRule>
  </conditionalFormatting>
  <conditionalFormatting sqref="M33">
    <cfRule type="cellIs" dxfId="2" priority="309" operator="equal">
      <formula>"A"</formula>
    </cfRule>
    <cfRule type="containsText" dxfId="0" priority="310" operator="between" text="S">
      <formula>NOT(ISERROR(SEARCH("S",M33)))</formula>
    </cfRule>
  </conditionalFormatting>
  <conditionalFormatting sqref="P33">
    <cfRule type="containsText" dxfId="0" priority="312" operator="between" text="有">
      <formula>NOT(ISERROR(SEARCH("有",P33)))</formula>
    </cfRule>
  </conditionalFormatting>
  <conditionalFormatting sqref="Q33">
    <cfRule type="cellIs" dxfId="1" priority="313" operator="equal">
      <formula>1</formula>
    </cfRule>
  </conditionalFormatting>
  <conditionalFormatting sqref="E37:L37">
    <cfRule type="containsText" dxfId="0" priority="128" operator="between" text="S">
      <formula>NOT(ISERROR(SEARCH("S",E37)))</formula>
    </cfRule>
  </conditionalFormatting>
  <conditionalFormatting sqref="M37">
    <cfRule type="cellIs" dxfId="2" priority="126" operator="equal">
      <formula>"A"</formula>
    </cfRule>
    <cfRule type="containsText" dxfId="0" priority="127" operator="between" text="S">
      <formula>NOT(ISERROR(SEARCH("S",M37)))</formula>
    </cfRule>
  </conditionalFormatting>
  <conditionalFormatting sqref="P37">
    <cfRule type="containsText" dxfId="0" priority="129" operator="between" text="有">
      <formula>NOT(ISERROR(SEARCH("有",P37)))</formula>
    </cfRule>
  </conditionalFormatting>
  <conditionalFormatting sqref="Q37">
    <cfRule type="cellIs" dxfId="1" priority="130" operator="equal">
      <formula>1</formula>
    </cfRule>
  </conditionalFormatting>
  <conditionalFormatting sqref="E38:M38">
    <cfRule type="containsText" dxfId="0" priority="132" operator="between" text="S">
      <formula>NOT(ISERROR(SEARCH("S",E38)))</formula>
    </cfRule>
  </conditionalFormatting>
  <conditionalFormatting sqref="P38">
    <cfRule type="containsText" dxfId="0" priority="133" operator="between" text="有">
      <formula>NOT(ISERROR(SEARCH("有",P38)))</formula>
    </cfRule>
  </conditionalFormatting>
  <conditionalFormatting sqref="Q38">
    <cfRule type="cellIs" dxfId="1" priority="134" operator="equal">
      <formula>1</formula>
    </cfRule>
  </conditionalFormatting>
  <conditionalFormatting sqref="E39:M39">
    <cfRule type="containsText" dxfId="0" priority="150" operator="between" text="S">
      <formula>NOT(ISERROR(SEARCH("S",E39)))</formula>
    </cfRule>
  </conditionalFormatting>
  <conditionalFormatting sqref="M39">
    <cfRule type="cellIs" dxfId="2" priority="149" operator="equal">
      <formula>"A"</formula>
    </cfRule>
  </conditionalFormatting>
  <conditionalFormatting sqref="P39">
    <cfRule type="containsText" dxfId="0" priority="151" operator="between" text="有">
      <formula>NOT(ISERROR(SEARCH("有",P39)))</formula>
    </cfRule>
  </conditionalFormatting>
  <conditionalFormatting sqref="Q39">
    <cfRule type="cellIs" dxfId="1" priority="152" operator="equal">
      <formula>1</formula>
    </cfRule>
  </conditionalFormatting>
  <conditionalFormatting sqref="E40:L40">
    <cfRule type="containsText" dxfId="0" priority="142" operator="between" text="S">
      <formula>NOT(ISERROR(SEARCH("S",E40)))</formula>
    </cfRule>
  </conditionalFormatting>
  <conditionalFormatting sqref="M40">
    <cfRule type="cellIs" dxfId="2" priority="140" operator="equal">
      <formula>"A"</formula>
    </cfRule>
    <cfRule type="containsText" dxfId="0" priority="141" operator="between" text="S">
      <formula>NOT(ISERROR(SEARCH("S",M40)))</formula>
    </cfRule>
  </conditionalFormatting>
  <conditionalFormatting sqref="P40">
    <cfRule type="containsText" dxfId="0" priority="143" operator="between" text="有">
      <formula>NOT(ISERROR(SEARCH("有",P40)))</formula>
    </cfRule>
  </conditionalFormatting>
  <conditionalFormatting sqref="Q40">
    <cfRule type="cellIs" dxfId="1" priority="144" operator="equal">
      <formula>1</formula>
    </cfRule>
  </conditionalFormatting>
  <conditionalFormatting sqref="E42:L42">
    <cfRule type="containsText" dxfId="0" priority="490" operator="between" text="S">
      <formula>NOT(ISERROR(SEARCH("S",E42)))</formula>
    </cfRule>
  </conditionalFormatting>
  <conditionalFormatting sqref="P42">
    <cfRule type="containsText" dxfId="0" priority="491" operator="between" text="有">
      <formula>NOT(ISERROR(SEARCH("有",P42)))</formula>
    </cfRule>
  </conditionalFormatting>
  <conditionalFormatting sqref="Q42">
    <cfRule type="cellIs" dxfId="1" priority="492" operator="equal">
      <formula>1</formula>
    </cfRule>
  </conditionalFormatting>
  <conditionalFormatting sqref="I44">
    <cfRule type="containsText" dxfId="0" priority="228" operator="between" text="S">
      <formula>NOT(ISERROR(SEARCH("S",I44)))</formula>
    </cfRule>
  </conditionalFormatting>
  <conditionalFormatting sqref="M44">
    <cfRule type="cellIs" dxfId="2" priority="224" operator="equal">
      <formula>"A"</formula>
    </cfRule>
    <cfRule type="containsText" dxfId="0" priority="229" operator="between" text="S">
      <formula>NOT(ISERROR(SEARCH("S",M44)))</formula>
    </cfRule>
  </conditionalFormatting>
  <conditionalFormatting sqref="P44">
    <cfRule type="containsText" dxfId="0" priority="227" operator="between" text="有">
      <formula>NOT(ISERROR(SEARCH("有",P44)))</formula>
    </cfRule>
  </conditionalFormatting>
  <conditionalFormatting sqref="Q44">
    <cfRule type="cellIs" dxfId="1" priority="225" operator="equal">
      <formula>1</formula>
    </cfRule>
  </conditionalFormatting>
  <conditionalFormatting sqref="E45:L45">
    <cfRule type="containsText" dxfId="0" priority="493" operator="between" text="S">
      <formula>NOT(ISERROR(SEARCH("S",E45)))</formula>
    </cfRule>
  </conditionalFormatting>
  <conditionalFormatting sqref="P45">
    <cfRule type="containsText" dxfId="0" priority="494" operator="between" text="有">
      <formula>NOT(ISERROR(SEARCH("有",P45)))</formula>
    </cfRule>
  </conditionalFormatting>
  <conditionalFormatting sqref="Q45">
    <cfRule type="cellIs" dxfId="1" priority="495" operator="equal">
      <formula>1</formula>
    </cfRule>
  </conditionalFormatting>
  <conditionalFormatting sqref="E47:L47">
    <cfRule type="containsText" dxfId="0" priority="244" operator="between" text="S">
      <formula>NOT(ISERROR(SEARCH("S",E47)))</formula>
    </cfRule>
  </conditionalFormatting>
  <conditionalFormatting sqref="M47">
    <cfRule type="cellIs" dxfId="2" priority="242" operator="equal">
      <formula>"A"</formula>
    </cfRule>
    <cfRule type="containsText" dxfId="0" priority="243" operator="between" text="S">
      <formula>NOT(ISERROR(SEARCH("S",M47)))</formula>
    </cfRule>
  </conditionalFormatting>
  <conditionalFormatting sqref="P47">
    <cfRule type="containsText" dxfId="0" priority="245" operator="between" text="有">
      <formula>NOT(ISERROR(SEARCH("有",P47)))</formula>
    </cfRule>
  </conditionalFormatting>
  <conditionalFormatting sqref="Q47">
    <cfRule type="cellIs" dxfId="1" priority="246" operator="equal">
      <formula>1</formula>
    </cfRule>
  </conditionalFormatting>
  <conditionalFormatting sqref="E49:M49">
    <cfRule type="containsText" dxfId="0" priority="162" operator="between" text="S">
      <formula>NOT(ISERROR(SEARCH("S",E49)))</formula>
    </cfRule>
  </conditionalFormatting>
  <conditionalFormatting sqref="M49">
    <cfRule type="cellIs" dxfId="2" priority="161" operator="equal">
      <formula>"A"</formula>
    </cfRule>
  </conditionalFormatting>
  <conditionalFormatting sqref="P49">
    <cfRule type="containsText" dxfId="0" priority="163" operator="between" text="有">
      <formula>NOT(ISERROR(SEARCH("有",P49)))</formula>
    </cfRule>
  </conditionalFormatting>
  <conditionalFormatting sqref="Q49">
    <cfRule type="cellIs" dxfId="1" priority="164" operator="equal">
      <formula>1</formula>
    </cfRule>
  </conditionalFormatting>
  <conditionalFormatting sqref="E50:M50">
    <cfRule type="containsText" dxfId="0" priority="123" operator="between" text="S">
      <formula>NOT(ISERROR(SEARCH("S",E50)))</formula>
    </cfRule>
  </conditionalFormatting>
  <conditionalFormatting sqref="M50">
    <cfRule type="cellIs" dxfId="2" priority="122" operator="equal">
      <formula>"A"</formula>
    </cfRule>
  </conditionalFormatting>
  <conditionalFormatting sqref="P50">
    <cfRule type="containsText" dxfId="0" priority="124" operator="between" text="有">
      <formula>NOT(ISERROR(SEARCH("有",P50)))</formula>
    </cfRule>
  </conditionalFormatting>
  <conditionalFormatting sqref="Q50">
    <cfRule type="cellIs" dxfId="1" priority="125" operator="equal">
      <formula>1</formula>
    </cfRule>
  </conditionalFormatting>
  <conditionalFormatting sqref="F51">
    <cfRule type="containsText" dxfId="0" priority="69" operator="between" text="S">
      <formula>NOT(ISERROR(SEARCH("S",F51)))</formula>
    </cfRule>
  </conditionalFormatting>
  <conditionalFormatting sqref="M51">
    <cfRule type="cellIs" dxfId="2" priority="67" operator="equal">
      <formula>"A"</formula>
    </cfRule>
    <cfRule type="containsText" dxfId="0" priority="68" operator="between" text="S">
      <formula>NOT(ISERROR(SEARCH("S",M51)))</formula>
    </cfRule>
  </conditionalFormatting>
  <conditionalFormatting sqref="P51">
    <cfRule type="containsText" dxfId="0" priority="71" operator="between" text="有">
      <formula>NOT(ISERROR(SEARCH("有",P51)))</formula>
    </cfRule>
  </conditionalFormatting>
  <conditionalFormatting sqref="Q51">
    <cfRule type="cellIs" dxfId="1" priority="72" operator="equal">
      <formula>1</formula>
    </cfRule>
  </conditionalFormatting>
  <conditionalFormatting sqref="F52">
    <cfRule type="containsText" dxfId="0" priority="74" operator="between" text="S">
      <formula>NOT(ISERROR(SEARCH("S",F52)))</formula>
    </cfRule>
  </conditionalFormatting>
  <conditionalFormatting sqref="M52">
    <cfRule type="cellIs" dxfId="2" priority="73" operator="equal">
      <formula>"A"</formula>
    </cfRule>
    <cfRule type="containsText" dxfId="0" priority="78" operator="between" text="S">
      <formula>NOT(ISERROR(SEARCH("S",M52)))</formula>
    </cfRule>
  </conditionalFormatting>
  <conditionalFormatting sqref="P52">
    <cfRule type="containsText" dxfId="0" priority="76" operator="between" text="有">
      <formula>NOT(ISERROR(SEARCH("有",P52)))</formula>
    </cfRule>
  </conditionalFormatting>
  <conditionalFormatting sqref="Q52">
    <cfRule type="cellIs" dxfId="1" priority="77" operator="equal">
      <formula>1</formula>
    </cfRule>
  </conditionalFormatting>
  <conditionalFormatting sqref="F53">
    <cfRule type="containsText" dxfId="0" priority="259" operator="between" text="S">
      <formula>NOT(ISERROR(SEARCH("S",F53)))</formula>
    </cfRule>
  </conditionalFormatting>
  <conditionalFormatting sqref="M53">
    <cfRule type="cellIs" dxfId="2" priority="258" operator="equal">
      <formula>"A"</formula>
    </cfRule>
    <cfRule type="containsText" dxfId="0" priority="263" operator="between" text="S">
      <formula>NOT(ISERROR(SEARCH("S",M53)))</formula>
    </cfRule>
  </conditionalFormatting>
  <conditionalFormatting sqref="P53">
    <cfRule type="containsText" dxfId="0" priority="261" operator="between" text="有">
      <formula>NOT(ISERROR(SEARCH("有",P53)))</formula>
    </cfRule>
  </conditionalFormatting>
  <conditionalFormatting sqref="Q53">
    <cfRule type="cellIs" dxfId="1" priority="262" operator="equal">
      <formula>1</formula>
    </cfRule>
  </conditionalFormatting>
  <conditionalFormatting sqref="F54">
    <cfRule type="containsText" dxfId="0" priority="213" operator="between" text="S">
      <formula>NOT(ISERROR(SEARCH("S",F54)))</formula>
    </cfRule>
  </conditionalFormatting>
  <conditionalFormatting sqref="M54">
    <cfRule type="cellIs" dxfId="2" priority="212" operator="equal">
      <formula>"A"</formula>
    </cfRule>
    <cfRule type="containsText" dxfId="0" priority="217" operator="between" text="S">
      <formula>NOT(ISERROR(SEARCH("S",M54)))</formula>
    </cfRule>
  </conditionalFormatting>
  <conditionalFormatting sqref="P54">
    <cfRule type="containsText" dxfId="0" priority="215" operator="between" text="有">
      <formula>NOT(ISERROR(SEARCH("有",P54)))</formula>
    </cfRule>
  </conditionalFormatting>
  <conditionalFormatting sqref="Q54">
    <cfRule type="cellIs" dxfId="1" priority="216" operator="equal">
      <formula>1</formula>
    </cfRule>
  </conditionalFormatting>
  <conditionalFormatting sqref="F55">
    <cfRule type="containsText" dxfId="0" priority="207" operator="between" text="S">
      <formula>NOT(ISERROR(SEARCH("S",F55)))</formula>
    </cfRule>
  </conditionalFormatting>
  <conditionalFormatting sqref="M55">
    <cfRule type="cellIs" dxfId="2" priority="206" operator="equal">
      <formula>"A"</formula>
    </cfRule>
    <cfRule type="containsText" dxfId="0" priority="211" operator="between" text="S">
      <formula>NOT(ISERROR(SEARCH("S",M55)))</formula>
    </cfRule>
  </conditionalFormatting>
  <conditionalFormatting sqref="P55">
    <cfRule type="containsText" dxfId="0" priority="209" operator="between" text="有">
      <formula>NOT(ISERROR(SEARCH("有",P55)))</formula>
    </cfRule>
  </conditionalFormatting>
  <conditionalFormatting sqref="Q55">
    <cfRule type="cellIs" dxfId="1" priority="210" operator="equal">
      <formula>1</formula>
    </cfRule>
  </conditionalFormatting>
  <conditionalFormatting sqref="F56">
    <cfRule type="containsText" dxfId="0" priority="201" operator="between" text="S">
      <formula>NOT(ISERROR(SEARCH("S",F56)))</formula>
    </cfRule>
  </conditionalFormatting>
  <conditionalFormatting sqref="M56">
    <cfRule type="cellIs" dxfId="2" priority="200" operator="equal">
      <formula>"A"</formula>
    </cfRule>
    <cfRule type="containsText" dxfId="0" priority="205" operator="between" text="S">
      <formula>NOT(ISERROR(SEARCH("S",M56)))</formula>
    </cfRule>
  </conditionalFormatting>
  <conditionalFormatting sqref="P56">
    <cfRule type="containsText" dxfId="0" priority="203" operator="between" text="有">
      <formula>NOT(ISERROR(SEARCH("有",P56)))</formula>
    </cfRule>
  </conditionalFormatting>
  <conditionalFormatting sqref="Q56">
    <cfRule type="cellIs" dxfId="1" priority="204" operator="equal">
      <formula>1</formula>
    </cfRule>
  </conditionalFormatting>
  <conditionalFormatting sqref="F57">
    <cfRule type="containsText" dxfId="0" priority="195" operator="between" text="S">
      <formula>NOT(ISERROR(SEARCH("S",F57)))</formula>
    </cfRule>
  </conditionalFormatting>
  <conditionalFormatting sqref="M57">
    <cfRule type="cellIs" dxfId="2" priority="194" operator="equal">
      <formula>"A"</formula>
    </cfRule>
    <cfRule type="containsText" dxfId="0" priority="199" operator="between" text="S">
      <formula>NOT(ISERROR(SEARCH("S",M57)))</formula>
    </cfRule>
  </conditionalFormatting>
  <conditionalFormatting sqref="P57">
    <cfRule type="containsText" dxfId="0" priority="197" operator="between" text="有">
      <formula>NOT(ISERROR(SEARCH("有",P57)))</formula>
    </cfRule>
  </conditionalFormatting>
  <conditionalFormatting sqref="Q57">
    <cfRule type="cellIs" dxfId="1" priority="198" operator="equal">
      <formula>1</formula>
    </cfRule>
  </conditionalFormatting>
  <conditionalFormatting sqref="F58">
    <cfRule type="containsText" dxfId="0" priority="189" operator="between" text="S">
      <formula>NOT(ISERROR(SEARCH("S",F58)))</formula>
    </cfRule>
  </conditionalFormatting>
  <conditionalFormatting sqref="M58">
    <cfRule type="cellIs" dxfId="2" priority="188" operator="equal">
      <formula>"A"</formula>
    </cfRule>
    <cfRule type="containsText" dxfId="0" priority="193" operator="between" text="S">
      <formula>NOT(ISERROR(SEARCH("S",M58)))</formula>
    </cfRule>
  </conditionalFormatting>
  <conditionalFormatting sqref="P58">
    <cfRule type="containsText" dxfId="0" priority="191" operator="between" text="有">
      <formula>NOT(ISERROR(SEARCH("有",P58)))</formula>
    </cfRule>
  </conditionalFormatting>
  <conditionalFormatting sqref="Q58">
    <cfRule type="cellIs" dxfId="1" priority="192" operator="equal">
      <formula>1</formula>
    </cfRule>
  </conditionalFormatting>
  <conditionalFormatting sqref="F59">
    <cfRule type="containsText" dxfId="0" priority="183" operator="between" text="S">
      <formula>NOT(ISERROR(SEARCH("S",F59)))</formula>
    </cfRule>
  </conditionalFormatting>
  <conditionalFormatting sqref="M59">
    <cfRule type="cellIs" dxfId="2" priority="182" operator="equal">
      <formula>"A"</formula>
    </cfRule>
    <cfRule type="containsText" dxfId="0" priority="187" operator="between" text="S">
      <formula>NOT(ISERROR(SEARCH("S",M59)))</formula>
    </cfRule>
  </conditionalFormatting>
  <conditionalFormatting sqref="P59">
    <cfRule type="containsText" dxfId="0" priority="185" operator="between" text="有">
      <formula>NOT(ISERROR(SEARCH("有",P59)))</formula>
    </cfRule>
  </conditionalFormatting>
  <conditionalFormatting sqref="Q59">
    <cfRule type="cellIs" dxfId="1" priority="186" operator="equal">
      <formula>1</formula>
    </cfRule>
  </conditionalFormatting>
  <conditionalFormatting sqref="F60">
    <cfRule type="containsText" dxfId="0" priority="177" operator="between" text="S">
      <formula>NOT(ISERROR(SEARCH("S",F60)))</formula>
    </cfRule>
  </conditionalFormatting>
  <conditionalFormatting sqref="M60">
    <cfRule type="cellIs" dxfId="2" priority="176" operator="equal">
      <formula>"A"</formula>
    </cfRule>
    <cfRule type="containsText" dxfId="0" priority="181" operator="between" text="S">
      <formula>NOT(ISERROR(SEARCH("S",M60)))</formula>
    </cfRule>
  </conditionalFormatting>
  <conditionalFormatting sqref="P60">
    <cfRule type="containsText" dxfId="0" priority="179" operator="between" text="有">
      <formula>NOT(ISERROR(SEARCH("有",P60)))</formula>
    </cfRule>
  </conditionalFormatting>
  <conditionalFormatting sqref="Q60">
    <cfRule type="cellIs" dxfId="1" priority="180" operator="equal">
      <formula>1</formula>
    </cfRule>
  </conditionalFormatting>
  <conditionalFormatting sqref="F61">
    <cfRule type="containsText" dxfId="0" priority="171" operator="between" text="S">
      <formula>NOT(ISERROR(SEARCH("S",F61)))</formula>
    </cfRule>
  </conditionalFormatting>
  <conditionalFormatting sqref="M61">
    <cfRule type="cellIs" dxfId="2" priority="170" operator="equal">
      <formula>"A"</formula>
    </cfRule>
    <cfRule type="containsText" dxfId="0" priority="175" operator="between" text="S">
      <formula>NOT(ISERROR(SEARCH("S",M61)))</formula>
    </cfRule>
  </conditionalFormatting>
  <conditionalFormatting sqref="P61">
    <cfRule type="containsText" dxfId="0" priority="173" operator="between" text="有">
      <formula>NOT(ISERROR(SEARCH("有",P61)))</formula>
    </cfRule>
  </conditionalFormatting>
  <conditionalFormatting sqref="Q61">
    <cfRule type="cellIs" dxfId="1" priority="174" operator="equal">
      <formula>1</formula>
    </cfRule>
  </conditionalFormatting>
  <conditionalFormatting sqref="E76:L76">
    <cfRule type="containsText" dxfId="0" priority="361" operator="between" text="S">
      <formula>NOT(ISERROR(SEARCH("S",E76)))</formula>
    </cfRule>
  </conditionalFormatting>
  <conditionalFormatting sqref="M76">
    <cfRule type="cellIs" dxfId="2" priority="359" operator="equal">
      <formula>"A"</formula>
    </cfRule>
    <cfRule type="containsText" dxfId="0" priority="360" operator="between" text="S">
      <formula>NOT(ISERROR(SEARCH("S",M76)))</formula>
    </cfRule>
  </conditionalFormatting>
  <conditionalFormatting sqref="P76">
    <cfRule type="containsText" dxfId="0" priority="362" operator="between" text="有">
      <formula>NOT(ISERROR(SEARCH("有",P76)))</formula>
    </cfRule>
  </conditionalFormatting>
  <conditionalFormatting sqref="Q76">
    <cfRule type="cellIs" dxfId="1" priority="363" operator="equal">
      <formula>1</formula>
    </cfRule>
  </conditionalFormatting>
  <conditionalFormatting sqref="E80:L80">
    <cfRule type="containsText" dxfId="0" priority="28" operator="between" text="S">
      <formula>NOT(ISERROR(SEARCH("S",E80)))</formula>
    </cfRule>
  </conditionalFormatting>
  <conditionalFormatting sqref="M80">
    <cfRule type="cellIs" dxfId="2" priority="26" operator="equal">
      <formula>"A"</formula>
    </cfRule>
    <cfRule type="containsText" dxfId="0" priority="27" operator="between" text="S">
      <formula>NOT(ISERROR(SEARCH("S",M80)))</formula>
    </cfRule>
  </conditionalFormatting>
  <conditionalFormatting sqref="P80">
    <cfRule type="containsText" dxfId="0" priority="29" operator="between" text="有">
      <formula>NOT(ISERROR(SEARCH("有",P80)))</formula>
    </cfRule>
  </conditionalFormatting>
  <conditionalFormatting sqref="Q80">
    <cfRule type="cellIs" dxfId="1" priority="30" operator="equal">
      <formula>1</formula>
    </cfRule>
  </conditionalFormatting>
  <conditionalFormatting sqref="E81:L81">
    <cfRule type="containsText" dxfId="0" priority="23" operator="between" text="S">
      <formula>NOT(ISERROR(SEARCH("S",E81)))</formula>
    </cfRule>
  </conditionalFormatting>
  <conditionalFormatting sqref="M81">
    <cfRule type="cellIs" dxfId="2" priority="21" operator="equal">
      <formula>"A"</formula>
    </cfRule>
    <cfRule type="containsText" dxfId="0" priority="22" operator="between" text="S">
      <formula>NOT(ISERROR(SEARCH("S",M81)))</formula>
    </cfRule>
  </conditionalFormatting>
  <conditionalFormatting sqref="P81">
    <cfRule type="containsText" dxfId="0" priority="24" operator="between" text="有">
      <formula>NOT(ISERROR(SEARCH("有",P81)))</formula>
    </cfRule>
  </conditionalFormatting>
  <conditionalFormatting sqref="Q81">
    <cfRule type="cellIs" dxfId="1" priority="25" operator="equal">
      <formula>1</formula>
    </cfRule>
  </conditionalFormatting>
  <conditionalFormatting sqref="E84:L84">
    <cfRule type="containsText" dxfId="0" priority="58" operator="between" text="S">
      <formula>NOT(ISERROR(SEARCH("S",E84)))</formula>
    </cfRule>
  </conditionalFormatting>
  <conditionalFormatting sqref="M84">
    <cfRule type="cellIs" dxfId="2" priority="57" operator="equal">
      <formula>"A"</formula>
    </cfRule>
    <cfRule type="containsText" dxfId="0" priority="61" operator="between" text="S">
      <formula>NOT(ISERROR(SEARCH("S",M84)))</formula>
    </cfRule>
  </conditionalFormatting>
  <conditionalFormatting sqref="P84">
    <cfRule type="containsText" dxfId="0" priority="59" operator="between" text="有">
      <formula>NOT(ISERROR(SEARCH("有",P84)))</formula>
    </cfRule>
  </conditionalFormatting>
  <conditionalFormatting sqref="Q84">
    <cfRule type="cellIs" dxfId="1" priority="54" operator="equal">
      <formula>1</formula>
    </cfRule>
  </conditionalFormatting>
  <conditionalFormatting sqref="E85:L85">
    <cfRule type="containsText" dxfId="0" priority="63" operator="between" text="S">
      <formula>NOT(ISERROR(SEARCH("S",E85)))</formula>
    </cfRule>
  </conditionalFormatting>
  <conditionalFormatting sqref="M85">
    <cfRule type="cellIs" dxfId="2" priority="62" operator="equal">
      <formula>"A"</formula>
    </cfRule>
    <cfRule type="containsText" dxfId="0" priority="66" operator="between" text="S">
      <formula>NOT(ISERROR(SEARCH("S",M85)))</formula>
    </cfRule>
  </conditionalFormatting>
  <conditionalFormatting sqref="P85">
    <cfRule type="containsText" dxfId="0" priority="64" operator="between" text="有">
      <formula>NOT(ISERROR(SEARCH("有",P85)))</formula>
    </cfRule>
  </conditionalFormatting>
  <conditionalFormatting sqref="Q85">
    <cfRule type="cellIs" dxfId="1" priority="56" operator="equal">
      <formula>1</formula>
    </cfRule>
  </conditionalFormatting>
  <conditionalFormatting sqref="Q86">
    <cfRule type="cellIs" dxfId="1" priority="55" operator="equal">
      <formula>1</formula>
    </cfRule>
  </conditionalFormatting>
  <conditionalFormatting sqref="E87:L87">
    <cfRule type="containsText" dxfId="0" priority="383" operator="between" text="S">
      <formula>NOT(ISERROR(SEARCH("S",E87)))</formula>
    </cfRule>
  </conditionalFormatting>
  <conditionalFormatting sqref="P87">
    <cfRule type="containsText" dxfId="0" priority="385" operator="between" text="有">
      <formula>NOT(ISERROR(SEARCH("有",P87)))</formula>
    </cfRule>
  </conditionalFormatting>
  <conditionalFormatting sqref="Q87">
    <cfRule type="cellIs" dxfId="1" priority="386" operator="equal">
      <formula>1</formula>
    </cfRule>
  </conditionalFormatting>
  <conditionalFormatting sqref="E88:L88">
    <cfRule type="containsText" dxfId="0" priority="379" operator="between" text="S">
      <formula>NOT(ISERROR(SEARCH("S",E88)))</formula>
    </cfRule>
  </conditionalFormatting>
  <conditionalFormatting sqref="P88">
    <cfRule type="containsText" dxfId="0" priority="381" operator="between" text="有">
      <formula>NOT(ISERROR(SEARCH("有",P88)))</formula>
    </cfRule>
  </conditionalFormatting>
  <conditionalFormatting sqref="Q88">
    <cfRule type="cellIs" dxfId="1" priority="382" operator="equal">
      <formula>1</formula>
    </cfRule>
  </conditionalFormatting>
  <conditionalFormatting sqref="E89:L89">
    <cfRule type="containsText" dxfId="0" priority="367" operator="between" text="S">
      <formula>NOT(ISERROR(SEARCH("S",E89)))</formula>
    </cfRule>
  </conditionalFormatting>
  <conditionalFormatting sqref="P89">
    <cfRule type="containsText" dxfId="0" priority="369" operator="between" text="有">
      <formula>NOT(ISERROR(SEARCH("有",P89)))</formula>
    </cfRule>
  </conditionalFormatting>
  <conditionalFormatting sqref="Q89">
    <cfRule type="cellIs" dxfId="1" priority="370" operator="equal">
      <formula>1</formula>
    </cfRule>
  </conditionalFormatting>
  <conditionalFormatting sqref="E90:L90">
    <cfRule type="containsText" dxfId="0" priority="371" operator="between" text="S">
      <formula>NOT(ISERROR(SEARCH("S",E90)))</formula>
    </cfRule>
  </conditionalFormatting>
  <conditionalFormatting sqref="P90">
    <cfRule type="containsText" dxfId="0" priority="373" operator="between" text="有">
      <formula>NOT(ISERROR(SEARCH("有",P90)))</formula>
    </cfRule>
  </conditionalFormatting>
  <conditionalFormatting sqref="Q90">
    <cfRule type="cellIs" dxfId="1" priority="374" operator="equal">
      <formula>1</formula>
    </cfRule>
  </conditionalFormatting>
  <conditionalFormatting sqref="F92">
    <cfRule type="containsText" dxfId="0" priority="524" operator="between" text="S">
      <formula>NOT(ISERROR(SEARCH("S",F92)))</formula>
    </cfRule>
  </conditionalFormatting>
  <conditionalFormatting sqref="E93:L93">
    <cfRule type="containsText" dxfId="0" priority="3" operator="between" text="S">
      <formula>NOT(ISERROR(SEARCH("S",E93)))</formula>
    </cfRule>
  </conditionalFormatting>
  <conditionalFormatting sqref="M93">
    <cfRule type="cellIs" dxfId="2" priority="1" operator="equal">
      <formula>"A"</formula>
    </cfRule>
    <cfRule type="containsText" dxfId="0" priority="2" operator="between" text="S">
      <formula>NOT(ISERROR(SEARCH("S",M93)))</formula>
    </cfRule>
  </conditionalFormatting>
  <conditionalFormatting sqref="N93">
    <cfRule type="containsText" dxfId="0" priority="5" operator="between" text="S">
      <formula>NOT(ISERROR(SEARCH("S",N93)))</formula>
    </cfRule>
  </conditionalFormatting>
  <conditionalFormatting sqref="Q93">
    <cfRule type="cellIs" dxfId="1" priority="4" operator="equal">
      <formula>1</formula>
    </cfRule>
  </conditionalFormatting>
  <conditionalFormatting sqref="N94">
    <cfRule type="containsText" dxfId="0" priority="551" operator="between" text="S">
      <formula>NOT(ISERROR(SEARCH("S",N94)))</formula>
    </cfRule>
  </conditionalFormatting>
  <conditionalFormatting sqref="F95">
    <cfRule type="containsText" dxfId="0" priority="535" operator="between" text="S">
      <formula>NOT(ISERROR(SEARCH("S",F95)))</formula>
    </cfRule>
  </conditionalFormatting>
  <conditionalFormatting sqref="Q95">
    <cfRule type="cellIs" dxfId="1" priority="537" operator="equal">
      <formula>1</formula>
    </cfRule>
  </conditionalFormatting>
  <conditionalFormatting sqref="F102">
    <cfRule type="containsText" dxfId="0" priority="527" operator="between" text="S">
      <formula>NOT(ISERROR(SEARCH("S",F102)))</formula>
    </cfRule>
  </conditionalFormatting>
  <conditionalFormatting sqref="Q102">
    <cfRule type="cellIs" dxfId="1" priority="529" operator="equal">
      <formula>1</formula>
    </cfRule>
  </conditionalFormatting>
  <conditionalFormatting sqref="E125:L125">
    <cfRule type="containsText" dxfId="0" priority="104" operator="between" text="S">
      <formula>NOT(ISERROR(SEARCH("S",E125)))</formula>
    </cfRule>
  </conditionalFormatting>
  <conditionalFormatting sqref="M125">
    <cfRule type="cellIs" dxfId="2" priority="100" operator="equal">
      <formula>"A"</formula>
    </cfRule>
    <cfRule type="containsText" dxfId="0" priority="101" operator="between" text="S">
      <formula>NOT(ISERROR(SEARCH("S",M125)))</formula>
    </cfRule>
  </conditionalFormatting>
  <conditionalFormatting sqref="P125">
    <cfRule type="containsText" dxfId="0" priority="102" operator="between" text="有">
      <formula>NOT(ISERROR(SEARCH("有",P125)))</formula>
    </cfRule>
  </conditionalFormatting>
  <conditionalFormatting sqref="Q125">
    <cfRule type="cellIs" dxfId="1" priority="103" operator="equal">
      <formula>1</formula>
    </cfRule>
  </conditionalFormatting>
  <conditionalFormatting sqref="F128">
    <cfRule type="containsText" dxfId="0" priority="106" operator="between" text="S">
      <formula>NOT(ISERROR(SEARCH("S",F128)))</formula>
    </cfRule>
  </conditionalFormatting>
  <conditionalFormatting sqref="M128">
    <cfRule type="cellIs" dxfId="2" priority="105" operator="equal">
      <formula>"A"</formula>
    </cfRule>
    <cfRule type="containsText" dxfId="0" priority="110" operator="between" text="S">
      <formula>NOT(ISERROR(SEARCH("S",M128)))</formula>
    </cfRule>
  </conditionalFormatting>
  <conditionalFormatting sqref="P128">
    <cfRule type="containsText" dxfId="0" priority="108" operator="between" text="有">
      <formula>NOT(ISERROR(SEARCH("有",P128)))</formula>
    </cfRule>
  </conditionalFormatting>
  <conditionalFormatting sqref="F129">
    <cfRule type="containsText" dxfId="0" priority="89" operator="between" text="S">
      <formula>NOT(ISERROR(SEARCH("S",F129)))</formula>
    </cfRule>
  </conditionalFormatting>
  <conditionalFormatting sqref="M129">
    <cfRule type="cellIs" dxfId="2" priority="88" operator="equal">
      <formula>"A"</formula>
    </cfRule>
    <cfRule type="containsText" dxfId="0" priority="93" operator="between" text="S">
      <formula>NOT(ISERROR(SEARCH("S",M129)))</formula>
    </cfRule>
  </conditionalFormatting>
  <conditionalFormatting sqref="P129">
    <cfRule type="containsText" dxfId="0" priority="91" operator="between" text="有">
      <formula>NOT(ISERROR(SEARCH("有",P129)))</formula>
    </cfRule>
  </conditionalFormatting>
  <conditionalFormatting sqref="F130">
    <cfRule type="containsText" dxfId="0" priority="49" operator="between" text="S">
      <formula>NOT(ISERROR(SEARCH("S",F130)))</formula>
    </cfRule>
  </conditionalFormatting>
  <conditionalFormatting sqref="M130">
    <cfRule type="cellIs" dxfId="2" priority="48" operator="equal">
      <formula>"A"</formula>
    </cfRule>
    <cfRule type="containsText" dxfId="0" priority="52" operator="between" text="S">
      <formula>NOT(ISERROR(SEARCH("S",M130)))</formula>
    </cfRule>
  </conditionalFormatting>
  <conditionalFormatting sqref="P130">
    <cfRule type="containsText" dxfId="0" priority="51" operator="between" text="有">
      <formula>NOT(ISERROR(SEARCH("有",P130)))</formula>
    </cfRule>
  </conditionalFormatting>
  <conditionalFormatting sqref="Q130">
    <cfRule type="cellIs" dxfId="1" priority="53" operator="equal">
      <formula>1</formula>
    </cfRule>
  </conditionalFormatting>
  <conditionalFormatting sqref="F131">
    <cfRule type="containsText" dxfId="0" priority="43" operator="between" text="S">
      <formula>NOT(ISERROR(SEARCH("S",F131)))</formula>
    </cfRule>
  </conditionalFormatting>
  <conditionalFormatting sqref="M131">
    <cfRule type="cellIs" dxfId="2" priority="42" operator="equal">
      <formula>"A"</formula>
    </cfRule>
    <cfRule type="containsText" dxfId="0" priority="46" operator="between" text="S">
      <formula>NOT(ISERROR(SEARCH("S",M131)))</formula>
    </cfRule>
  </conditionalFormatting>
  <conditionalFormatting sqref="P131">
    <cfRule type="containsText" dxfId="0" priority="45" operator="between" text="有">
      <formula>NOT(ISERROR(SEARCH("有",P131)))</formula>
    </cfRule>
  </conditionalFormatting>
  <conditionalFormatting sqref="Q131">
    <cfRule type="cellIs" dxfId="1" priority="47" operator="equal">
      <formula>1</formula>
    </cfRule>
  </conditionalFormatting>
  <conditionalFormatting sqref="F132">
    <cfRule type="containsText" dxfId="0" priority="37" operator="between" text="S">
      <formula>NOT(ISERROR(SEARCH("S",F132)))</formula>
    </cfRule>
  </conditionalFormatting>
  <conditionalFormatting sqref="M132">
    <cfRule type="cellIs" dxfId="2" priority="36" operator="equal">
      <formula>"A"</formula>
    </cfRule>
    <cfRule type="containsText" dxfId="0" priority="40" operator="between" text="S">
      <formula>NOT(ISERROR(SEARCH("S",M132)))</formula>
    </cfRule>
  </conditionalFormatting>
  <conditionalFormatting sqref="P132">
    <cfRule type="containsText" dxfId="0" priority="39" operator="between" text="有">
      <formula>NOT(ISERROR(SEARCH("有",P132)))</formula>
    </cfRule>
  </conditionalFormatting>
  <conditionalFormatting sqref="Q132">
    <cfRule type="cellIs" dxfId="1" priority="41" operator="equal">
      <formula>1</formula>
    </cfRule>
  </conditionalFormatting>
  <conditionalFormatting sqref="F133">
    <cfRule type="containsText" dxfId="0" priority="95" operator="between" text="S">
      <formula>NOT(ISERROR(SEARCH("S",F133)))</formula>
    </cfRule>
  </conditionalFormatting>
  <conditionalFormatting sqref="M133">
    <cfRule type="cellIs" dxfId="2" priority="94" operator="equal">
      <formula>"A"</formula>
    </cfRule>
    <cfRule type="containsText" dxfId="0" priority="99" operator="between" text="S">
      <formula>NOT(ISERROR(SEARCH("S",M133)))</formula>
    </cfRule>
  </conditionalFormatting>
  <conditionalFormatting sqref="P133">
    <cfRule type="containsText" dxfId="0" priority="97" operator="between" text="有">
      <formula>NOT(ISERROR(SEARCH("有",P133)))</formula>
    </cfRule>
  </conditionalFormatting>
  <conditionalFormatting sqref="E136:L136">
    <cfRule type="containsText" dxfId="0" priority="8" operator="between" text="S">
      <formula>NOT(ISERROR(SEARCH("S",E136)))</formula>
    </cfRule>
  </conditionalFormatting>
  <conditionalFormatting sqref="M136">
    <cfRule type="cellIs" dxfId="2" priority="6" operator="equal">
      <formula>"A"</formula>
    </cfRule>
    <cfRule type="containsText" dxfId="0" priority="7" operator="between" text="S">
      <formula>NOT(ISERROR(SEARCH("S",M136)))</formula>
    </cfRule>
  </conditionalFormatting>
  <conditionalFormatting sqref="P136">
    <cfRule type="containsText" dxfId="0" priority="9" operator="between" text="有">
      <formula>NOT(ISERROR(SEARCH("有",P136)))</formula>
    </cfRule>
  </conditionalFormatting>
  <conditionalFormatting sqref="Q136">
    <cfRule type="cellIs" dxfId="1" priority="10" operator="equal">
      <formula>1</formula>
    </cfRule>
  </conditionalFormatting>
  <conditionalFormatting sqref="E137:L137">
    <cfRule type="containsText" dxfId="0" priority="286" operator="between" text="S">
      <formula>NOT(ISERROR(SEARCH("S",E137)))</formula>
    </cfRule>
  </conditionalFormatting>
  <conditionalFormatting sqref="M137">
    <cfRule type="cellIs" dxfId="2" priority="284" operator="equal">
      <formula>"A"</formula>
    </cfRule>
    <cfRule type="containsText" dxfId="0" priority="285" operator="between" text="S">
      <formula>NOT(ISERROR(SEARCH("S",M137)))</formula>
    </cfRule>
  </conditionalFormatting>
  <conditionalFormatting sqref="P137">
    <cfRule type="containsText" dxfId="0" priority="287" operator="between" text="有">
      <formula>NOT(ISERROR(SEARCH("有",P137)))</formula>
    </cfRule>
  </conditionalFormatting>
  <conditionalFormatting sqref="P138">
    <cfRule type="containsText" dxfId="0" priority="672" operator="between" text="有">
      <formula>NOT(ISERROR(SEARCH("有",P138)))</formula>
    </cfRule>
  </conditionalFormatting>
  <conditionalFormatting sqref="E141:G141">
    <cfRule type="containsText" dxfId="0" priority="469" operator="between" text="S">
      <formula>NOT(ISERROR(SEARCH("S",E141)))</formula>
    </cfRule>
  </conditionalFormatting>
  <conditionalFormatting sqref="P141">
    <cfRule type="containsText" dxfId="0" priority="470" operator="between" text="有">
      <formula>NOT(ISERROR(SEARCH("有",P141)))</formula>
    </cfRule>
  </conditionalFormatting>
  <conditionalFormatting sqref="Q141">
    <cfRule type="cellIs" dxfId="1" priority="471" operator="equal">
      <formula>1</formula>
    </cfRule>
  </conditionalFormatting>
  <conditionalFormatting sqref="E142:G142">
    <cfRule type="containsText" dxfId="0" priority="400" operator="between" text="S">
      <formula>NOT(ISERROR(SEARCH("S",E142)))</formula>
    </cfRule>
  </conditionalFormatting>
  <conditionalFormatting sqref="P142">
    <cfRule type="containsText" dxfId="0" priority="401" operator="between" text="有">
      <formula>NOT(ISERROR(SEARCH("有",P142)))</formula>
    </cfRule>
  </conditionalFormatting>
  <conditionalFormatting sqref="Q142">
    <cfRule type="cellIs" dxfId="1" priority="402" operator="equal">
      <formula>1</formula>
    </cfRule>
  </conditionalFormatting>
  <conditionalFormatting sqref="E143:G143">
    <cfRule type="containsText" dxfId="0" priority="403" operator="between" text="S">
      <formula>NOT(ISERROR(SEARCH("S",E143)))</formula>
    </cfRule>
  </conditionalFormatting>
  <conditionalFormatting sqref="P143">
    <cfRule type="containsText" dxfId="0" priority="404" operator="between" text="有">
      <formula>NOT(ISERROR(SEARCH("有",P143)))</formula>
    </cfRule>
  </conditionalFormatting>
  <conditionalFormatting sqref="Q143">
    <cfRule type="cellIs" dxfId="1" priority="405" operator="equal">
      <formula>1</formula>
    </cfRule>
  </conditionalFormatting>
  <conditionalFormatting sqref="P144">
    <cfRule type="containsText" dxfId="0" priority="413" operator="between" text="有">
      <formula>NOT(ISERROR(SEARCH("有",P144)))</formula>
    </cfRule>
  </conditionalFormatting>
  <conditionalFormatting sqref="Q144">
    <cfRule type="cellIs" dxfId="1" priority="414" operator="equal">
      <formula>1</formula>
    </cfRule>
  </conditionalFormatting>
  <conditionalFormatting sqref="P146">
    <cfRule type="containsText" dxfId="0" priority="392" operator="between" text="有">
      <formula>NOT(ISERROR(SEARCH("有",P146)))</formula>
    </cfRule>
  </conditionalFormatting>
  <conditionalFormatting sqref="Q146">
    <cfRule type="cellIs" dxfId="1" priority="393" operator="equal">
      <formula>1</formula>
    </cfRule>
  </conditionalFormatting>
  <conditionalFormatting sqref="P147">
    <cfRule type="containsText" dxfId="0" priority="395" operator="between" text="有">
      <formula>NOT(ISERROR(SEARCH("有",P147)))</formula>
    </cfRule>
  </conditionalFormatting>
  <conditionalFormatting sqref="Q147">
    <cfRule type="cellIs" dxfId="1" priority="396" operator="equal">
      <formula>1</formula>
    </cfRule>
  </conditionalFormatting>
  <conditionalFormatting sqref="P148">
    <cfRule type="containsText" dxfId="0" priority="407" operator="between" text="有">
      <formula>NOT(ISERROR(SEARCH("有",P148)))</formula>
    </cfRule>
  </conditionalFormatting>
  <conditionalFormatting sqref="Q148">
    <cfRule type="cellIs" dxfId="1" priority="408" operator="equal">
      <formula>1</formula>
    </cfRule>
  </conditionalFormatting>
  <conditionalFormatting sqref="P149">
    <cfRule type="containsText" dxfId="0" priority="410" operator="between" text="有">
      <formula>NOT(ISERROR(SEARCH("有",P149)))</formula>
    </cfRule>
  </conditionalFormatting>
  <conditionalFormatting sqref="Q149">
    <cfRule type="cellIs" dxfId="1" priority="411" operator="equal">
      <formula>1</formula>
    </cfRule>
  </conditionalFormatting>
  <conditionalFormatting sqref="P154">
    <cfRule type="containsText" dxfId="0" priority="461" operator="between" text="有">
      <formula>NOT(ISERROR(SEARCH("有",P154)))</formula>
    </cfRule>
  </conditionalFormatting>
  <conditionalFormatting sqref="Q154">
    <cfRule type="cellIs" dxfId="1" priority="462" operator="equal">
      <formula>1</formula>
    </cfRule>
  </conditionalFormatting>
  <conditionalFormatting sqref="P155">
    <cfRule type="containsText" dxfId="0" priority="464" operator="between" text="有">
      <formula>NOT(ISERROR(SEARCH("有",P155)))</formula>
    </cfRule>
  </conditionalFormatting>
  <conditionalFormatting sqref="Q155">
    <cfRule type="cellIs" dxfId="1" priority="465" operator="equal">
      <formula>1</formula>
    </cfRule>
  </conditionalFormatting>
  <conditionalFormatting sqref="P158">
    <cfRule type="containsText" dxfId="0" priority="455" operator="between" text="有">
      <formula>NOT(ISERROR(SEARCH("有",P158)))</formula>
    </cfRule>
  </conditionalFormatting>
  <conditionalFormatting sqref="Q158">
    <cfRule type="cellIs" dxfId="1" priority="456" operator="equal">
      <formula>1</formula>
    </cfRule>
  </conditionalFormatting>
  <conditionalFormatting sqref="P159">
    <cfRule type="containsText" dxfId="0" priority="458" operator="between" text="有">
      <formula>NOT(ISERROR(SEARCH("有",P159)))</formula>
    </cfRule>
  </conditionalFormatting>
  <conditionalFormatting sqref="Q159">
    <cfRule type="cellIs" dxfId="1" priority="459" operator="equal">
      <formula>1</formula>
    </cfRule>
  </conditionalFormatting>
  <conditionalFormatting sqref="P160">
    <cfRule type="containsText" dxfId="0" priority="449" operator="between" text="有">
      <formula>NOT(ISERROR(SEARCH("有",P160)))</formula>
    </cfRule>
  </conditionalFormatting>
  <conditionalFormatting sqref="Q160">
    <cfRule type="cellIs" dxfId="1" priority="450" operator="equal">
      <formula>1</formula>
    </cfRule>
  </conditionalFormatting>
  <conditionalFormatting sqref="P161">
    <cfRule type="containsText" dxfId="0" priority="446" operator="between" text="有">
      <formula>NOT(ISERROR(SEARCH("有",P161)))</formula>
    </cfRule>
  </conditionalFormatting>
  <conditionalFormatting sqref="Q161">
    <cfRule type="cellIs" dxfId="1" priority="447" operator="equal">
      <formula>1</formula>
    </cfRule>
  </conditionalFormatting>
  <conditionalFormatting sqref="P162">
    <cfRule type="containsText" dxfId="0" priority="452" operator="between" text="有">
      <formula>NOT(ISERROR(SEARCH("有",P162)))</formula>
    </cfRule>
  </conditionalFormatting>
  <conditionalFormatting sqref="Q162">
    <cfRule type="cellIs" dxfId="1" priority="453" operator="equal">
      <formula>1</formula>
    </cfRule>
  </conditionalFormatting>
  <conditionalFormatting sqref="P163">
    <cfRule type="containsText" dxfId="0" priority="443" operator="between" text="有">
      <formula>NOT(ISERROR(SEARCH("有",P163)))</formula>
    </cfRule>
  </conditionalFormatting>
  <conditionalFormatting sqref="Q163">
    <cfRule type="cellIs" dxfId="1" priority="444" operator="equal">
      <formula>1</formula>
    </cfRule>
  </conditionalFormatting>
  <conditionalFormatting sqref="P164">
    <cfRule type="containsText" dxfId="0" priority="440" operator="between" text="有">
      <formula>NOT(ISERROR(SEARCH("有",P164)))</formula>
    </cfRule>
  </conditionalFormatting>
  <conditionalFormatting sqref="Q164">
    <cfRule type="cellIs" dxfId="1" priority="441" operator="equal">
      <formula>1</formula>
    </cfRule>
  </conditionalFormatting>
  <conditionalFormatting sqref="P166">
    <cfRule type="containsText" dxfId="0" priority="422" operator="between" text="有">
      <formula>NOT(ISERROR(SEARCH("有",P166)))</formula>
    </cfRule>
  </conditionalFormatting>
  <conditionalFormatting sqref="Q166">
    <cfRule type="cellIs" dxfId="1" priority="423" operator="equal">
      <formula>1</formula>
    </cfRule>
  </conditionalFormatting>
  <conditionalFormatting sqref="P167">
    <cfRule type="containsText" dxfId="0" priority="425" operator="between" text="有">
      <formula>NOT(ISERROR(SEARCH("有",P167)))</formula>
    </cfRule>
  </conditionalFormatting>
  <conditionalFormatting sqref="Q167">
    <cfRule type="cellIs" dxfId="1" priority="426" operator="equal">
      <formula>1</formula>
    </cfRule>
  </conditionalFormatting>
  <conditionalFormatting sqref="P168">
    <cfRule type="containsText" dxfId="0" priority="428" operator="between" text="有">
      <formula>NOT(ISERROR(SEARCH("有",P168)))</formula>
    </cfRule>
  </conditionalFormatting>
  <conditionalFormatting sqref="Q168">
    <cfRule type="cellIs" dxfId="1" priority="429" operator="equal">
      <formula>1</formula>
    </cfRule>
  </conditionalFormatting>
  <conditionalFormatting sqref="P169">
    <cfRule type="containsText" dxfId="0" priority="431" operator="between" text="有">
      <formula>NOT(ISERROR(SEARCH("有",P169)))</formula>
    </cfRule>
  </conditionalFormatting>
  <conditionalFormatting sqref="Q169">
    <cfRule type="cellIs" dxfId="1" priority="432" operator="equal">
      <formula>1</formula>
    </cfRule>
  </conditionalFormatting>
  <conditionalFormatting sqref="P170">
    <cfRule type="containsText" dxfId="0" priority="434" operator="between" text="有">
      <formula>NOT(ISERROR(SEARCH("有",P170)))</formula>
    </cfRule>
  </conditionalFormatting>
  <conditionalFormatting sqref="Q170">
    <cfRule type="cellIs" dxfId="1" priority="435" operator="equal">
      <formula>1</formula>
    </cfRule>
  </conditionalFormatting>
  <conditionalFormatting sqref="P171">
    <cfRule type="containsText" dxfId="0" priority="419" operator="between" text="有">
      <formula>NOT(ISERROR(SEARCH("有",P171)))</formula>
    </cfRule>
  </conditionalFormatting>
  <conditionalFormatting sqref="Q171">
    <cfRule type="cellIs" dxfId="1" priority="420" operator="equal">
      <formula>1</formula>
    </cfRule>
  </conditionalFormatting>
  <conditionalFormatting sqref="P175">
    <cfRule type="containsText" dxfId="0" priority="416" operator="between" text="有">
      <formula>NOT(ISERROR(SEARCH("有",P175)))</formula>
    </cfRule>
  </conditionalFormatting>
  <conditionalFormatting sqref="Q175">
    <cfRule type="cellIs" dxfId="1" priority="417" operator="equal">
      <formula>1</formula>
    </cfRule>
  </conditionalFormatting>
  <conditionalFormatting sqref="F96:F97">
    <cfRule type="containsText" dxfId="0" priority="539" operator="between" text="S">
      <formula>NOT(ISERROR(SEARCH("S",F96)))</formula>
    </cfRule>
  </conditionalFormatting>
  <conditionalFormatting sqref="F98:F101">
    <cfRule type="containsText" dxfId="0" priority="531" operator="between" text="S">
      <formula>NOT(ISERROR(SEARCH("S",F98)))</formula>
    </cfRule>
  </conditionalFormatting>
  <conditionalFormatting sqref="M134:M135">
    <cfRule type="cellIs" dxfId="2" priority="299" operator="equal">
      <formula>"A"</formula>
    </cfRule>
    <cfRule type="containsText" dxfId="0" priority="300" operator="between" text="S">
      <formula>NOT(ISERROR(SEARCH("S",M134)))</formula>
    </cfRule>
  </conditionalFormatting>
  <conditionalFormatting sqref="P134:P135">
    <cfRule type="containsText" dxfId="0" priority="302" operator="between" text="有">
      <formula>NOT(ISERROR(SEARCH("有",P134)))</formula>
    </cfRule>
  </conditionalFormatting>
  <conditionalFormatting sqref="P150:P151">
    <cfRule type="containsText" dxfId="0" priority="467" operator="between" text="有">
      <formula>NOT(ISERROR(SEARCH("有",P150)))</formula>
    </cfRule>
  </conditionalFormatting>
  <conditionalFormatting sqref="P172:P174">
    <cfRule type="containsText" dxfId="0" priority="437" operator="between" text="有">
      <formula>NOT(ISERROR(SEARCH("有",P172)))</formula>
    </cfRule>
  </conditionalFormatting>
  <conditionalFormatting sqref="P177:P178">
    <cfRule type="containsText" dxfId="0" priority="398" operator="between" text="有">
      <formula>NOT(ISERROR(SEARCH("有",P177)))</formula>
    </cfRule>
  </conditionalFormatting>
  <conditionalFormatting sqref="Q96:Q97">
    <cfRule type="cellIs" dxfId="1" priority="541" operator="equal">
      <formula>1</formula>
    </cfRule>
  </conditionalFormatting>
  <conditionalFormatting sqref="Q98:Q101">
    <cfRule type="cellIs" dxfId="1" priority="533" operator="equal">
      <formula>1</formula>
    </cfRule>
  </conditionalFormatting>
  <conditionalFormatting sqref="Q150:Q151">
    <cfRule type="cellIs" dxfId="1" priority="468" operator="equal">
      <formula>1</formula>
    </cfRule>
  </conditionalFormatting>
  <conditionalFormatting sqref="Q172:Q174">
    <cfRule type="cellIs" dxfId="1" priority="438" operator="equal">
      <formula>1</formula>
    </cfRule>
  </conditionalFormatting>
  <conditionalFormatting sqref="Q177:Q178">
    <cfRule type="cellIs" dxfId="1" priority="399" operator="equal">
      <formula>1</formula>
    </cfRule>
  </conditionalFormatting>
  <conditionalFormatting sqref="E17:L18 M11:M14 M16:M18 E10:M10 E36:M36 M41:M42 H43:M43 F43 M34:M35 E48:M48 M45:M46 M83 M86:M91 M62:M75 M92:N92 M138:M180 E138:L139">
    <cfRule type="containsText" dxfId="0" priority="515" operator="between" text="S">
      <formula>NOT(ISERROR(SEARCH("S",E10)))</formula>
    </cfRule>
  </conditionalFormatting>
  <conditionalFormatting sqref="M10:M14 M16:M18 M34:M36 M48 M45:M46 M41:M43 M62:M75 M82:M83 M86:M92 M77:M79 M138:M180 M126:M127">
    <cfRule type="cellIs" dxfId="2" priority="364" operator="equal">
      <formula>"A"</formula>
    </cfRule>
  </conditionalFormatting>
  <conditionalFormatting sqref="P10 P17:P18 P36 P43 P48 P109:P124 P139 P126:P127">
    <cfRule type="containsText" dxfId="0" priority="516" operator="between" text="有">
      <formula>NOT(ISERROR(SEARCH("有",P10)))</formula>
    </cfRule>
  </conditionalFormatting>
  <conditionalFormatting sqref="Q10 Q14 Q16">
    <cfRule type="cellIs" dxfId="1" priority="504" operator="equal">
      <formula>1</formula>
    </cfRule>
  </conditionalFormatting>
  <conditionalFormatting sqref="E11:L11 M95:N108 E103:L108">
    <cfRule type="containsText" dxfId="0" priority="81" operator="between" text="S">
      <formula>NOT(ISERROR(SEARCH("S",E11)))</formula>
    </cfRule>
  </conditionalFormatting>
  <conditionalFormatting sqref="Q11 Q103:Q108">
    <cfRule type="cellIs" dxfId="1" priority="80" operator="equal">
      <formula>1</formula>
    </cfRule>
  </conditionalFormatting>
  <conditionalFormatting sqref="E12:L13">
    <cfRule type="containsText" dxfId="0" priority="230" operator="between" text="S">
      <formula>NOT(ISERROR(SEARCH("S",E12)))</formula>
    </cfRule>
  </conditionalFormatting>
  <conditionalFormatting sqref="E14 G14:L14 G16:L16 E16">
    <cfRule type="containsText" dxfId="0" priority="502" operator="between" text="S">
      <formula>NOT(ISERROR(SEARCH("S",E14)))</formula>
    </cfRule>
  </conditionalFormatting>
  <conditionalFormatting sqref="F14 F16 E41:L41 E46:L46 E34:L35 E62:L73 E126:L127 E109:L124">
    <cfRule type="containsText" dxfId="0" priority="674" operator="between" text="S">
      <formula>NOT(ISERROR(SEARCH("S",E14)))</formula>
    </cfRule>
  </conditionalFormatting>
  <conditionalFormatting sqref="P14 P16">
    <cfRule type="containsText" dxfId="0" priority="503" operator="between" text="有">
      <formula>NOT(ISERROR(SEARCH("有",P14)))</formula>
    </cfRule>
  </conditionalFormatting>
  <conditionalFormatting sqref="E15 G15:L15">
    <cfRule type="containsText" dxfId="0" priority="219" operator="between" text="S">
      <formula>NOT(ISERROR(SEARCH("S",E15)))</formula>
    </cfRule>
  </conditionalFormatting>
  <conditionalFormatting sqref="Q17:Q18 Q36 Q48 Q43 Q109:Q124 Q137:Q139 Q126:Q129 Q133:Q135">
    <cfRule type="cellIs" dxfId="1" priority="517" operator="equal">
      <formula>1</formula>
    </cfRule>
  </conditionalFormatting>
  <conditionalFormatting sqref="P46 P41 P34:P35 P62:P73">
    <cfRule type="containsText" dxfId="0" priority="675" operator="between" text="有">
      <formula>NOT(ISERROR(SEARCH("有",P34)))</formula>
    </cfRule>
  </conditionalFormatting>
  <conditionalFormatting sqref="Q46 Q41 Q34:Q35 Q62:Q73">
    <cfRule type="cellIs" dxfId="1" priority="676" operator="equal">
      <formula>1</formula>
    </cfRule>
  </conditionalFormatting>
  <conditionalFormatting sqref="M38 M94:M124">
    <cfRule type="cellIs" dxfId="2" priority="131" operator="equal">
      <formula>"A"</formula>
    </cfRule>
  </conditionalFormatting>
  <conditionalFormatting sqref="H44 J44:L44 F44">
    <cfRule type="containsText" dxfId="0" priority="226" operator="between" text="S">
      <formula>NOT(ISERROR(SEARCH("S",F44)))</formula>
    </cfRule>
  </conditionalFormatting>
  <conditionalFormatting sqref="E51 G51:L51">
    <cfRule type="containsText" dxfId="0" priority="70" operator="between" text="S">
      <formula>NOT(ISERROR(SEARCH("S",E51)))</formula>
    </cfRule>
  </conditionalFormatting>
  <conditionalFormatting sqref="E52 G52:L52">
    <cfRule type="containsText" dxfId="0" priority="75" operator="between" text="S">
      <formula>NOT(ISERROR(SEARCH("S",E52)))</formula>
    </cfRule>
  </conditionalFormatting>
  <conditionalFormatting sqref="E53 G53:L53">
    <cfRule type="containsText" dxfId="0" priority="260" operator="between" text="S">
      <formula>NOT(ISERROR(SEARCH("S",E53)))</formula>
    </cfRule>
  </conditionalFormatting>
  <conditionalFormatting sqref="E54 G54:L54">
    <cfRule type="containsText" dxfId="0" priority="214" operator="between" text="S">
      <formula>NOT(ISERROR(SEARCH("S",E54)))</formula>
    </cfRule>
  </conditionalFormatting>
  <conditionalFormatting sqref="E55 G55:L55">
    <cfRule type="containsText" dxfId="0" priority="208" operator="between" text="S">
      <formula>NOT(ISERROR(SEARCH("S",E55)))</formula>
    </cfRule>
  </conditionalFormatting>
  <conditionalFormatting sqref="E56 G56:L56">
    <cfRule type="containsText" dxfId="0" priority="202" operator="between" text="S">
      <formula>NOT(ISERROR(SEARCH("S",E56)))</formula>
    </cfRule>
  </conditionalFormatting>
  <conditionalFormatting sqref="E57 G57:L57">
    <cfRule type="containsText" dxfId="0" priority="196" operator="between" text="S">
      <formula>NOT(ISERROR(SEARCH("S",E57)))</formula>
    </cfRule>
  </conditionalFormatting>
  <conditionalFormatting sqref="E58 G58:L58">
    <cfRule type="containsText" dxfId="0" priority="190" operator="between" text="S">
      <formula>NOT(ISERROR(SEARCH("S",E58)))</formula>
    </cfRule>
  </conditionalFormatting>
  <conditionalFormatting sqref="E59 G59:L59">
    <cfRule type="containsText" dxfId="0" priority="184" operator="between" text="S">
      <formula>NOT(ISERROR(SEARCH("S",E59)))</formula>
    </cfRule>
  </conditionalFormatting>
  <conditionalFormatting sqref="E60 G60:L60">
    <cfRule type="containsText" dxfId="0" priority="178" operator="between" text="S">
      <formula>NOT(ISERROR(SEARCH("S",E60)))</formula>
    </cfRule>
  </conditionalFormatting>
  <conditionalFormatting sqref="E61 G61:L61">
    <cfRule type="containsText" dxfId="0" priority="172" operator="between" text="S">
      <formula>NOT(ISERROR(SEARCH("S",E61)))</formula>
    </cfRule>
  </conditionalFormatting>
  <conditionalFormatting sqref="E74:L75 E82:L82 E77:L79">
    <cfRule type="containsText" dxfId="0" priority="499" operator="between" text="S">
      <formula>NOT(ISERROR(SEARCH("S",E74)))</formula>
    </cfRule>
  </conditionalFormatting>
  <conditionalFormatting sqref="P74:P75 P82 P77:P79">
    <cfRule type="containsText" dxfId="0" priority="500" operator="between" text="有">
      <formula>NOT(ISERROR(SEARCH("有",P74)))</formula>
    </cfRule>
  </conditionalFormatting>
  <conditionalFormatting sqref="Q74:Q75 Q82 Q77:Q79">
    <cfRule type="cellIs" dxfId="1" priority="501" operator="equal">
      <formula>1</formula>
    </cfRule>
  </conditionalFormatting>
  <conditionalFormatting sqref="M77:M79 M82 M94 M109:M124 M126:M127">
    <cfRule type="containsText" dxfId="0" priority="366" operator="between" text="S">
      <formula>NOT(ISERROR(SEARCH("S",M77)))</formula>
    </cfRule>
  </conditionalFormatting>
  <conditionalFormatting sqref="E83:L83 E86:L86 E91:L91">
    <cfRule type="containsText" dxfId="0" priority="387" operator="between" text="S">
      <formula>NOT(ISERROR(SEARCH("S",E83)))</formula>
    </cfRule>
  </conditionalFormatting>
  <conditionalFormatting sqref="P83 P86 P91">
    <cfRule type="containsText" dxfId="0" priority="389" operator="between" text="有">
      <formula>NOT(ISERROR(SEARCH("有",P83)))</formula>
    </cfRule>
  </conditionalFormatting>
  <conditionalFormatting sqref="Q83 Q91">
    <cfRule type="cellIs" dxfId="1" priority="390" operator="equal">
      <formula>1</formula>
    </cfRule>
  </conditionalFormatting>
  <conditionalFormatting sqref="E92 G92:L92 E94:L94">
    <cfRule type="containsText" dxfId="0" priority="525" operator="between" text="S">
      <formula>NOT(ISERROR(SEARCH("S",E92)))</formula>
    </cfRule>
  </conditionalFormatting>
  <conditionalFormatting sqref="Q92 Q94">
    <cfRule type="cellIs" dxfId="1" priority="526" operator="equal">
      <formula>1</formula>
    </cfRule>
  </conditionalFormatting>
  <conditionalFormatting sqref="E95 G95:L95">
    <cfRule type="containsText" dxfId="0" priority="536" operator="between" text="S">
      <formula>NOT(ISERROR(SEARCH("S",E95)))</formula>
    </cfRule>
  </conditionalFormatting>
  <conditionalFormatting sqref="E96:E97 G96:L97">
    <cfRule type="containsText" dxfId="0" priority="540" operator="between" text="S">
      <formula>NOT(ISERROR(SEARCH("S",E96)))</formula>
    </cfRule>
  </conditionalFormatting>
  <conditionalFormatting sqref="E98:E101 G98:L101">
    <cfRule type="containsText" dxfId="0" priority="532" operator="between" text="S">
      <formula>NOT(ISERROR(SEARCH("S",E98)))</formula>
    </cfRule>
  </conditionalFormatting>
  <conditionalFormatting sqref="E102 G102:L102">
    <cfRule type="containsText" dxfId="0" priority="528" operator="between" text="S">
      <formula>NOT(ISERROR(SEARCH("S",E102)))</formula>
    </cfRule>
  </conditionalFormatting>
  <conditionalFormatting sqref="E128 G128:L128">
    <cfRule type="containsText" dxfId="0" priority="107" operator="between" text="S">
      <formula>NOT(ISERROR(SEARCH("S",E128)))</formula>
    </cfRule>
  </conditionalFormatting>
  <conditionalFormatting sqref="E129 G129:L129">
    <cfRule type="containsText" dxfId="0" priority="90" operator="between" text="S">
      <formula>NOT(ISERROR(SEARCH("S",E129)))</formula>
    </cfRule>
  </conditionalFormatting>
  <conditionalFormatting sqref="E130 G130:L130">
    <cfRule type="containsText" dxfId="0" priority="50" operator="between" text="S">
      <formula>NOT(ISERROR(SEARCH("S",E130)))</formula>
    </cfRule>
  </conditionalFormatting>
  <conditionalFormatting sqref="E131 G131:L131">
    <cfRule type="containsText" dxfId="0" priority="44" operator="between" text="S">
      <formula>NOT(ISERROR(SEARCH("S",E131)))</formula>
    </cfRule>
  </conditionalFormatting>
  <conditionalFormatting sqref="E132 G132:L132">
    <cfRule type="containsText" dxfId="0" priority="38" operator="between" text="S">
      <formula>NOT(ISERROR(SEARCH("S",E132)))</formula>
    </cfRule>
  </conditionalFormatting>
  <conditionalFormatting sqref="E133 G133:L133">
    <cfRule type="containsText" dxfId="0" priority="96" operator="between" text="S">
      <formula>NOT(ISERROR(SEARCH("S",E133)))</formula>
    </cfRule>
  </conditionalFormatting>
  <conditionalFormatting sqref="E134:L135">
    <cfRule type="containsText" dxfId="0" priority="301" operator="between" text="S">
      <formula>NOT(ISERROR(SEARCH("S",E134)))</formula>
    </cfRule>
  </conditionalFormatting>
  <conditionalFormatting sqref="E152:G153 J152:L153 E156:G157 J156:L157 E165:G165 J165:L165 E140:G140 E176:G176 J176:L176 E179:G180 J179:L180 E145:G145 J145:L145">
    <cfRule type="containsText" dxfId="0" priority="472" operator="between" text="S">
      <formula>NOT(ISERROR(SEARCH("S",E140)))</formula>
    </cfRule>
  </conditionalFormatting>
  <conditionalFormatting sqref="E144:L144 H140:L143 H145:I180">
    <cfRule type="containsText" dxfId="0" priority="412" operator="between" text="S">
      <formula>NOT(ISERROR(SEARCH("S",E140)))</formula>
    </cfRule>
  </conditionalFormatting>
  <conditionalFormatting sqref="P152:P153 P156:P157 P165 P140 P176 P179:P180 P145">
    <cfRule type="containsText" dxfId="0" priority="473" operator="between" text="有">
      <formula>NOT(ISERROR(SEARCH("有",P140)))</formula>
    </cfRule>
  </conditionalFormatting>
  <conditionalFormatting sqref="Q152:Q153 Q156:Q157 Q165 Q140 Q176 Q179:Q180 Q145">
    <cfRule type="cellIs" dxfId="1" priority="474" operator="equal">
      <formula>1</formula>
    </cfRule>
  </conditionalFormatting>
  <conditionalFormatting sqref="E146:G146 J146:L146">
    <cfRule type="containsText" dxfId="0" priority="391" operator="between" text="S">
      <formula>NOT(ISERROR(SEARCH("S",E146)))</formula>
    </cfRule>
  </conditionalFormatting>
  <conditionalFormatting sqref="E147:G147 J147:L147">
    <cfRule type="containsText" dxfId="0" priority="394" operator="between" text="S">
      <formula>NOT(ISERROR(SEARCH("S",E147)))</formula>
    </cfRule>
  </conditionalFormatting>
  <conditionalFormatting sqref="E148:G148 J148:L148">
    <cfRule type="containsText" dxfId="0" priority="406" operator="between" text="S">
      <formula>NOT(ISERROR(SEARCH("S",E148)))</formula>
    </cfRule>
  </conditionalFormatting>
  <conditionalFormatting sqref="E149:G149 J149:L149">
    <cfRule type="containsText" dxfId="0" priority="409" operator="between" text="S">
      <formula>NOT(ISERROR(SEARCH("S",E149)))</formula>
    </cfRule>
  </conditionalFormatting>
  <conditionalFormatting sqref="E150:G151 J150:L151">
    <cfRule type="containsText" dxfId="0" priority="466" operator="between" text="S">
      <formula>NOT(ISERROR(SEARCH("S",E150)))</formula>
    </cfRule>
  </conditionalFormatting>
  <conditionalFormatting sqref="E154:G154 J154:L154">
    <cfRule type="containsText" dxfId="0" priority="460" operator="between" text="S">
      <formula>NOT(ISERROR(SEARCH("S",E154)))</formula>
    </cfRule>
  </conditionalFormatting>
  <conditionalFormatting sqref="E155:G155 J155:L155">
    <cfRule type="containsText" dxfId="0" priority="463" operator="between" text="S">
      <formula>NOT(ISERROR(SEARCH("S",E155)))</formula>
    </cfRule>
  </conditionalFormatting>
  <conditionalFormatting sqref="E158:G158 J158:L158">
    <cfRule type="containsText" dxfId="0" priority="454" operator="between" text="S">
      <formula>NOT(ISERROR(SEARCH("S",E158)))</formula>
    </cfRule>
  </conditionalFormatting>
  <conditionalFormatting sqref="E159:G159 J159:L159">
    <cfRule type="containsText" dxfId="0" priority="457" operator="between" text="S">
      <formula>NOT(ISERROR(SEARCH("S",E159)))</formula>
    </cfRule>
  </conditionalFormatting>
  <conditionalFormatting sqref="E160:G160 J160:L160">
    <cfRule type="containsText" dxfId="0" priority="448" operator="between" text="S">
      <formula>NOT(ISERROR(SEARCH("S",E160)))</formula>
    </cfRule>
  </conditionalFormatting>
  <conditionalFormatting sqref="E161:G161 J161:L161">
    <cfRule type="containsText" dxfId="0" priority="445" operator="between" text="S">
      <formula>NOT(ISERROR(SEARCH("S",E161)))</formula>
    </cfRule>
  </conditionalFormatting>
  <conditionalFormatting sqref="E162:G162 J162:L162">
    <cfRule type="containsText" dxfId="0" priority="451" operator="between" text="S">
      <formula>NOT(ISERROR(SEARCH("S",E162)))</formula>
    </cfRule>
  </conditionalFormatting>
  <conditionalFormatting sqref="E163:G163 J163:L163">
    <cfRule type="containsText" dxfId="0" priority="442" operator="between" text="S">
      <formula>NOT(ISERROR(SEARCH("S",E163)))</formula>
    </cfRule>
  </conditionalFormatting>
  <conditionalFormatting sqref="E164:G164 J164:L164">
    <cfRule type="containsText" dxfId="0" priority="439" operator="between" text="S">
      <formula>NOT(ISERROR(SEARCH("S",E164)))</formula>
    </cfRule>
  </conditionalFormatting>
  <conditionalFormatting sqref="E166:G166 J166:L166">
    <cfRule type="containsText" dxfId="0" priority="421" operator="between" text="S">
      <formula>NOT(ISERROR(SEARCH("S",E166)))</formula>
    </cfRule>
  </conditionalFormatting>
  <conditionalFormatting sqref="E167:G167 J167:L167">
    <cfRule type="containsText" dxfId="0" priority="424" operator="between" text="S">
      <formula>NOT(ISERROR(SEARCH("S",E167)))</formula>
    </cfRule>
  </conditionalFormatting>
  <conditionalFormatting sqref="E168:G168 J168:L168">
    <cfRule type="containsText" dxfId="0" priority="427" operator="between" text="S">
      <formula>NOT(ISERROR(SEARCH("S",E168)))</formula>
    </cfRule>
  </conditionalFormatting>
  <conditionalFormatting sqref="E169:G169 J169:L169">
    <cfRule type="containsText" dxfId="0" priority="430" operator="between" text="S">
      <formula>NOT(ISERROR(SEARCH("S",E169)))</formula>
    </cfRule>
  </conditionalFormatting>
  <conditionalFormatting sqref="E170:G170 J170:L170">
    <cfRule type="containsText" dxfId="0" priority="433" operator="between" text="S">
      <formula>NOT(ISERROR(SEARCH("S",E170)))</formula>
    </cfRule>
  </conditionalFormatting>
  <conditionalFormatting sqref="E171:G171 J171:L171">
    <cfRule type="containsText" dxfId="0" priority="418" operator="between" text="S">
      <formula>NOT(ISERROR(SEARCH("S",E171)))</formula>
    </cfRule>
  </conditionalFormatting>
  <conditionalFormatting sqref="E172:G174 J172:L174">
    <cfRule type="containsText" dxfId="0" priority="436" operator="between" text="S">
      <formula>NOT(ISERROR(SEARCH("S",E172)))</formula>
    </cfRule>
  </conditionalFormatting>
  <conditionalFormatting sqref="E175:G175 J175:L175">
    <cfRule type="containsText" dxfId="0" priority="415" operator="between" text="S">
      <formula>NOT(ISERROR(SEARCH("S",E175)))</formula>
    </cfRule>
  </conditionalFormatting>
  <conditionalFormatting sqref="E177:G178 J177:L178">
    <cfRule type="containsText" dxfId="0" priority="397" operator="between" text="S">
      <formula>NOT(ISERROR(SEARCH("S",E177)))</formula>
    </cfRule>
  </conditionalFormatting>
  <hyperlinks>
    <hyperlink ref="B92" location="'图书-图书基本信息'!A1" display="图书基本信息"/>
    <hyperlink ref="B94" location="图书馆门禁记录!A1" display="图书馆门禁"/>
    <hyperlink ref="B97" location="一卡通商户信息!A1" display="商户信息"/>
    <hyperlink ref="B98" location="一卡通刷卡端口信息!A1" display="刷卡终端(端口)信息"/>
    <hyperlink ref="B99" location="一卡通消费类型信息!A1" display="消费类型信息"/>
    <hyperlink ref="B100" location="一卡通消费信息!A1" display="消费信息"/>
    <hyperlink ref="B101" location="一卡通充值信息!A1" display="充值信息"/>
    <hyperlink ref="B102" location="宿管门禁卡!A1" display="宿舍门禁卡信息"/>
    <hyperlink ref="B95" location="一卡通卡信息!A1" display="卡信息"/>
    <hyperlink ref="B96" location="一卡通持卡人身份!A1" display="持卡人身份"/>
    <hyperlink ref="B103" location="宿管门禁记录!A1" display="宿管门禁记录"/>
    <hyperlink ref="B10" location="校区基本信息!A1" display="校区基本信息"/>
    <hyperlink ref="B16" location="宿舍基本信息!A1" display="宿舍基本信息"/>
    <hyperlink ref="B14" location="宿舍楼基本信息!A1" display="宿舍楼基本信息"/>
    <hyperlink ref="B62" location="论文信息!A1" display="论文信息"/>
    <hyperlink ref="B63" location="论文收录信息!A1" display="论文收录信息"/>
    <hyperlink ref="B64" location="论文转载信息!A1" display="论文转载信息"/>
    <hyperlink ref="B65" location="论文作者信息!A1" display="论文作者信息"/>
    <hyperlink ref="B66" location="纵向项目!A1" display="纵向项目"/>
    <hyperlink ref="B67" location="横向项目!A1" display="横向项目"/>
    <hyperlink ref="B68" location="项目人员信息!A1" display="项目人员信息"/>
    <hyperlink ref="B69" location="专利!A1" display="专利"/>
    <hyperlink ref="B70" location="专利人员信息!A1" display="专利人员"/>
    <hyperlink ref="B71" location="著作!A1" display="著作"/>
    <hyperlink ref="B72" location="著作人员!A1" display="著作人员"/>
    <hyperlink ref="B73" location="获奖成果信息!A1" display="获奖成果信息"/>
    <hyperlink ref="B75" location="鉴定成果信息!A1" display="鉴定成果信息"/>
    <hyperlink ref="B77" location="鉴定成果形式!A1" display="鉴定成果形式"/>
    <hyperlink ref="B74" location="获奖成果人员!A1" display="获奖成果人员"/>
    <hyperlink ref="B34" location="学生奖学金!A1" display="学生奖学金"/>
    <hyperlink ref="B35" location="学生助学金!A1" display="学生助学金"/>
    <hyperlink ref="B36" location="学生贷款信息!A1" display="学生贷款信息"/>
    <hyperlink ref="B41" location="学生评优信息!A1" display="学生评优信息"/>
    <hyperlink ref="B45" location="学生参赛信息!A1" display="学生参赛获奖信息"/>
    <hyperlink ref="B46" location="'学生比赛-参赛学生'!A1" display="学生参赛获奖-学生名单"/>
    <hyperlink ref="B48" location="体能测试!A1" display="学生体测信息"/>
    <hyperlink ref="B42" location="学生资格证书信息!A1" display="学生资格证书/职业技能证书"/>
    <hyperlink ref="B43" location="'扩展信息-证书颁发机构'!A1" display="证书颁发机构"/>
    <hyperlink ref="B139" location="调停课信息!A1" display="调停课信息（涉及多数据来源）"/>
    <hyperlink ref="B140" location="'课堂教学-点名'!A1" display="课堂教学-点名"/>
    <hyperlink ref="B141" location="'课堂教学-点名-学生签到'!A1" display="课堂教学-点名-学生签到"/>
    <hyperlink ref="B142" location="'课堂教学-消息'!A1" display="课堂教学-消息"/>
    <hyperlink ref="B143" location="'课堂教学-消息-学生阅读情况'!A1" display="课堂教学-消息-学生阅读情况"/>
    <hyperlink ref="B144" location="'课堂教学-知识树'!A1" display="课堂教学-知识树"/>
    <hyperlink ref="B145" location="'课堂教学-题库-题干'!A1" display="课堂教学-题库-题干"/>
    <hyperlink ref="B146" location="'课堂教学-题库-选项'!A1" display="课堂教学-题库-选项"/>
    <hyperlink ref="B147" location="'课堂教学-题库-试题组'!A1" display="课堂教学-题库-试题组"/>
    <hyperlink ref="B148" location="'课堂教学-资源'!A1" display="课堂教学-资源"/>
    <hyperlink ref="B149" location="'课堂教学-资源-学生浏览情况'!A1" display="课堂教学-资源-学生浏览情况"/>
    <hyperlink ref="B150" location="'课堂教学-活动总表'!A1" display="课堂教学-活动总表"/>
    <hyperlink ref="B151" location="'课堂教学-活动学生参与情况总表'!A1" display="课堂教学-活动学生参与情况总表"/>
    <hyperlink ref="B153" location="'课堂教学-活动-头脑风暴-评论'!A1" display="课堂教学-活动-头脑风暴-评论"/>
    <hyperlink ref="B154" location="'课堂教学-活动-头脑风暴-评论回复'!A1" display="课堂教学-活动-头脑风暴-评论回复"/>
    <hyperlink ref="B155" location="'课堂教学-活动-头脑风暴-标签'!A1" display="课堂教学-活动-头脑风暴-标签"/>
    <hyperlink ref="B156" location="'课堂教学-活动-随堂测验'!A1" display="课堂教学-活动-随堂测验"/>
    <hyperlink ref="B157" location="'课堂教学-活动-随堂测验-试题'!A1" display="课堂教学-活动-随堂测验-试题"/>
    <hyperlink ref="B158" location="'课堂教学-活动-随堂测验-学生答题'!A1" display="课堂教学-活动-随堂测验-学生答题"/>
    <hyperlink ref="B159" location="'课堂教学-活动-随堂测验-学生答题明细'!A1" display="课堂教学-活动-随堂测验-学生答题明细"/>
    <hyperlink ref="B160" location="'课堂教学-活动-投票问卷-问卷题干'!A1" display="课堂教学-活动-投票问卷-问卷题干"/>
    <hyperlink ref="B161" location="'课堂教学-活动-投票问卷-问卷选项'!A1" display="课堂教学-活动-投票问卷-问卷选项"/>
    <hyperlink ref="B163" location="'课堂教学-活动-答疑讨论-评论'!A1" display="课堂教学-活动-答疑讨论-评论"/>
    <hyperlink ref="B164" location="'课堂教学-活动-答疑讨论-评论回复'!A1" display="课堂教学-活动-答疑讨论-评论回复"/>
    <hyperlink ref="B165" location="'课堂教学-活动-答疑讨论-评论收藏'!A1" display="课堂教学-活动-答疑讨论-评论收藏"/>
    <hyperlink ref="B166" location="'课堂教学-活动-作业任务'!A1" display="课堂教学-活动-作业任务"/>
    <hyperlink ref="B167" location="'课堂教学-活动-作业任务-评分点'!A1" display="课堂教学-活动-作业任务-评分点"/>
    <hyperlink ref="B168" location="'课堂教学-活动-作业任务-小组'!A1" display="课堂教学-活动-作业任务-小组"/>
    <hyperlink ref="B169" location="'课堂教学-活动-作业任务-小组人员'!A1" display="课堂教学-活动-作业任务-小组人员"/>
    <hyperlink ref="B170" location="'课堂教学-活动-作业任务-学生作业'!A1" display="课堂教学-活动-作业任务-学生作业"/>
    <hyperlink ref="B171" location="'课堂教学-活动-作业任务-学生作业附件'!A1" display="课堂教学-活动-作业任务-学生作业附件"/>
    <hyperlink ref="B172" location="'课堂教学-活动-作业任务-学生作业提交日志'!A1" display="课堂教学-活动-作业任务-学生作业提交日志"/>
    <hyperlink ref="B175" location="'课堂教学-活动-作业任务-学生作业评价'!A1" display="课堂教学-活动-作业任务-学生作业评价"/>
    <hyperlink ref="B176" location="'课堂教学-活动-作业任务-学生作业评价点赞'!A1" display="课堂教学-活动-作业任务-学生作业评价点赞"/>
    <hyperlink ref="B177" location="'课堂教学-活动-小组评价'!A1" display="课堂教学-活动-小组评价"/>
    <hyperlink ref="B178" location="'课堂教学-活动-小组评价-小组人员'!A1" display="课堂教学-活动-小组评价-小组人员"/>
    <hyperlink ref="B179" location="'课堂教学-活动-电子白板'!A1" display="课堂教学-活动-电子白板"/>
    <hyperlink ref="B180" location="'课堂教学-活动-评分'!A1" display="课堂教学-活动-评分"/>
    <hyperlink ref="B152" location="'课堂教学-活动-即时问答-选项'!A1" display="课堂教学-活动-即时问答-选项"/>
    <hyperlink ref="B162" location="'课堂教学-活动-投票问卷-学生投票'!A1" display="课堂教学-活动-投票问卷-学生投票"/>
    <hyperlink ref="B173" location="'课堂教学-活动-作业任务-学生作业评分'!A1" display="课堂教学-活动-作业任务-学生作业评分"/>
    <hyperlink ref="B174" location="'课堂教学-活动-作业任务-学生作业评分明细'!A1" display="课堂教学-活动-作业任务-学生作业评分明细"/>
    <hyperlink ref="B109" location="'GXZC01 学校用地'!A1" display="学校用地"/>
    <hyperlink ref="B110" location="'GXZC0201 建筑物基本数据'!A1" display="建筑物基本数据"/>
    <hyperlink ref="B111" location="'GXZC0202 建筑物房间'!A1" display="建筑物房间"/>
    <hyperlink ref="B112" location="'GXZC0203 建筑物修缮子类'!A1" display="建筑物修缮"/>
    <hyperlink ref="B113" location="'GXZC0401 实验室基本数据'!A1" display="实验室基本数据"/>
    <hyperlink ref="B114" location="'JCBX0203 学校设施'!A1" display="学校设施"/>
    <hyperlink ref="B115" location="'GXZC0402 实验室运行'!A1" display="实验室运行"/>
    <hyperlink ref="B116" location="'GXZC0403 实验室人员'!A1" display="实验室人员"/>
    <hyperlink ref="B117" location="'GXZC0404 实验室评估'!A1" display="实验室评估"/>
    <hyperlink ref="B118" location="'GXZC0405 实验项目'!A1" display="实验项目"/>
    <hyperlink ref="B119" location="'GXZC0501 (JCBX0301) 仪器设备基本数据'!A1" display="仪器设备基本数据"/>
    <hyperlink ref="B120" location="'GXZC0502（JCBX0302 ） 仪器设备附件'!A1" display="仪器设备附件"/>
    <hyperlink ref="B121" location="'GXZC0503(JCBX0303 ) 仪器设备管理'!A1" display="仪器设备管理"/>
    <hyperlink ref="B122" location="'GXZC0504 精密贵重仪器设备'!A1" display="精密贵重仪器设备"/>
    <hyperlink ref="B123" location="'GXZC0505 仪器设备维修'!A1" display="仪器设备维修"/>
    <hyperlink ref="B124" location="'GXZC0506 仪器设备报损、报废'!A1" display="仪器设备报损、报废"/>
    <hyperlink ref="B126" location="'GXZC0507(JCBX0305) 软件资源'!A1" display="软件资源"/>
    <hyperlink ref="B83" location="'招生-招生计划'!A1" display="招生计划（统招、单招）"/>
    <hyperlink ref="B86" location="'新生录取报到-统招'!A1" display="新生录取报到-统招（v1.3.3废弃）"/>
    <hyperlink ref="B87" location="'新生录取报到-统招高考成绩'!A1" display="新生录取报到-统招高考成绩"/>
    <hyperlink ref="B88" location="'新生录取报到-统招批次分数线'!A1" display="新生录取报到-统招批次分数线"/>
    <hyperlink ref="B91" location="就业信息表!A1" display="就业信息表"/>
    <hyperlink ref="B90" location="'新生录取报到-非统招'!A1" display="新生录取报到-非统招（v1.3.3废弃）"/>
    <hyperlink ref="B89" location="'新生录取报到-统招一分一段表'!A1" display="新生录取报到-统招一分一段表"/>
    <hyperlink ref="B82" location="部门科研得分!A1" display="部门科研得分"/>
    <hyperlink ref="B76" location="鉴定成果成员!A1" display="鉴定成果成员"/>
    <hyperlink ref="B18" location="专业群与专业关联信息!A1" display="专业群与专业关联信息"/>
    <hyperlink ref="B17" location="专业群基本信息!A1" display="专业群基本信息"/>
    <hyperlink ref="B19" location="教师技能证书表!A1" display="教师技能证书表"/>
    <hyperlink ref="B20" location="教师参赛获奖信息!A1" display="教师参赛获奖信息"/>
    <hyperlink ref="B22" location="行政获奖信息表!A1" display="行政获奖信息表"/>
    <hyperlink ref="B23" location="培训进修记录!A1" display="培训进修记录"/>
    <hyperlink ref="B33" location="教师国境外访学!A1" display="教师访学"/>
    <hyperlink ref="B24" location="社会实践记录表!A1" display="社会实践记录表"/>
    <hyperlink ref="B137" location="历次考试成绩表!A1" display="历次考试成绩表"/>
    <hyperlink ref="B21" location="教师参赛成员!A1" display="教师参赛成员"/>
    <hyperlink ref="B25" location="挂职锻炼表!A1" display="工作经历表"/>
    <hyperlink ref="B31" location="出版教材参编人员!A1" display="出版教材参编人员"/>
    <hyperlink ref="B30" location="出版教材表!A1" display="出版教材表"/>
    <hyperlink ref="B53" location="'顶岗实习-学生实习信息'!A1" display="顶岗实习-学生实习信息"/>
    <hyperlink ref="B29" location="名师团队成员表!A1" display="名师团队成员表"/>
    <hyperlink ref="B47" location="'学生比赛-指导教师'!A1" display="学生参赛获奖-指导教师"/>
    <hyperlink ref="B12" location="教研团队!A1" display="组织机构-教研团队"/>
    <hyperlink ref="B13" location="'教研团队-成员'!A1" display="组织机构-教研团队-成员"/>
    <hyperlink ref="B44" location="'扩展信息 - 职业技能鉴定记录'!A1" display="职业技能鉴定记录"/>
    <hyperlink ref="B15" location="'宿舍楼-管理员'!A1" display="宿舍楼-管理员"/>
    <hyperlink ref="B54" location="'顶岗实习-实习批次'!A1" display="顶岗实习-学生实习批次"/>
    <hyperlink ref="B55" location="'顶岗实习-学生考勤信息'!A1" display="顶岗实习-学生考勤信息"/>
    <hyperlink ref="B56" location="'顶岗实习-学生考勤统计'!A1" display="顶岗实习-学生考勤统计"/>
    <hyperlink ref="B57" location="'顶岗实习-班级考勤统计'!A1" display="顶岗实习-班级考勤统计"/>
    <hyperlink ref="B58" location="'顶岗实习-学生请假信息'!A1" display="顶岗实习-学生请假信息"/>
    <hyperlink ref="B59" location="'顶岗实习-学生实习总结'!A1" display="顶岗实习-学生实习总结"/>
    <hyperlink ref="B60" location="'顶岗实习-学生实习汇报'!A1" display="顶岗实习-学生实习汇报"/>
    <hyperlink ref="B61" location="'顶岗实习-实习单位'!A1" display="顶岗实习-实习单位"/>
    <hyperlink ref="B49" location="学生心理健康信息!A1" display="学生心理健康信息"/>
    <hyperlink ref="B39" location="勤工助学信息!A1" display="勤工助学信息"/>
    <hyperlink ref="B40" location="违纪处分!A1" display="学生违纪处分"/>
    <hyperlink ref="B38" location="困难补助信息!A1" display="学生困难补助"/>
    <hyperlink ref="B37" location="困难生信息!A1" display="困难生信息"/>
    <hyperlink ref="B50" location="学生历次心理健康测试信息!A1" display="学生历次心理健康测试信息"/>
    <hyperlink ref="B26" location="挂职锻炼表!A1" display="挂职锻炼表"/>
    <hyperlink ref="B128" location="'校企合作-合作企业'!A1" display="校企合作-合作企业"/>
    <hyperlink ref="B125" location="仪器设备捐赠!A1" display="仪器设备捐赠"/>
    <hyperlink ref="B133" location="企业接受毕业生!A1" display="企业接收毕业生"/>
    <hyperlink ref="B129" location="企业订单培养!A1" display="企业订单培养"/>
    <hyperlink ref="B11" location="'组织机构-教研室-课程'!A1" display="组织机构-教研室-课程"/>
    <hyperlink ref="B52" location="学生床位变动信息!A1" display="学生床位变动信息"/>
    <hyperlink ref="B51" location="床位基本信息!A1" display="床位基本信息"/>
    <hyperlink ref="B85" location="迎新报到表!A1" display="迎新报到"/>
    <hyperlink ref="B84" location="招生录取表!A1" display="招生录取"/>
    <hyperlink ref="B130" location="'企业订单培养-学生'!A1" display="企业订单培养-学生"/>
    <hyperlink ref="B131" location="学徒制培养!A1" display="学徒制培养"/>
    <hyperlink ref="B132" location="'学徒制培养-学生'!A1" display="学徒制培养-学生"/>
    <hyperlink ref="B32" location="出版教材支撑课程!A1" display="出版教材支撑课程"/>
    <hyperlink ref="B80" location="技术服务到款!A1" display="技术服务到款"/>
    <hyperlink ref="B81" location="专利转化到款!A1" display="专利转化到款"/>
    <hyperlink ref="B27" location="名师信息表!A1" display="名师信息表"/>
    <hyperlink ref="B28" location="名师团队表!A1" display="名师团队表"/>
    <hyperlink ref="B136" location="综合成绩表!A1" display="综合成绩表"/>
    <hyperlink ref="B134" location="学生选课信息!A1" display="学生选课信息"/>
    <hyperlink ref="B135" location="学生选课学分统计!A1" display="学生选课学分统计"/>
    <hyperlink ref="B93" location="'图书-图书借阅基本信息'!A1" display="图书借阅基本信息"/>
    <hyperlink ref="B127" location="固定资产基础表!A1" display="固定资产基础表"/>
    <hyperlink ref="B104" location="校园门禁卡信息!A1" display="校园门禁卡信息"/>
    <hyperlink ref="B105" location="校园门禁点信息!A1" display="校园门禁点信息"/>
    <hyperlink ref="B106" location="校园门禁设备信息!A1" display="校园门禁设备信息"/>
    <hyperlink ref="B107" location="校园门禁读卡器信息!A1" display="校园门禁读卡器信息"/>
    <hyperlink ref="B108" location="校园门禁记录!A1" display="校园门禁记录"/>
    <hyperlink ref="B78" location="文艺作品!A1" display="文艺作品"/>
    <hyperlink ref="B79" location="文艺作品成员!A1" display="文艺作品成员"/>
  </hyperlinks>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zoomScale="85" zoomScaleNormal="85" topLeftCell="A10" workbookViewId="0">
      <selection activeCell="E11" sqref="E1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2.8333333333333" style="23" customWidth="1"/>
    <col min="10" max="10" width="10.8333333333333" style="23"/>
    <col min="11" max="11" width="20.8333333333333" style="23" customWidth="1"/>
    <col min="12" max="16384" width="10.8333333333333" style="23"/>
  </cols>
  <sheetData>
    <row r="1" customHeight="1" spans="1:8">
      <c r="A1" s="1" t="s">
        <v>223</v>
      </c>
      <c r="B1" s="2" t="s">
        <v>224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227</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245</v>
      </c>
      <c r="H11" s="11"/>
    </row>
    <row r="12" customHeight="1" spans="1:11">
      <c r="A12" s="10">
        <f>ROW(A12)-10</f>
        <v>2</v>
      </c>
      <c r="B12" s="171" t="s">
        <v>242</v>
      </c>
      <c r="C12" s="25" t="s">
        <v>246</v>
      </c>
      <c r="D12" s="113" t="s">
        <v>246</v>
      </c>
      <c r="E12" s="25" t="s">
        <v>247</v>
      </c>
      <c r="F12" s="11"/>
      <c r="G12" s="10" t="s">
        <v>248</v>
      </c>
      <c r="H12" s="11"/>
      <c r="I12" s="206" t="s">
        <v>249</v>
      </c>
      <c r="J12" s="201" t="s">
        <v>247</v>
      </c>
      <c r="K12" s="206"/>
    </row>
    <row r="13" customHeight="1" spans="1:11">
      <c r="A13" s="10">
        <f t="shared" ref="A13:A25" si="0">ROW(A13)-10</f>
        <v>3</v>
      </c>
      <c r="B13" s="171" t="s">
        <v>242</v>
      </c>
      <c r="C13" s="25" t="s">
        <v>250</v>
      </c>
      <c r="D13" s="113" t="s">
        <v>251</v>
      </c>
      <c r="E13" s="25" t="s">
        <v>252</v>
      </c>
      <c r="F13" s="11"/>
      <c r="G13" s="10" t="s">
        <v>248</v>
      </c>
      <c r="H13" s="11"/>
      <c r="I13" s="206" t="s">
        <v>253</v>
      </c>
      <c r="J13" s="206" t="s">
        <v>243</v>
      </c>
      <c r="K13" s="206"/>
    </row>
    <row r="14" customHeight="1" spans="1:11">
      <c r="A14" s="10">
        <f t="shared" si="0"/>
        <v>4</v>
      </c>
      <c r="B14" s="171" t="s">
        <v>242</v>
      </c>
      <c r="C14" s="25" t="s">
        <v>254</v>
      </c>
      <c r="D14" s="113" t="s">
        <v>255</v>
      </c>
      <c r="E14" s="25" t="s">
        <v>256</v>
      </c>
      <c r="F14" s="11" t="s">
        <v>257</v>
      </c>
      <c r="G14" s="10" t="s">
        <v>248</v>
      </c>
      <c r="H14" s="11"/>
      <c r="I14" s="206" t="s">
        <v>258</v>
      </c>
      <c r="J14" s="206" t="s">
        <v>243</v>
      </c>
      <c r="K14" s="206"/>
    </row>
    <row r="15" ht="51.75" spans="1:11">
      <c r="A15" s="10">
        <f t="shared" si="0"/>
        <v>5</v>
      </c>
      <c r="B15" s="171" t="s">
        <v>242</v>
      </c>
      <c r="C15" s="25" t="s">
        <v>259</v>
      </c>
      <c r="D15" s="113" t="s">
        <v>260</v>
      </c>
      <c r="E15" s="25" t="s">
        <v>261</v>
      </c>
      <c r="F15" s="97" t="s">
        <v>262</v>
      </c>
      <c r="G15" s="10" t="s">
        <v>263</v>
      </c>
      <c r="H15" s="11"/>
      <c r="I15" s="206" t="s">
        <v>264</v>
      </c>
      <c r="J15" s="206" t="s">
        <v>265</v>
      </c>
      <c r="K15" s="206" t="s">
        <v>261</v>
      </c>
    </row>
    <row r="16" customHeight="1" spans="1:11">
      <c r="A16" s="10">
        <f t="shared" si="0"/>
        <v>6</v>
      </c>
      <c r="B16" s="171" t="s">
        <v>242</v>
      </c>
      <c r="C16" s="25" t="s">
        <v>266</v>
      </c>
      <c r="D16" s="113" t="s">
        <v>266</v>
      </c>
      <c r="E16" s="25" t="s">
        <v>267</v>
      </c>
      <c r="F16" s="11"/>
      <c r="G16" s="10" t="s">
        <v>248</v>
      </c>
      <c r="H16" s="11"/>
      <c r="I16" s="206"/>
      <c r="J16" s="206"/>
      <c r="K16" s="206"/>
    </row>
    <row r="17" customHeight="1" spans="1:11">
      <c r="A17" s="10">
        <f t="shared" si="0"/>
        <v>7</v>
      </c>
      <c r="B17" s="171" t="s">
        <v>242</v>
      </c>
      <c r="C17" s="25" t="s">
        <v>268</v>
      </c>
      <c r="D17" s="113" t="s">
        <v>268</v>
      </c>
      <c r="E17" s="25" t="s">
        <v>269</v>
      </c>
      <c r="F17" s="11" t="s">
        <v>270</v>
      </c>
      <c r="G17" s="10" t="s">
        <v>263</v>
      </c>
      <c r="H17" s="97"/>
      <c r="I17" s="206" t="s">
        <v>264</v>
      </c>
      <c r="J17" s="206" t="s">
        <v>265</v>
      </c>
      <c r="K17" s="206" t="s">
        <v>269</v>
      </c>
    </row>
    <row r="18" customHeight="1" spans="1:8">
      <c r="A18" s="10">
        <f t="shared" si="0"/>
        <v>8</v>
      </c>
      <c r="B18" s="171"/>
      <c r="C18" s="25" t="s">
        <v>271</v>
      </c>
      <c r="D18" s="113" t="s">
        <v>271</v>
      </c>
      <c r="E18" s="25" t="s">
        <v>272</v>
      </c>
      <c r="F18" s="97"/>
      <c r="G18" s="10" t="s">
        <v>273</v>
      </c>
      <c r="H18" s="216"/>
    </row>
    <row r="19" customHeight="1" spans="1:8">
      <c r="A19" s="10">
        <f t="shared" si="0"/>
        <v>9</v>
      </c>
      <c r="B19" s="171" t="s">
        <v>242</v>
      </c>
      <c r="C19" s="25" t="s">
        <v>274</v>
      </c>
      <c r="D19" s="113" t="s">
        <v>274</v>
      </c>
      <c r="E19" s="25" t="s">
        <v>275</v>
      </c>
      <c r="F19" s="11"/>
      <c r="G19" s="10" t="s">
        <v>273</v>
      </c>
      <c r="H19" s="97"/>
    </row>
    <row r="20" customHeight="1" spans="1:8">
      <c r="A20" s="10">
        <f t="shared" si="0"/>
        <v>10</v>
      </c>
      <c r="B20" s="171"/>
      <c r="C20" s="25" t="s">
        <v>276</v>
      </c>
      <c r="D20" s="113" t="s">
        <v>276</v>
      </c>
      <c r="E20" s="25" t="s">
        <v>277</v>
      </c>
      <c r="F20" s="11"/>
      <c r="G20" s="10" t="s">
        <v>273</v>
      </c>
      <c r="H20" s="97"/>
    </row>
    <row r="21" customHeight="1" spans="1:8">
      <c r="A21" s="10">
        <f t="shared" si="0"/>
        <v>11</v>
      </c>
      <c r="B21" s="171" t="s">
        <v>242</v>
      </c>
      <c r="C21" s="25" t="s">
        <v>278</v>
      </c>
      <c r="D21" s="113" t="s">
        <v>278</v>
      </c>
      <c r="E21" s="25" t="s">
        <v>279</v>
      </c>
      <c r="F21" s="11"/>
      <c r="G21" s="10" t="s">
        <v>273</v>
      </c>
      <c r="H21" s="97"/>
    </row>
    <row r="22" customHeight="1" spans="1:8">
      <c r="A22" s="10">
        <f t="shared" si="0"/>
        <v>12</v>
      </c>
      <c r="B22" s="171"/>
      <c r="C22" s="25" t="s">
        <v>280</v>
      </c>
      <c r="D22" s="113" t="s">
        <v>280</v>
      </c>
      <c r="E22" s="25" t="s">
        <v>281</v>
      </c>
      <c r="F22" s="11"/>
      <c r="G22" s="10" t="s">
        <v>282</v>
      </c>
      <c r="H22" s="97"/>
    </row>
    <row r="23" customHeight="1" spans="1:8">
      <c r="A23" s="10">
        <f t="shared" si="0"/>
        <v>13</v>
      </c>
      <c r="B23" s="18"/>
      <c r="C23" s="25" t="s">
        <v>283</v>
      </c>
      <c r="D23" s="113" t="s">
        <v>283</v>
      </c>
      <c r="E23" s="25" t="s">
        <v>284</v>
      </c>
      <c r="F23" s="11"/>
      <c r="G23" s="10" t="s">
        <v>248</v>
      </c>
      <c r="H23" s="97"/>
    </row>
    <row r="24" customHeight="1" spans="1:8">
      <c r="A24" s="10">
        <f t="shared" si="0"/>
        <v>14</v>
      </c>
      <c r="B24" s="171" t="s">
        <v>242</v>
      </c>
      <c r="C24" s="25" t="s">
        <v>285</v>
      </c>
      <c r="D24" s="113" t="s">
        <v>285</v>
      </c>
      <c r="E24" s="25" t="s">
        <v>286</v>
      </c>
      <c r="F24" s="11"/>
      <c r="G24" s="10" t="s">
        <v>282</v>
      </c>
      <c r="H24" s="97"/>
    </row>
    <row r="25" customHeight="1" spans="1:8">
      <c r="A25" s="10">
        <f t="shared" si="0"/>
        <v>15</v>
      </c>
      <c r="B25" s="18"/>
      <c r="C25" s="25" t="s">
        <v>287</v>
      </c>
      <c r="D25" s="113" t="s">
        <v>287</v>
      </c>
      <c r="E25" s="25" t="s">
        <v>288</v>
      </c>
      <c r="F25" s="11"/>
      <c r="G25" s="10" t="s">
        <v>282</v>
      </c>
      <c r="H25"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zoomScale="85" zoomScaleNormal="85" workbookViewId="0">
      <selection activeCell="E4" sqref="$A1:$XFD104857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28.675" style="23" customWidth="1"/>
    <col min="9" max="9" width="22" style="23" customWidth="1"/>
    <col min="10" max="11" width="24.3333333333333" style="23" customWidth="1"/>
    <col min="12" max="16384" width="10.8333333333333" style="23"/>
  </cols>
  <sheetData>
    <row r="1" customHeight="1" spans="1:8">
      <c r="A1" s="1" t="s">
        <v>223</v>
      </c>
      <c r="B1" s="2" t="s">
        <v>289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290</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245</v>
      </c>
      <c r="H11" s="11"/>
    </row>
    <row r="12" customHeight="1" spans="1:10">
      <c r="A12" s="10">
        <f>ROW(A12)-10</f>
        <v>2</v>
      </c>
      <c r="B12" s="171" t="s">
        <v>242</v>
      </c>
      <c r="C12" s="25" t="s">
        <v>246</v>
      </c>
      <c r="D12" s="113" t="s">
        <v>246</v>
      </c>
      <c r="E12" s="25" t="s">
        <v>247</v>
      </c>
      <c r="F12" s="11"/>
      <c r="G12" s="10" t="s">
        <v>248</v>
      </c>
      <c r="H12" s="11"/>
      <c r="I12" s="206" t="s">
        <v>249</v>
      </c>
      <c r="J12" s="201" t="s">
        <v>247</v>
      </c>
    </row>
    <row r="13" customHeight="1" spans="1:10">
      <c r="A13" s="10">
        <f t="shared" ref="A13:A18" si="0">ROW(A13)-10</f>
        <v>3</v>
      </c>
      <c r="B13" s="171" t="s">
        <v>242</v>
      </c>
      <c r="C13" s="25" t="s">
        <v>250</v>
      </c>
      <c r="D13" s="113" t="s">
        <v>251</v>
      </c>
      <c r="E13" s="25" t="s">
        <v>252</v>
      </c>
      <c r="F13" s="11"/>
      <c r="G13" s="10" t="s">
        <v>291</v>
      </c>
      <c r="H13" s="11"/>
      <c r="I13" s="206" t="s">
        <v>253</v>
      </c>
      <c r="J13" s="206" t="s">
        <v>243</v>
      </c>
    </row>
    <row r="14" customHeight="1" spans="1:11">
      <c r="A14" s="10">
        <f t="shared" si="0"/>
        <v>4</v>
      </c>
      <c r="B14" s="171" t="s">
        <v>242</v>
      </c>
      <c r="C14" s="25" t="s">
        <v>292</v>
      </c>
      <c r="D14" s="113" t="s">
        <v>292</v>
      </c>
      <c r="E14" s="25" t="s">
        <v>293</v>
      </c>
      <c r="F14" s="11" t="s">
        <v>294</v>
      </c>
      <c r="G14" s="10" t="s">
        <v>263</v>
      </c>
      <c r="H14" s="11"/>
      <c r="I14" s="206" t="s">
        <v>264</v>
      </c>
      <c r="J14" s="206" t="s">
        <v>265</v>
      </c>
      <c r="K14" s="23" t="s">
        <v>293</v>
      </c>
    </row>
    <row r="15" customHeight="1" spans="1:8">
      <c r="A15" s="10">
        <f t="shared" si="0"/>
        <v>5</v>
      </c>
      <c r="B15" s="171" t="s">
        <v>242</v>
      </c>
      <c r="C15" s="25" t="s">
        <v>295</v>
      </c>
      <c r="D15" s="113" t="s">
        <v>295</v>
      </c>
      <c r="E15" s="25" t="s">
        <v>296</v>
      </c>
      <c r="F15" s="11"/>
      <c r="G15" s="10" t="s">
        <v>273</v>
      </c>
      <c r="H15" s="11"/>
    </row>
    <row r="16" customHeight="1" spans="1:8">
      <c r="A16" s="10">
        <f t="shared" si="0"/>
        <v>6</v>
      </c>
      <c r="B16" s="171" t="s">
        <v>242</v>
      </c>
      <c r="C16" s="25" t="s">
        <v>297</v>
      </c>
      <c r="D16" s="113" t="s">
        <v>298</v>
      </c>
      <c r="E16" s="25" t="s">
        <v>299</v>
      </c>
      <c r="F16" s="11"/>
      <c r="G16" s="10" t="s">
        <v>282</v>
      </c>
      <c r="H16" s="11"/>
    </row>
    <row r="17" customHeight="1" spans="1:8">
      <c r="A17" s="10">
        <f t="shared" si="0"/>
        <v>7</v>
      </c>
      <c r="B17" s="171" t="s">
        <v>242</v>
      </c>
      <c r="C17" s="25" t="s">
        <v>300</v>
      </c>
      <c r="D17" s="113" t="s">
        <v>301</v>
      </c>
      <c r="E17" s="25" t="s">
        <v>302</v>
      </c>
      <c r="F17" s="11"/>
      <c r="G17" s="10" t="s">
        <v>303</v>
      </c>
      <c r="H17" s="97"/>
    </row>
    <row r="18" customHeight="1" spans="1:8">
      <c r="A18" s="10">
        <f t="shared" si="0"/>
        <v>8</v>
      </c>
      <c r="B18" s="18" t="s">
        <v>242</v>
      </c>
      <c r="C18" s="25" t="s">
        <v>283</v>
      </c>
      <c r="D18" s="113" t="s">
        <v>283</v>
      </c>
      <c r="E18" s="25" t="s">
        <v>286</v>
      </c>
      <c r="F18" s="11"/>
      <c r="G18" s="10" t="s">
        <v>282</v>
      </c>
      <c r="H18" s="216"/>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opLeftCell="A8" workbookViewId="0">
      <selection activeCell="F21" sqref="F2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28.675" style="23" customWidth="1"/>
    <col min="9" max="9" width="22" style="23" customWidth="1"/>
    <col min="10" max="11" width="24.3333333333333" style="23" customWidth="1"/>
    <col min="12" max="16384" width="10.8333333333333" style="23"/>
  </cols>
  <sheetData>
    <row r="1" s="23" customFormat="1" customHeight="1" spans="1:8">
      <c r="A1" s="1" t="s">
        <v>223</v>
      </c>
      <c r="B1" s="2" t="s">
        <v>304</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305</v>
      </c>
      <c r="F4" s="11"/>
      <c r="G4" s="11"/>
      <c r="H4" s="11"/>
    </row>
    <row r="5" s="23" customFormat="1" customHeight="1" spans="1:8">
      <c r="A5" s="10">
        <v>2</v>
      </c>
      <c r="B5" s="10" t="s">
        <v>228</v>
      </c>
      <c r="C5" s="10"/>
      <c r="D5" s="10"/>
      <c r="E5" s="11"/>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232</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6" t="s">
        <v>237</v>
      </c>
      <c r="E10" s="17" t="s">
        <v>238</v>
      </c>
      <c r="F10" s="14" t="s">
        <v>239</v>
      </c>
      <c r="G10" s="14" t="s">
        <v>240</v>
      </c>
      <c r="H10" s="14" t="s">
        <v>241</v>
      </c>
    </row>
    <row r="11" s="23" customFormat="1" customHeight="1" spans="1:8">
      <c r="A11" s="10">
        <f t="shared" ref="A11:A19" si="0">ROW(A11)-10</f>
        <v>1</v>
      </c>
      <c r="B11" s="18" t="s">
        <v>242</v>
      </c>
      <c r="C11" s="139" t="s">
        <v>243</v>
      </c>
      <c r="D11" s="139" t="s">
        <v>243</v>
      </c>
      <c r="E11" s="25" t="s">
        <v>243</v>
      </c>
      <c r="F11" s="11" t="s">
        <v>244</v>
      </c>
      <c r="G11" s="139" t="s">
        <v>306</v>
      </c>
      <c r="H11" s="11"/>
    </row>
    <row r="12" s="23" customFormat="1" customHeight="1" spans="1:10">
      <c r="A12" s="10">
        <f t="shared" si="0"/>
        <v>2</v>
      </c>
      <c r="B12" s="171"/>
      <c r="C12" s="139" t="s">
        <v>246</v>
      </c>
      <c r="D12" s="139" t="s">
        <v>246</v>
      </c>
      <c r="E12" s="25" t="s">
        <v>247</v>
      </c>
      <c r="F12" s="11"/>
      <c r="G12" s="139" t="s">
        <v>248</v>
      </c>
      <c r="H12" s="11"/>
      <c r="I12" s="206"/>
      <c r="J12" s="201"/>
    </row>
    <row r="13" s="23" customFormat="1" customHeight="1" spans="1:10">
      <c r="A13" s="10">
        <f t="shared" si="0"/>
        <v>3</v>
      </c>
      <c r="B13" s="171"/>
      <c r="C13" s="139" t="s">
        <v>307</v>
      </c>
      <c r="D13" s="139" t="s">
        <v>307</v>
      </c>
      <c r="E13" s="25" t="s">
        <v>308</v>
      </c>
      <c r="F13" s="11"/>
      <c r="G13" s="139" t="s">
        <v>248</v>
      </c>
      <c r="H13" s="11"/>
      <c r="I13" s="206"/>
      <c r="J13" s="206"/>
    </row>
    <row r="14" s="23" customFormat="1" customHeight="1" spans="1:10">
      <c r="A14" s="10">
        <f t="shared" si="0"/>
        <v>4</v>
      </c>
      <c r="B14" s="171"/>
      <c r="C14" s="139" t="s">
        <v>309</v>
      </c>
      <c r="D14" s="139" t="s">
        <v>309</v>
      </c>
      <c r="E14" s="25" t="s">
        <v>310</v>
      </c>
      <c r="F14" s="11"/>
      <c r="G14" s="139" t="s">
        <v>248</v>
      </c>
      <c r="H14" s="11"/>
      <c r="I14" s="206"/>
      <c r="J14" s="206"/>
    </row>
    <row r="15" s="23" customFormat="1" customHeight="1" spans="1:8">
      <c r="A15" s="10">
        <f t="shared" si="0"/>
        <v>5</v>
      </c>
      <c r="B15" s="171"/>
      <c r="C15" s="139" t="s">
        <v>311</v>
      </c>
      <c r="D15" s="139" t="s">
        <v>311</v>
      </c>
      <c r="E15" s="25" t="s">
        <v>286</v>
      </c>
      <c r="F15" s="11"/>
      <c r="G15" s="139" t="s">
        <v>248</v>
      </c>
      <c r="H15" s="11"/>
    </row>
    <row r="16" s="23" customFormat="1" customHeight="1" spans="1:8">
      <c r="A16" s="10">
        <f t="shared" si="0"/>
        <v>6</v>
      </c>
      <c r="B16" s="171"/>
      <c r="C16" s="139" t="s">
        <v>312</v>
      </c>
      <c r="D16" s="139" t="s">
        <v>312</v>
      </c>
      <c r="E16" s="25" t="s">
        <v>288</v>
      </c>
      <c r="F16" s="11"/>
      <c r="G16" s="139" t="s">
        <v>248</v>
      </c>
      <c r="H16" s="11"/>
    </row>
    <row r="17" s="23" customFormat="1" customHeight="1" spans="1:8">
      <c r="A17" s="10">
        <f t="shared" si="0"/>
        <v>7</v>
      </c>
      <c r="B17" s="171"/>
      <c r="C17" s="139" t="s">
        <v>313</v>
      </c>
      <c r="D17" s="139" t="s">
        <v>313</v>
      </c>
      <c r="E17" s="25" t="s">
        <v>314</v>
      </c>
      <c r="F17" s="11"/>
      <c r="G17" s="139" t="s">
        <v>315</v>
      </c>
      <c r="H17" s="97"/>
    </row>
    <row r="18" s="23" customFormat="1" customHeight="1" spans="1:8">
      <c r="A18" s="10">
        <f t="shared" si="0"/>
        <v>8</v>
      </c>
      <c r="B18" s="18"/>
      <c r="C18" s="139" t="s">
        <v>316</v>
      </c>
      <c r="D18" s="139" t="s">
        <v>316</v>
      </c>
      <c r="E18" s="24" t="s">
        <v>317</v>
      </c>
      <c r="F18" s="11"/>
      <c r="G18" s="139" t="s">
        <v>315</v>
      </c>
      <c r="H18" s="216"/>
    </row>
    <row r="19" customHeight="1" spans="1:8">
      <c r="A19" s="10">
        <f t="shared" si="0"/>
        <v>9</v>
      </c>
      <c r="B19" s="10"/>
      <c r="C19" s="139" t="s">
        <v>318</v>
      </c>
      <c r="D19" s="139" t="s">
        <v>318</v>
      </c>
      <c r="E19" s="10" t="s">
        <v>319</v>
      </c>
      <c r="F19" s="10"/>
      <c r="G19" s="139" t="s">
        <v>320</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41"/>
  <sheetViews>
    <sheetView zoomScale="85" zoomScaleNormal="85" topLeftCell="A6" workbookViewId="0">
      <selection activeCell="E41" sqref="E41"/>
    </sheetView>
  </sheetViews>
  <sheetFormatPr defaultColWidth="10.8333333333333" defaultRowHeight="35" customHeight="1"/>
  <cols>
    <col min="1" max="1" width="5.66666666666667" style="23" customWidth="1"/>
    <col min="2" max="2" width="5.83333333333333" style="23" customWidth="1"/>
    <col min="3" max="3" width="20.5" style="23" customWidth="1"/>
    <col min="4" max="4" width="22.8333333333333" style="23" customWidth="1"/>
    <col min="5" max="5" width="20.8333333333333" style="24" customWidth="1"/>
    <col min="6" max="6" width="73.3333333333333" style="23" customWidth="1"/>
    <col min="7" max="7" width="21.1666666666667" style="23" customWidth="1"/>
    <col min="8" max="8" width="10.8833333333333" style="23" customWidth="1"/>
    <col min="9" max="9" width="28.8166666666667" style="23" customWidth="1"/>
    <col min="10" max="10" width="17.9333333333333" style="23" customWidth="1"/>
    <col min="11" max="11" width="31.7666666666667" style="23" customWidth="1"/>
    <col min="12" max="12" width="15.7333333333333" style="23" customWidth="1"/>
    <col min="13" max="16384" width="10.8333333333333" style="23"/>
  </cols>
  <sheetData>
    <row r="1" customHeight="1" spans="1:8">
      <c r="A1" s="1" t="s">
        <v>223</v>
      </c>
      <c r="B1" s="2" t="s">
        <v>84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321</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41" si="0">ROW(A12)-10</f>
        <v>2</v>
      </c>
      <c r="B12" s="171" t="s">
        <v>242</v>
      </c>
      <c r="C12" s="25" t="s">
        <v>250</v>
      </c>
      <c r="D12" s="113" t="s">
        <v>251</v>
      </c>
      <c r="E12" s="25" t="s">
        <v>252</v>
      </c>
      <c r="F12" s="11"/>
      <c r="G12" s="10" t="s">
        <v>291</v>
      </c>
      <c r="H12" s="11"/>
      <c r="I12" s="206" t="s">
        <v>253</v>
      </c>
      <c r="J12" s="206" t="s">
        <v>243</v>
      </c>
    </row>
    <row r="13" customHeight="1" spans="1:10">
      <c r="A13" s="10">
        <f t="shared" si="0"/>
        <v>3</v>
      </c>
      <c r="B13" s="171" t="s">
        <v>242</v>
      </c>
      <c r="C13" s="25" t="s">
        <v>246</v>
      </c>
      <c r="D13" s="113" t="s">
        <v>246</v>
      </c>
      <c r="E13" s="25" t="s">
        <v>247</v>
      </c>
      <c r="F13" s="11"/>
      <c r="G13" s="10" t="s">
        <v>248</v>
      </c>
      <c r="H13" s="11"/>
      <c r="I13" s="206" t="s">
        <v>249</v>
      </c>
      <c r="J13" s="201" t="s">
        <v>247</v>
      </c>
    </row>
    <row r="14" customHeight="1" spans="1:10">
      <c r="A14" s="10">
        <f t="shared" si="0"/>
        <v>4</v>
      </c>
      <c r="B14" s="171" t="s">
        <v>242</v>
      </c>
      <c r="C14" s="25" t="s">
        <v>323</v>
      </c>
      <c r="D14" s="113" t="s">
        <v>323</v>
      </c>
      <c r="E14" s="25" t="s">
        <v>324</v>
      </c>
      <c r="F14" s="11" t="s">
        <v>325</v>
      </c>
      <c r="G14" s="10" t="s">
        <v>322</v>
      </c>
      <c r="H14" s="11"/>
      <c r="I14" s="23" t="s">
        <v>326</v>
      </c>
      <c r="J14" s="23" t="s">
        <v>243</v>
      </c>
    </row>
    <row r="15" customHeight="1" spans="1:11">
      <c r="A15" s="10">
        <f t="shared" si="0"/>
        <v>5</v>
      </c>
      <c r="B15" s="171" t="s">
        <v>242</v>
      </c>
      <c r="C15" s="25" t="s">
        <v>327</v>
      </c>
      <c r="D15" s="113" t="s">
        <v>327</v>
      </c>
      <c r="E15" s="25" t="s">
        <v>328</v>
      </c>
      <c r="F15" s="11" t="s">
        <v>329</v>
      </c>
      <c r="G15" s="10" t="s">
        <v>248</v>
      </c>
      <c r="H15" s="11"/>
      <c r="I15" s="206" t="s">
        <v>264</v>
      </c>
      <c r="J15" s="206" t="s">
        <v>265</v>
      </c>
      <c r="K15" s="23" t="s">
        <v>328</v>
      </c>
    </row>
    <row r="16" customHeight="1" spans="1:8">
      <c r="A16" s="10">
        <f t="shared" si="0"/>
        <v>6</v>
      </c>
      <c r="B16" s="171" t="s">
        <v>242</v>
      </c>
      <c r="C16" s="25" t="s">
        <v>330</v>
      </c>
      <c r="D16" s="113" t="s">
        <v>331</v>
      </c>
      <c r="E16" s="25" t="s">
        <v>332</v>
      </c>
      <c r="F16" s="11" t="s">
        <v>333</v>
      </c>
      <c r="G16" s="10" t="s">
        <v>334</v>
      </c>
      <c r="H16" s="11"/>
    </row>
    <row r="17" customHeight="1" spans="1:8">
      <c r="A17" s="10">
        <f t="shared" si="0"/>
        <v>7</v>
      </c>
      <c r="B17" s="171" t="s">
        <v>242</v>
      </c>
      <c r="C17" s="25" t="s">
        <v>335</v>
      </c>
      <c r="D17" s="113" t="s">
        <v>336</v>
      </c>
      <c r="E17" s="25" t="s">
        <v>337</v>
      </c>
      <c r="F17" s="11"/>
      <c r="G17" s="10" t="s">
        <v>338</v>
      </c>
      <c r="H17" s="97"/>
    </row>
    <row r="18" customHeight="1" spans="1:8">
      <c r="A18" s="10">
        <f t="shared" si="0"/>
        <v>8</v>
      </c>
      <c r="B18" s="171" t="s">
        <v>242</v>
      </c>
      <c r="C18" s="25" t="s">
        <v>339</v>
      </c>
      <c r="D18" s="113" t="s">
        <v>339</v>
      </c>
      <c r="E18" s="25" t="s">
        <v>286</v>
      </c>
      <c r="F18" s="11"/>
      <c r="G18" s="10" t="s">
        <v>282</v>
      </c>
      <c r="H18" s="216"/>
    </row>
    <row r="19" ht="27.75" spans="1:8">
      <c r="A19" s="10">
        <f t="shared" si="0"/>
        <v>9</v>
      </c>
      <c r="B19" s="171" t="s">
        <v>242</v>
      </c>
      <c r="C19" s="25" t="s">
        <v>340</v>
      </c>
      <c r="D19" s="113" t="s">
        <v>340</v>
      </c>
      <c r="E19" s="25" t="s">
        <v>288</v>
      </c>
      <c r="F19" s="11"/>
      <c r="G19" s="10" t="s">
        <v>282</v>
      </c>
      <c r="H19" s="97"/>
    </row>
    <row r="20" customHeight="1" spans="1:8">
      <c r="A20" s="10">
        <f t="shared" si="0"/>
        <v>10</v>
      </c>
      <c r="B20" s="171" t="s">
        <v>242</v>
      </c>
      <c r="C20" s="25" t="s">
        <v>341</v>
      </c>
      <c r="D20" s="113" t="s">
        <v>341</v>
      </c>
      <c r="E20" s="25" t="s">
        <v>342</v>
      </c>
      <c r="F20" s="11"/>
      <c r="G20" s="10" t="s">
        <v>273</v>
      </c>
      <c r="H20" s="97"/>
    </row>
    <row r="21" customHeight="1" spans="1:8">
      <c r="A21" s="10">
        <f t="shared" si="0"/>
        <v>11</v>
      </c>
      <c r="B21" s="171"/>
      <c r="C21" s="25" t="s">
        <v>309</v>
      </c>
      <c r="D21" s="113" t="s">
        <v>309</v>
      </c>
      <c r="E21" s="25" t="s">
        <v>343</v>
      </c>
      <c r="F21" s="11"/>
      <c r="G21" s="10" t="s">
        <v>248</v>
      </c>
      <c r="H21" s="97"/>
    </row>
    <row r="22" customHeight="1" spans="1:8">
      <c r="A22" s="10">
        <f t="shared" si="0"/>
        <v>12</v>
      </c>
      <c r="B22" s="171"/>
      <c r="C22" s="25" t="s">
        <v>344</v>
      </c>
      <c r="D22" s="113" t="s">
        <v>345</v>
      </c>
      <c r="E22" s="25" t="s">
        <v>296</v>
      </c>
      <c r="F22" s="11"/>
      <c r="G22" s="10" t="s">
        <v>273</v>
      </c>
      <c r="H22" s="97"/>
    </row>
    <row r="23" customHeight="1" spans="1:8">
      <c r="A23" s="10">
        <f t="shared" si="0"/>
        <v>13</v>
      </c>
      <c r="B23" s="171"/>
      <c r="C23" s="25" t="s">
        <v>346</v>
      </c>
      <c r="D23" s="113" t="s">
        <v>347</v>
      </c>
      <c r="E23" s="25" t="s">
        <v>348</v>
      </c>
      <c r="F23" s="11"/>
      <c r="G23" s="10" t="s">
        <v>248</v>
      </c>
      <c r="H23" s="97"/>
    </row>
    <row r="24" customHeight="1" spans="1:10">
      <c r="A24" s="10">
        <f t="shared" si="0"/>
        <v>14</v>
      </c>
      <c r="B24" s="171"/>
      <c r="C24" s="25" t="s">
        <v>349</v>
      </c>
      <c r="D24" s="113" t="s">
        <v>350</v>
      </c>
      <c r="E24" s="25" t="s">
        <v>351</v>
      </c>
      <c r="F24" s="11"/>
      <c r="G24" s="10" t="s">
        <v>248</v>
      </c>
      <c r="H24" s="97"/>
      <c r="I24" s="23" t="s">
        <v>352</v>
      </c>
      <c r="J24" s="23" t="s">
        <v>353</v>
      </c>
    </row>
    <row r="25" customHeight="1" spans="1:8">
      <c r="A25" s="10">
        <f t="shared" si="0"/>
        <v>15</v>
      </c>
      <c r="B25" s="171"/>
      <c r="C25" s="25" t="s">
        <v>354</v>
      </c>
      <c r="D25" s="113" t="s">
        <v>354</v>
      </c>
      <c r="E25" s="25" t="s">
        <v>355</v>
      </c>
      <c r="F25" s="11"/>
      <c r="G25" s="10" t="s">
        <v>248</v>
      </c>
      <c r="H25" s="97"/>
    </row>
    <row r="26" customHeight="1" spans="1:8">
      <c r="A26" s="10">
        <f t="shared" si="0"/>
        <v>16</v>
      </c>
      <c r="B26" s="171" t="s">
        <v>242</v>
      </c>
      <c r="C26" s="25" t="s">
        <v>356</v>
      </c>
      <c r="D26" s="113" t="s">
        <v>356</v>
      </c>
      <c r="E26" s="25" t="s">
        <v>357</v>
      </c>
      <c r="F26" s="11" t="s">
        <v>358</v>
      </c>
      <c r="G26" s="10" t="s">
        <v>359</v>
      </c>
      <c r="H26" s="97"/>
    </row>
    <row r="27" customHeight="1" spans="1:8">
      <c r="A27" s="10">
        <f t="shared" si="0"/>
        <v>17</v>
      </c>
      <c r="B27" s="171" t="s">
        <v>242</v>
      </c>
      <c r="C27" s="25" t="s">
        <v>360</v>
      </c>
      <c r="D27" s="113" t="s">
        <v>360</v>
      </c>
      <c r="E27" s="25" t="s">
        <v>361</v>
      </c>
      <c r="F27" s="11" t="s">
        <v>358</v>
      </c>
      <c r="G27" s="10" t="s">
        <v>359</v>
      </c>
      <c r="H27" s="11"/>
    </row>
    <row r="28" customHeight="1" spans="1:12">
      <c r="A28" s="10">
        <f t="shared" si="0"/>
        <v>18</v>
      </c>
      <c r="B28" s="171" t="s">
        <v>242</v>
      </c>
      <c r="C28" s="25" t="s">
        <v>362</v>
      </c>
      <c r="D28" s="113" t="s">
        <v>362</v>
      </c>
      <c r="E28" s="25" t="s">
        <v>363</v>
      </c>
      <c r="F28" s="11" t="s">
        <v>364</v>
      </c>
      <c r="G28" s="10" t="s">
        <v>303</v>
      </c>
      <c r="H28" s="11"/>
      <c r="I28" s="206" t="s">
        <v>264</v>
      </c>
      <c r="J28" s="206" t="s">
        <v>265</v>
      </c>
      <c r="K28" s="23" t="s">
        <v>363</v>
      </c>
      <c r="L28" s="23" t="s">
        <v>365</v>
      </c>
    </row>
    <row r="29" customHeight="1" spans="1:12">
      <c r="A29" s="10">
        <f t="shared" ref="A29" si="1">ROW(A29)-10</f>
        <v>19</v>
      </c>
      <c r="B29" s="18" t="s">
        <v>242</v>
      </c>
      <c r="C29" s="25" t="s">
        <v>366</v>
      </c>
      <c r="D29" s="113" t="s">
        <v>366</v>
      </c>
      <c r="E29" s="25" t="s">
        <v>367</v>
      </c>
      <c r="F29" s="11"/>
      <c r="G29" s="10" t="s">
        <v>248</v>
      </c>
      <c r="H29" s="11"/>
      <c r="I29" s="23" t="s">
        <v>368</v>
      </c>
      <c r="J29" s="23" t="s">
        <v>367</v>
      </c>
      <c r="L29" s="23" t="s">
        <v>365</v>
      </c>
    </row>
    <row r="30" customHeight="1" spans="1:8">
      <c r="A30" s="10">
        <f t="shared" si="0"/>
        <v>20</v>
      </c>
      <c r="B30" s="171" t="s">
        <v>242</v>
      </c>
      <c r="C30" s="25" t="s">
        <v>369</v>
      </c>
      <c r="D30" s="113" t="s">
        <v>369</v>
      </c>
      <c r="E30" s="25" t="s">
        <v>370</v>
      </c>
      <c r="F30" s="11"/>
      <c r="G30" s="10" t="s">
        <v>248</v>
      </c>
      <c r="H30" s="11"/>
    </row>
    <row r="31" customHeight="1" spans="1:8">
      <c r="A31" s="10">
        <f t="shared" si="0"/>
        <v>21</v>
      </c>
      <c r="B31" s="171"/>
      <c r="C31" s="25" t="s">
        <v>371</v>
      </c>
      <c r="D31" s="113" t="s">
        <v>371</v>
      </c>
      <c r="E31" s="25" t="s">
        <v>372</v>
      </c>
      <c r="F31" s="11"/>
      <c r="G31" s="10" t="s">
        <v>248</v>
      </c>
      <c r="H31" s="11"/>
    </row>
    <row r="32" customHeight="1" spans="1:8">
      <c r="A32" s="10">
        <f t="shared" si="0"/>
        <v>22</v>
      </c>
      <c r="B32" s="171"/>
      <c r="C32" s="25" t="s">
        <v>373</v>
      </c>
      <c r="D32" s="113" t="s">
        <v>373</v>
      </c>
      <c r="E32" s="25" t="s">
        <v>374</v>
      </c>
      <c r="F32" s="11"/>
      <c r="G32" s="10" t="s">
        <v>248</v>
      </c>
      <c r="H32" s="11"/>
    </row>
    <row r="33" ht="53.25" spans="1:12">
      <c r="A33" s="10">
        <f t="shared" si="0"/>
        <v>23</v>
      </c>
      <c r="B33" s="171"/>
      <c r="C33" s="25" t="s">
        <v>375</v>
      </c>
      <c r="D33" s="113" t="s">
        <v>375</v>
      </c>
      <c r="E33" s="25" t="s">
        <v>376</v>
      </c>
      <c r="F33" s="97" t="s">
        <v>377</v>
      </c>
      <c r="G33" s="10" t="s">
        <v>248</v>
      </c>
      <c r="H33" s="11"/>
      <c r="I33" s="206" t="s">
        <v>264</v>
      </c>
      <c r="J33" s="206" t="s">
        <v>265</v>
      </c>
      <c r="K33" s="23" t="s">
        <v>376</v>
      </c>
      <c r="L33" s="23" t="s">
        <v>365</v>
      </c>
    </row>
    <row r="34" customHeight="1" spans="1:12">
      <c r="A34" s="10">
        <f t="shared" si="0"/>
        <v>24</v>
      </c>
      <c r="B34" s="171"/>
      <c r="C34" s="25" t="s">
        <v>378</v>
      </c>
      <c r="D34" s="113" t="s">
        <v>378</v>
      </c>
      <c r="E34" s="25" t="s">
        <v>379</v>
      </c>
      <c r="F34" s="97" t="s">
        <v>380</v>
      </c>
      <c r="G34" s="10" t="s">
        <v>248</v>
      </c>
      <c r="H34" s="11"/>
      <c r="I34" s="206" t="s">
        <v>264</v>
      </c>
      <c r="J34" s="206" t="s">
        <v>265</v>
      </c>
      <c r="K34" s="23" t="s">
        <v>379</v>
      </c>
      <c r="L34" s="23" t="s">
        <v>365</v>
      </c>
    </row>
    <row r="35" customHeight="1" spans="1:12">
      <c r="A35" s="10">
        <f t="shared" si="0"/>
        <v>25</v>
      </c>
      <c r="B35" s="171"/>
      <c r="C35" s="25" t="s">
        <v>381</v>
      </c>
      <c r="D35" s="113" t="s">
        <v>381</v>
      </c>
      <c r="E35" s="25" t="s">
        <v>382</v>
      </c>
      <c r="F35" s="11"/>
      <c r="G35" s="10" t="s">
        <v>248</v>
      </c>
      <c r="H35" s="264" t="s">
        <v>383</v>
      </c>
      <c r="I35" s="266" t="s">
        <v>384</v>
      </c>
      <c r="J35" s="266" t="s">
        <v>243</v>
      </c>
      <c r="L35" s="23" t="s">
        <v>365</v>
      </c>
    </row>
    <row r="36" customHeight="1" spans="1:12">
      <c r="A36" s="10">
        <f t="shared" si="0"/>
        <v>26</v>
      </c>
      <c r="B36" s="171"/>
      <c r="C36" s="25" t="s">
        <v>385</v>
      </c>
      <c r="D36" s="113" t="s">
        <v>385</v>
      </c>
      <c r="E36" s="25" t="s">
        <v>386</v>
      </c>
      <c r="F36" s="11"/>
      <c r="G36" s="10" t="s">
        <v>248</v>
      </c>
      <c r="H36" s="265" t="s">
        <v>387</v>
      </c>
      <c r="I36" s="266" t="s">
        <v>384</v>
      </c>
      <c r="J36" s="266" t="s">
        <v>243</v>
      </c>
      <c r="L36" s="23" t="s">
        <v>365</v>
      </c>
    </row>
    <row r="37" customHeight="1" spans="1:8">
      <c r="A37" s="10">
        <f t="shared" si="0"/>
        <v>27</v>
      </c>
      <c r="B37" s="171"/>
      <c r="C37" s="25" t="s">
        <v>388</v>
      </c>
      <c r="D37" s="113" t="s">
        <v>388</v>
      </c>
      <c r="E37" s="25" t="s">
        <v>389</v>
      </c>
      <c r="F37" s="11"/>
      <c r="G37" s="10" t="s">
        <v>390</v>
      </c>
      <c r="H37" s="11"/>
    </row>
    <row r="38" customHeight="1" spans="1:8">
      <c r="A38" s="10">
        <f t="shared" si="0"/>
        <v>28</v>
      </c>
      <c r="B38" s="171"/>
      <c r="C38" s="25" t="s">
        <v>391</v>
      </c>
      <c r="D38" s="113" t="s">
        <v>391</v>
      </c>
      <c r="E38" s="25" t="s">
        <v>392</v>
      </c>
      <c r="F38" s="11"/>
      <c r="G38" s="10" t="s">
        <v>248</v>
      </c>
      <c r="H38" s="11"/>
    </row>
    <row r="39" customHeight="1" spans="1:8">
      <c r="A39" s="10">
        <f t="shared" si="0"/>
        <v>29</v>
      </c>
      <c r="B39" s="18"/>
      <c r="C39" s="25" t="s">
        <v>393</v>
      </c>
      <c r="D39" s="113" t="s">
        <v>393</v>
      </c>
      <c r="E39" s="25" t="s">
        <v>394</v>
      </c>
      <c r="F39" s="11"/>
      <c r="G39" s="10" t="s">
        <v>248</v>
      </c>
      <c r="H39" s="11"/>
    </row>
    <row r="40" customHeight="1" spans="1:8">
      <c r="A40" s="10">
        <f t="shared" si="0"/>
        <v>30</v>
      </c>
      <c r="B40" s="171"/>
      <c r="C40" s="25" t="s">
        <v>313</v>
      </c>
      <c r="D40" s="113" t="s">
        <v>313</v>
      </c>
      <c r="E40" s="25" t="s">
        <v>314</v>
      </c>
      <c r="F40" s="11"/>
      <c r="G40" s="10" t="s">
        <v>359</v>
      </c>
      <c r="H40" s="11"/>
    </row>
    <row r="41" customHeight="1" spans="1:8">
      <c r="A41" s="10">
        <f t="shared" si="0"/>
        <v>31</v>
      </c>
      <c r="B41" s="18"/>
      <c r="C41" s="25" t="s">
        <v>395</v>
      </c>
      <c r="D41" s="113" t="s">
        <v>395</v>
      </c>
      <c r="E41" s="25" t="s">
        <v>396</v>
      </c>
      <c r="F41" s="11"/>
      <c r="G41" s="10" t="s">
        <v>359</v>
      </c>
      <c r="H41"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zoomScale="85" zoomScaleNormal="85" topLeftCell="A6" workbookViewId="0">
      <selection activeCell="K15" sqref="K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19.5" style="23" customWidth="1"/>
    <col min="10" max="10" width="14.5" style="23" customWidth="1"/>
    <col min="11" max="11" width="29.6666666666667" style="23" customWidth="1"/>
    <col min="12" max="16384" width="10.8333333333333" style="23"/>
  </cols>
  <sheetData>
    <row r="1" customHeight="1" spans="1:8">
      <c r="A1" s="1" t="s">
        <v>223</v>
      </c>
      <c r="B1" s="2" t="s">
        <v>92</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368</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8">
      <c r="A12" s="10">
        <f t="shared" ref="A12:A22" si="0">ROW(A12)-10</f>
        <v>2</v>
      </c>
      <c r="B12" s="18" t="s">
        <v>242</v>
      </c>
      <c r="C12" s="25" t="s">
        <v>366</v>
      </c>
      <c r="D12" s="113" t="s">
        <v>397</v>
      </c>
      <c r="E12" s="25" t="s">
        <v>398</v>
      </c>
      <c r="F12" s="11"/>
      <c r="G12" s="10" t="s">
        <v>248</v>
      </c>
      <c r="H12" s="11"/>
    </row>
    <row r="13" customHeight="1" spans="1:8">
      <c r="A13" s="10">
        <f t="shared" si="0"/>
        <v>3</v>
      </c>
      <c r="B13" s="18" t="s">
        <v>242</v>
      </c>
      <c r="C13" s="25" t="s">
        <v>399</v>
      </c>
      <c r="D13" s="113" t="s">
        <v>399</v>
      </c>
      <c r="E13" s="25" t="s">
        <v>365</v>
      </c>
      <c r="F13" s="11"/>
      <c r="G13" s="10" t="s">
        <v>303</v>
      </c>
      <c r="H13" s="11"/>
    </row>
    <row r="14" customHeight="1" spans="1:8">
      <c r="A14" s="10">
        <f t="shared" si="0"/>
        <v>4</v>
      </c>
      <c r="B14" s="18" t="s">
        <v>242</v>
      </c>
      <c r="C14" s="25" t="s">
        <v>400</v>
      </c>
      <c r="D14" s="113" t="s">
        <v>401</v>
      </c>
      <c r="E14" s="25" t="s">
        <v>402</v>
      </c>
      <c r="F14" s="11"/>
      <c r="G14" s="10" t="s">
        <v>248</v>
      </c>
      <c r="H14" s="11"/>
    </row>
    <row r="15" customHeight="1" spans="1:11">
      <c r="A15" s="10">
        <f t="shared" si="0"/>
        <v>5</v>
      </c>
      <c r="B15" s="18" t="s">
        <v>242</v>
      </c>
      <c r="C15" s="25" t="s">
        <v>375</v>
      </c>
      <c r="D15" s="113" t="s">
        <v>375</v>
      </c>
      <c r="E15" s="25" t="s">
        <v>376</v>
      </c>
      <c r="F15" s="11"/>
      <c r="G15" s="10" t="s">
        <v>248</v>
      </c>
      <c r="H15" s="11"/>
      <c r="I15" s="206" t="s">
        <v>264</v>
      </c>
      <c r="J15" s="206" t="s">
        <v>265</v>
      </c>
      <c r="K15" s="23" t="s">
        <v>376</v>
      </c>
    </row>
    <row r="16" customHeight="1" spans="1:11">
      <c r="A16" s="10">
        <f t="shared" si="0"/>
        <v>6</v>
      </c>
      <c r="B16" s="18" t="s">
        <v>242</v>
      </c>
      <c r="C16" s="25" t="s">
        <v>403</v>
      </c>
      <c r="D16" s="113" t="s">
        <v>403</v>
      </c>
      <c r="E16" s="25" t="s">
        <v>379</v>
      </c>
      <c r="F16" s="11"/>
      <c r="G16" s="10" t="s">
        <v>248</v>
      </c>
      <c r="H16" s="11"/>
      <c r="I16" s="206" t="s">
        <v>264</v>
      </c>
      <c r="J16" s="206" t="s">
        <v>265</v>
      </c>
      <c r="K16" s="23" t="s">
        <v>379</v>
      </c>
    </row>
    <row r="17" customHeight="1" spans="1:10">
      <c r="A17" s="10">
        <f t="shared" si="0"/>
        <v>7</v>
      </c>
      <c r="B17" s="18" t="s">
        <v>242</v>
      </c>
      <c r="C17" s="25" t="s">
        <v>404</v>
      </c>
      <c r="D17" s="113" t="s">
        <v>404</v>
      </c>
      <c r="E17" s="25" t="s">
        <v>405</v>
      </c>
      <c r="F17" s="11" t="s">
        <v>406</v>
      </c>
      <c r="G17" s="10" t="s">
        <v>248</v>
      </c>
      <c r="H17" s="11"/>
      <c r="I17" s="23" t="s">
        <v>384</v>
      </c>
      <c r="J17" s="23" t="s">
        <v>243</v>
      </c>
    </row>
    <row r="18" customHeight="1" spans="1:10">
      <c r="A18" s="10">
        <f t="shared" si="0"/>
        <v>8</v>
      </c>
      <c r="B18" s="18" t="s">
        <v>242</v>
      </c>
      <c r="C18" s="25" t="s">
        <v>407</v>
      </c>
      <c r="D18" s="113" t="s">
        <v>407</v>
      </c>
      <c r="E18" s="25" t="s">
        <v>408</v>
      </c>
      <c r="F18" s="11" t="s">
        <v>406</v>
      </c>
      <c r="G18" s="10" t="s">
        <v>248</v>
      </c>
      <c r="H18" s="11"/>
      <c r="I18" s="23" t="s">
        <v>384</v>
      </c>
      <c r="J18" s="23" t="s">
        <v>243</v>
      </c>
    </row>
    <row r="19" customHeight="1" spans="1:8">
      <c r="A19" s="10">
        <f t="shared" si="0"/>
        <v>9</v>
      </c>
      <c r="B19" s="18" t="s">
        <v>242</v>
      </c>
      <c r="C19" s="25" t="s">
        <v>409</v>
      </c>
      <c r="D19" s="113" t="s">
        <v>409</v>
      </c>
      <c r="E19" s="25" t="s">
        <v>410</v>
      </c>
      <c r="F19" s="11"/>
      <c r="G19" s="10" t="s">
        <v>390</v>
      </c>
      <c r="H19" s="11"/>
    </row>
    <row r="20" customHeight="1" spans="1:8">
      <c r="A20" s="10">
        <f t="shared" si="0"/>
        <v>10</v>
      </c>
      <c r="B20" s="18" t="s">
        <v>242</v>
      </c>
      <c r="C20" s="25" t="s">
        <v>411</v>
      </c>
      <c r="D20" s="113" t="s">
        <v>411</v>
      </c>
      <c r="E20" s="25" t="s">
        <v>412</v>
      </c>
      <c r="F20" s="11"/>
      <c r="G20" s="10" t="s">
        <v>248</v>
      </c>
      <c r="H20" s="11"/>
    </row>
    <row r="21" customHeight="1" spans="1:8">
      <c r="A21" s="10">
        <f t="shared" si="0"/>
        <v>11</v>
      </c>
      <c r="B21" s="18" t="s">
        <v>242</v>
      </c>
      <c r="C21" s="25" t="s">
        <v>413</v>
      </c>
      <c r="D21" s="113" t="s">
        <v>413</v>
      </c>
      <c r="E21" s="25" t="s">
        <v>414</v>
      </c>
      <c r="F21" s="11"/>
      <c r="G21" s="10" t="s">
        <v>248</v>
      </c>
      <c r="H21" s="11"/>
    </row>
    <row r="22" customHeight="1" spans="1:8">
      <c r="A22" s="10">
        <f t="shared" si="0"/>
        <v>12</v>
      </c>
      <c r="B22" s="18" t="s">
        <v>242</v>
      </c>
      <c r="C22" s="25" t="s">
        <v>415</v>
      </c>
      <c r="D22" s="113" t="s">
        <v>415</v>
      </c>
      <c r="E22" s="25" t="s">
        <v>416</v>
      </c>
      <c r="F22" s="11"/>
      <c r="G22" s="10" t="s">
        <v>359</v>
      </c>
      <c r="H22"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zoomScale="85" zoomScaleNormal="85" topLeftCell="A3" workbookViewId="0">
      <selection activeCell="K13" sqref="K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11.6666666666667" style="23" customWidth="1"/>
    <col min="10" max="10" width="8.5" style="23" customWidth="1"/>
    <col min="11" max="11" width="20.3333333333333" style="23" customWidth="1"/>
    <col min="12" max="16384" width="10.8333333333333" style="23"/>
  </cols>
  <sheetData>
    <row r="1" customHeight="1" spans="1:8">
      <c r="A1" s="1" t="s">
        <v>223</v>
      </c>
      <c r="B1" s="2" t="s">
        <v>417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326</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8">
      <c r="A12" s="10">
        <f t="shared" ref="A12:A18" si="0">ROW(A12)-10</f>
        <v>2</v>
      </c>
      <c r="B12" s="171" t="s">
        <v>242</v>
      </c>
      <c r="C12" s="25" t="s">
        <v>323</v>
      </c>
      <c r="D12" s="113" t="s">
        <v>323</v>
      </c>
      <c r="E12" s="25" t="s">
        <v>324</v>
      </c>
      <c r="F12" s="11" t="s">
        <v>325</v>
      </c>
      <c r="G12" s="10" t="s">
        <v>322</v>
      </c>
      <c r="H12" s="11"/>
    </row>
    <row r="13" customHeight="1" spans="1:11">
      <c r="A13" s="10">
        <f t="shared" si="0"/>
        <v>3</v>
      </c>
      <c r="B13" s="171" t="s">
        <v>242</v>
      </c>
      <c r="C13" s="25" t="s">
        <v>327</v>
      </c>
      <c r="D13" s="113" t="s">
        <v>327</v>
      </c>
      <c r="E13" s="25" t="s">
        <v>328</v>
      </c>
      <c r="F13" s="11" t="s">
        <v>329</v>
      </c>
      <c r="G13" s="10" t="s">
        <v>248</v>
      </c>
      <c r="H13" s="11"/>
      <c r="I13" s="206" t="s">
        <v>264</v>
      </c>
      <c r="J13" s="206" t="s">
        <v>265</v>
      </c>
      <c r="K13" s="80" t="s">
        <v>328</v>
      </c>
    </row>
    <row r="14" customHeight="1" spans="1:8">
      <c r="A14" s="10">
        <f t="shared" si="0"/>
        <v>4</v>
      </c>
      <c r="B14" s="171" t="s">
        <v>242</v>
      </c>
      <c r="C14" s="25" t="s">
        <v>330</v>
      </c>
      <c r="D14" s="113" t="s">
        <v>330</v>
      </c>
      <c r="E14" s="25" t="s">
        <v>332</v>
      </c>
      <c r="F14" s="11"/>
      <c r="G14" s="10" t="s">
        <v>334</v>
      </c>
      <c r="H14" s="11"/>
    </row>
    <row r="15" customHeight="1" spans="1:8">
      <c r="A15" s="10">
        <f t="shared" si="0"/>
        <v>5</v>
      </c>
      <c r="B15" s="171" t="s">
        <v>242</v>
      </c>
      <c r="C15" s="25" t="s">
        <v>335</v>
      </c>
      <c r="D15" s="113" t="s">
        <v>335</v>
      </c>
      <c r="E15" s="25" t="s">
        <v>337</v>
      </c>
      <c r="F15" s="11"/>
      <c r="G15" s="10" t="s">
        <v>338</v>
      </c>
      <c r="H15" s="11"/>
    </row>
    <row r="16" customHeight="1" spans="1:8">
      <c r="A16" s="10">
        <f t="shared" si="0"/>
        <v>6</v>
      </c>
      <c r="B16" s="171" t="s">
        <v>242</v>
      </c>
      <c r="C16" s="25" t="s">
        <v>285</v>
      </c>
      <c r="D16" s="113" t="s">
        <v>285</v>
      </c>
      <c r="E16" s="25" t="s">
        <v>286</v>
      </c>
      <c r="F16" s="11"/>
      <c r="G16" s="10" t="s">
        <v>282</v>
      </c>
      <c r="H16" s="11"/>
    </row>
    <row r="17" customHeight="1" spans="1:8">
      <c r="A17" s="10">
        <f t="shared" si="0"/>
        <v>7</v>
      </c>
      <c r="B17" s="171" t="s">
        <v>242</v>
      </c>
      <c r="C17" s="25" t="s">
        <v>418</v>
      </c>
      <c r="D17" s="113" t="s">
        <v>418</v>
      </c>
      <c r="E17" s="25" t="s">
        <v>288</v>
      </c>
      <c r="F17" s="11"/>
      <c r="G17" s="10" t="s">
        <v>282</v>
      </c>
      <c r="H17" s="97"/>
    </row>
    <row r="18" customHeight="1" spans="1:8">
      <c r="A18" s="10">
        <f t="shared" si="0"/>
        <v>8</v>
      </c>
      <c r="B18" s="18" t="s">
        <v>242</v>
      </c>
      <c r="C18" s="25" t="s">
        <v>419</v>
      </c>
      <c r="D18" s="113" t="s">
        <v>419</v>
      </c>
      <c r="E18" s="25" t="s">
        <v>420</v>
      </c>
      <c r="F18" s="11"/>
      <c r="G18" s="10" t="s">
        <v>421</v>
      </c>
      <c r="H18" s="216"/>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zoomScale="85" zoomScaleNormal="85" topLeftCell="A6" workbookViewId="0">
      <selection activeCell="I13" sqref="I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8.075" style="23" customWidth="1"/>
    <col min="7" max="7" width="21.1666666666667" style="23" customWidth="1"/>
    <col min="8" max="8" width="19.85" style="23" customWidth="1"/>
    <col min="9" max="9" width="22.3333333333333" style="23" customWidth="1"/>
    <col min="10" max="10" width="10.8333333333333" style="23"/>
    <col min="11" max="11" width="36.5" style="23" customWidth="1"/>
    <col min="12" max="16384" width="10.8333333333333" style="23"/>
  </cols>
  <sheetData>
    <row r="1" customHeight="1" spans="1:8">
      <c r="A1" s="1" t="s">
        <v>223</v>
      </c>
      <c r="B1" s="2" t="s">
        <v>86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422</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19" si="0">ROW(A12)-10</f>
        <v>2</v>
      </c>
      <c r="B12" s="171" t="s">
        <v>242</v>
      </c>
      <c r="C12" s="25" t="s">
        <v>423</v>
      </c>
      <c r="D12" s="113" t="s">
        <v>424</v>
      </c>
      <c r="E12" s="25" t="s">
        <v>425</v>
      </c>
      <c r="F12" s="11" t="s">
        <v>426</v>
      </c>
      <c r="G12" s="10" t="s">
        <v>322</v>
      </c>
      <c r="H12" s="11"/>
      <c r="I12" s="23" t="s">
        <v>427</v>
      </c>
      <c r="J12" s="23" t="s">
        <v>243</v>
      </c>
    </row>
    <row r="13" customHeight="1" spans="1:10">
      <c r="A13" s="10">
        <f t="shared" si="0"/>
        <v>3</v>
      </c>
      <c r="B13" s="171" t="s">
        <v>242</v>
      </c>
      <c r="C13" s="25" t="s">
        <v>323</v>
      </c>
      <c r="D13" s="113" t="s">
        <v>323</v>
      </c>
      <c r="E13" s="25" t="s">
        <v>324</v>
      </c>
      <c r="F13" s="11" t="s">
        <v>325</v>
      </c>
      <c r="G13" s="10" t="s">
        <v>322</v>
      </c>
      <c r="H13" s="11"/>
      <c r="I13" s="23" t="s">
        <v>326</v>
      </c>
      <c r="J13" s="23" t="s">
        <v>243</v>
      </c>
    </row>
    <row r="14" customHeight="1" spans="1:10">
      <c r="A14" s="10">
        <f t="shared" si="0"/>
        <v>4</v>
      </c>
      <c r="B14" s="171" t="s">
        <v>242</v>
      </c>
      <c r="C14" s="25" t="s">
        <v>246</v>
      </c>
      <c r="D14" s="113" t="s">
        <v>246</v>
      </c>
      <c r="E14" s="25" t="s">
        <v>247</v>
      </c>
      <c r="F14" s="11"/>
      <c r="G14" s="10" t="s">
        <v>248</v>
      </c>
      <c r="H14" s="11"/>
      <c r="I14" s="262" t="s">
        <v>249</v>
      </c>
      <c r="J14" s="263" t="s">
        <v>247</v>
      </c>
    </row>
    <row r="15" customHeight="1" spans="1:8">
      <c r="A15" s="10">
        <f t="shared" si="0"/>
        <v>5</v>
      </c>
      <c r="B15" s="171" t="s">
        <v>242</v>
      </c>
      <c r="C15" s="25" t="s">
        <v>428</v>
      </c>
      <c r="D15" s="113" t="s">
        <v>428</v>
      </c>
      <c r="E15" s="25" t="s">
        <v>429</v>
      </c>
      <c r="F15" s="11"/>
      <c r="G15" s="10" t="s">
        <v>359</v>
      </c>
      <c r="H15" s="11"/>
    </row>
    <row r="16" customHeight="1" spans="1:8">
      <c r="A16" s="10">
        <f t="shared" si="0"/>
        <v>6</v>
      </c>
      <c r="B16" s="171" t="s">
        <v>242</v>
      </c>
      <c r="C16" s="25" t="s">
        <v>430</v>
      </c>
      <c r="D16" s="113" t="s">
        <v>430</v>
      </c>
      <c r="E16" s="25" t="s">
        <v>431</v>
      </c>
      <c r="F16" s="11" t="s">
        <v>432</v>
      </c>
      <c r="G16" s="10" t="s">
        <v>263</v>
      </c>
      <c r="H16" s="11"/>
    </row>
    <row r="17" customHeight="1" spans="1:8">
      <c r="A17" s="10">
        <f t="shared" si="0"/>
        <v>7</v>
      </c>
      <c r="B17" s="171" t="s">
        <v>242</v>
      </c>
      <c r="C17" s="25" t="s">
        <v>433</v>
      </c>
      <c r="D17" s="113" t="s">
        <v>433</v>
      </c>
      <c r="E17" s="25" t="s">
        <v>434</v>
      </c>
      <c r="F17" s="11" t="s">
        <v>358</v>
      </c>
      <c r="G17" s="10" t="s">
        <v>359</v>
      </c>
      <c r="H17" s="97"/>
    </row>
    <row r="18" customHeight="1" spans="1:8">
      <c r="A18" s="10">
        <f t="shared" si="0"/>
        <v>8</v>
      </c>
      <c r="B18" s="18" t="s">
        <v>242</v>
      </c>
      <c r="C18" s="25" t="s">
        <v>435</v>
      </c>
      <c r="D18" s="113" t="s">
        <v>435</v>
      </c>
      <c r="E18" s="25" t="s">
        <v>436</v>
      </c>
      <c r="F18" s="11" t="s">
        <v>358</v>
      </c>
      <c r="G18" s="10" t="s">
        <v>359</v>
      </c>
      <c r="H18" s="216"/>
    </row>
    <row r="19" customHeight="1" spans="1:11">
      <c r="A19" s="10">
        <f t="shared" si="0"/>
        <v>9</v>
      </c>
      <c r="B19" s="18"/>
      <c r="C19" s="25" t="s">
        <v>437</v>
      </c>
      <c r="D19" s="113" t="s">
        <v>437</v>
      </c>
      <c r="E19" s="25" t="s">
        <v>438</v>
      </c>
      <c r="F19" s="11" t="s">
        <v>439</v>
      </c>
      <c r="G19" s="10" t="s">
        <v>248</v>
      </c>
      <c r="H19" s="216"/>
      <c r="I19" s="206" t="s">
        <v>264</v>
      </c>
      <c r="J19" s="206" t="s">
        <v>265</v>
      </c>
      <c r="K19" s="23" t="s">
        <v>438</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zoomScale="85" zoomScaleNormal="85" topLeftCell="A8" workbookViewId="0">
      <selection activeCell="B1" sqref="B1:H2"/>
    </sheetView>
  </sheetViews>
  <sheetFormatPr defaultColWidth="10.8333333333333" defaultRowHeight="35" customHeight="1"/>
  <cols>
    <col min="1" max="1" width="5.66666666666667" style="23" customWidth="1"/>
    <col min="2" max="2" width="5.83333333333333" style="23" customWidth="1"/>
    <col min="3" max="3" width="20.5" style="23" customWidth="1"/>
    <col min="4" max="4" width="23.1666666666667" style="23" customWidth="1"/>
    <col min="5" max="5" width="20.8333333333333" style="24" customWidth="1"/>
    <col min="6" max="6" width="73.3333333333333" style="23" customWidth="1"/>
    <col min="7" max="7" width="21.1666666666667" style="23" customWidth="1"/>
    <col min="8" max="8" width="38.1666666666667" style="23" customWidth="1"/>
    <col min="9" max="9" width="22.3333333333333" style="23" customWidth="1"/>
    <col min="10" max="16384" width="10.8333333333333" style="23"/>
  </cols>
  <sheetData>
    <row r="1" customHeight="1" spans="1:8">
      <c r="A1" s="1" t="s">
        <v>223</v>
      </c>
      <c r="B1" s="2" t="s">
        <v>87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440</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21" si="0">ROW(A12)-10</f>
        <v>2</v>
      </c>
      <c r="B12" s="171" t="s">
        <v>242</v>
      </c>
      <c r="C12" s="25" t="s">
        <v>423</v>
      </c>
      <c r="D12" s="261" t="s">
        <v>424</v>
      </c>
      <c r="E12" s="25" t="s">
        <v>425</v>
      </c>
      <c r="F12" s="11" t="s">
        <v>426</v>
      </c>
      <c r="G12" s="10" t="s">
        <v>322</v>
      </c>
      <c r="H12" s="11"/>
      <c r="I12" s="23" t="s">
        <v>441</v>
      </c>
      <c r="J12" s="23" t="s">
        <v>243</v>
      </c>
    </row>
    <row r="13" customHeight="1" spans="1:10">
      <c r="A13" s="10">
        <f t="shared" si="0"/>
        <v>3</v>
      </c>
      <c r="B13" s="171" t="s">
        <v>242</v>
      </c>
      <c r="C13" s="25" t="s">
        <v>323</v>
      </c>
      <c r="D13" s="113" t="s">
        <v>323</v>
      </c>
      <c r="E13" s="25" t="s">
        <v>324</v>
      </c>
      <c r="F13" s="11" t="s">
        <v>325</v>
      </c>
      <c r="G13" s="10" t="s">
        <v>322</v>
      </c>
      <c r="H13" s="11"/>
      <c r="I13" s="23" t="s">
        <v>326</v>
      </c>
      <c r="J13" s="23" t="s">
        <v>243</v>
      </c>
    </row>
    <row r="14" customHeight="1" spans="1:10">
      <c r="A14" s="10">
        <f t="shared" si="0"/>
        <v>4</v>
      </c>
      <c r="B14" s="171" t="s">
        <v>242</v>
      </c>
      <c r="C14" s="25" t="s">
        <v>246</v>
      </c>
      <c r="D14" s="113" t="s">
        <v>246</v>
      </c>
      <c r="E14" s="25" t="s">
        <v>247</v>
      </c>
      <c r="F14" s="11"/>
      <c r="G14" s="10" t="s">
        <v>248</v>
      </c>
      <c r="H14" s="11"/>
      <c r="I14" s="206" t="s">
        <v>249</v>
      </c>
      <c r="J14" s="201" t="s">
        <v>247</v>
      </c>
    </row>
    <row r="15" customHeight="1" spans="1:8">
      <c r="A15" s="10">
        <f t="shared" si="0"/>
        <v>5</v>
      </c>
      <c r="B15" s="171" t="s">
        <v>242</v>
      </c>
      <c r="C15" s="25" t="s">
        <v>442</v>
      </c>
      <c r="D15" s="113" t="s">
        <v>443</v>
      </c>
      <c r="E15" s="25" t="s">
        <v>444</v>
      </c>
      <c r="F15" s="11"/>
      <c r="G15" s="10" t="s">
        <v>421</v>
      </c>
      <c r="H15" s="11"/>
    </row>
    <row r="16" customHeight="1" spans="1:8">
      <c r="A16" s="10">
        <f t="shared" si="0"/>
        <v>6</v>
      </c>
      <c r="B16" s="171" t="s">
        <v>242</v>
      </c>
      <c r="C16" s="25" t="s">
        <v>445</v>
      </c>
      <c r="D16" s="113" t="s">
        <v>446</v>
      </c>
      <c r="E16" s="25" t="s">
        <v>447</v>
      </c>
      <c r="F16" s="11"/>
      <c r="G16" s="10" t="s">
        <v>421</v>
      </c>
      <c r="H16" s="11"/>
    </row>
    <row r="17" customHeight="1" spans="1:8">
      <c r="A17" s="10">
        <f t="shared" si="0"/>
        <v>7</v>
      </c>
      <c r="B17" s="171" t="s">
        <v>242</v>
      </c>
      <c r="C17" s="25" t="s">
        <v>448</v>
      </c>
      <c r="D17" s="113" t="s">
        <v>449</v>
      </c>
      <c r="E17" s="25" t="s">
        <v>450</v>
      </c>
      <c r="F17" s="11" t="s">
        <v>451</v>
      </c>
      <c r="G17" s="10" t="s">
        <v>421</v>
      </c>
      <c r="H17" s="97"/>
    </row>
    <row r="18" customHeight="1" spans="1:8">
      <c r="A18" s="10">
        <f t="shared" si="0"/>
        <v>8</v>
      </c>
      <c r="B18" s="18" t="s">
        <v>242</v>
      </c>
      <c r="C18" s="25" t="s">
        <v>452</v>
      </c>
      <c r="D18" s="113" t="s">
        <v>453</v>
      </c>
      <c r="E18" s="25" t="s">
        <v>454</v>
      </c>
      <c r="F18" s="11"/>
      <c r="G18" s="10" t="s">
        <v>455</v>
      </c>
      <c r="H18" s="216"/>
    </row>
    <row r="19" customHeight="1" spans="1:8">
      <c r="A19" s="10">
        <f t="shared" si="0"/>
        <v>9</v>
      </c>
      <c r="B19" s="18" t="s">
        <v>242</v>
      </c>
      <c r="C19" s="25" t="s">
        <v>456</v>
      </c>
      <c r="D19" s="113" t="s">
        <v>457</v>
      </c>
      <c r="E19" s="25" t="s">
        <v>458</v>
      </c>
      <c r="F19" s="11"/>
      <c r="G19" s="10" t="s">
        <v>421</v>
      </c>
      <c r="H19" s="216"/>
    </row>
    <row r="20" customHeight="1" spans="1:8">
      <c r="A20" s="10">
        <f t="shared" si="0"/>
        <v>10</v>
      </c>
      <c r="B20" s="18" t="s">
        <v>242</v>
      </c>
      <c r="C20" s="25" t="s">
        <v>459</v>
      </c>
      <c r="D20" s="113" t="s">
        <v>460</v>
      </c>
      <c r="E20" s="25" t="s">
        <v>461</v>
      </c>
      <c r="F20" s="11" t="s">
        <v>451</v>
      </c>
      <c r="G20" s="10" t="s">
        <v>421</v>
      </c>
      <c r="H20" s="216"/>
    </row>
    <row r="21" customHeight="1" spans="1:8">
      <c r="A21" s="10">
        <f t="shared" si="0"/>
        <v>11</v>
      </c>
      <c r="B21" s="18" t="s">
        <v>242</v>
      </c>
      <c r="C21" s="25" t="s">
        <v>462</v>
      </c>
      <c r="D21" s="113" t="s">
        <v>463</v>
      </c>
      <c r="E21" s="25" t="s">
        <v>464</v>
      </c>
      <c r="F21" s="11"/>
      <c r="G21" s="10" t="s">
        <v>455</v>
      </c>
      <c r="H21" s="216"/>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85" zoomScaleNormal="85" topLeftCell="A6" workbookViewId="0">
      <selection activeCell="I13" sqref="I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2.3333333333333" style="23" customWidth="1"/>
    <col min="10" max="16384" width="10.8333333333333" style="23"/>
  </cols>
  <sheetData>
    <row r="1" customHeight="1" spans="1:8">
      <c r="A1" s="1" t="s">
        <v>223</v>
      </c>
      <c r="B1" s="2" t="s">
        <v>88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465</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23" si="0">ROW(A12)-10</f>
        <v>2</v>
      </c>
      <c r="B12" s="18" t="s">
        <v>242</v>
      </c>
      <c r="C12" s="25" t="s">
        <v>323</v>
      </c>
      <c r="D12" s="113" t="s">
        <v>323</v>
      </c>
      <c r="E12" s="25" t="s">
        <v>324</v>
      </c>
      <c r="F12" s="11" t="s">
        <v>325</v>
      </c>
      <c r="G12" s="10" t="s">
        <v>322</v>
      </c>
      <c r="H12" s="11"/>
      <c r="I12" s="23" t="s">
        <v>326</v>
      </c>
      <c r="J12" s="23" t="s">
        <v>243</v>
      </c>
    </row>
    <row r="13" customHeight="1" spans="1:10">
      <c r="A13" s="10">
        <f t="shared" si="0"/>
        <v>3</v>
      </c>
      <c r="B13" s="18" t="s">
        <v>242</v>
      </c>
      <c r="C13" s="25" t="s">
        <v>466</v>
      </c>
      <c r="D13" s="113" t="s">
        <v>467</v>
      </c>
      <c r="E13" s="25" t="s">
        <v>252</v>
      </c>
      <c r="F13" s="11"/>
      <c r="G13" s="10" t="s">
        <v>248</v>
      </c>
      <c r="H13" s="11"/>
      <c r="I13" s="206" t="s">
        <v>253</v>
      </c>
      <c r="J13" s="206" t="s">
        <v>243</v>
      </c>
    </row>
    <row r="14" customHeight="1" spans="1:10">
      <c r="A14" s="10">
        <f t="shared" si="0"/>
        <v>4</v>
      </c>
      <c r="B14" s="18" t="s">
        <v>242</v>
      </c>
      <c r="C14" s="25" t="s">
        <v>468</v>
      </c>
      <c r="D14" s="113" t="s">
        <v>468</v>
      </c>
      <c r="E14" s="25" t="s">
        <v>469</v>
      </c>
      <c r="F14" s="11"/>
      <c r="G14" s="10" t="s">
        <v>421</v>
      </c>
      <c r="H14" s="11"/>
      <c r="I14" s="206"/>
      <c r="J14" s="201"/>
    </row>
    <row r="15" customHeight="1" spans="1:8">
      <c r="A15" s="10">
        <f t="shared" si="0"/>
        <v>5</v>
      </c>
      <c r="B15" s="18" t="s">
        <v>242</v>
      </c>
      <c r="C15" s="25" t="s">
        <v>470</v>
      </c>
      <c r="D15" s="113" t="s">
        <v>470</v>
      </c>
      <c r="E15" s="25" t="s">
        <v>471</v>
      </c>
      <c r="F15" s="11"/>
      <c r="G15" s="10" t="s">
        <v>421</v>
      </c>
      <c r="H15" s="11"/>
    </row>
    <row r="16" customHeight="1" spans="1:8">
      <c r="A16" s="10">
        <f t="shared" si="0"/>
        <v>6</v>
      </c>
      <c r="B16" s="18" t="s">
        <v>242</v>
      </c>
      <c r="C16" s="25" t="s">
        <v>442</v>
      </c>
      <c r="D16" s="113" t="s">
        <v>443</v>
      </c>
      <c r="E16" s="25" t="s">
        <v>444</v>
      </c>
      <c r="F16" s="11"/>
      <c r="G16" s="10" t="s">
        <v>472</v>
      </c>
      <c r="H16" s="11"/>
    </row>
    <row r="17" customHeight="1" spans="1:8">
      <c r="A17" s="10">
        <f t="shared" si="0"/>
        <v>7</v>
      </c>
      <c r="B17" s="18" t="s">
        <v>242</v>
      </c>
      <c r="C17" s="25" t="s">
        <v>445</v>
      </c>
      <c r="D17" s="113" t="s">
        <v>446</v>
      </c>
      <c r="E17" s="25" t="s">
        <v>447</v>
      </c>
      <c r="F17" s="11"/>
      <c r="G17" s="10" t="s">
        <v>472</v>
      </c>
      <c r="H17" s="11"/>
    </row>
    <row r="18" customHeight="1" spans="1:8">
      <c r="A18" s="10">
        <f t="shared" si="0"/>
        <v>8</v>
      </c>
      <c r="B18" s="18" t="s">
        <v>242</v>
      </c>
      <c r="C18" s="25" t="s">
        <v>448</v>
      </c>
      <c r="D18" s="113" t="s">
        <v>449</v>
      </c>
      <c r="E18" s="25" t="s">
        <v>450</v>
      </c>
      <c r="F18" s="11" t="s">
        <v>451</v>
      </c>
      <c r="G18" s="10" t="s">
        <v>472</v>
      </c>
      <c r="H18" s="11"/>
    </row>
    <row r="19" customHeight="1" spans="1:8">
      <c r="A19" s="10">
        <f t="shared" si="0"/>
        <v>9</v>
      </c>
      <c r="B19" s="18" t="s">
        <v>242</v>
      </c>
      <c r="C19" s="25" t="s">
        <v>452</v>
      </c>
      <c r="D19" s="113" t="s">
        <v>453</v>
      </c>
      <c r="E19" s="25" t="s">
        <v>454</v>
      </c>
      <c r="F19" s="11"/>
      <c r="G19" s="10" t="s">
        <v>473</v>
      </c>
      <c r="H19" s="11"/>
    </row>
    <row r="20" customHeight="1" spans="1:8">
      <c r="A20" s="10">
        <f t="shared" si="0"/>
        <v>10</v>
      </c>
      <c r="B20" s="18" t="s">
        <v>242</v>
      </c>
      <c r="C20" s="25" t="s">
        <v>456</v>
      </c>
      <c r="D20" s="113" t="s">
        <v>457</v>
      </c>
      <c r="E20" s="25" t="s">
        <v>458</v>
      </c>
      <c r="F20" s="11"/>
      <c r="G20" s="10" t="s">
        <v>472</v>
      </c>
      <c r="H20" s="11"/>
    </row>
    <row r="21" customHeight="1" spans="1:8">
      <c r="A21" s="10">
        <f t="shared" si="0"/>
        <v>11</v>
      </c>
      <c r="B21" s="18" t="s">
        <v>242</v>
      </c>
      <c r="C21" s="25" t="s">
        <v>459</v>
      </c>
      <c r="D21" s="113" t="s">
        <v>460</v>
      </c>
      <c r="E21" s="25" t="s">
        <v>461</v>
      </c>
      <c r="F21" s="11" t="s">
        <v>451</v>
      </c>
      <c r="G21" s="10" t="s">
        <v>472</v>
      </c>
      <c r="H21" s="11"/>
    </row>
    <row r="22" customHeight="1" spans="1:8">
      <c r="A22" s="10">
        <f t="shared" si="0"/>
        <v>12</v>
      </c>
      <c r="B22" s="18" t="s">
        <v>242</v>
      </c>
      <c r="C22" s="25" t="s">
        <v>462</v>
      </c>
      <c r="D22" s="113" t="s">
        <v>463</v>
      </c>
      <c r="E22" s="25" t="s">
        <v>464</v>
      </c>
      <c r="F22" s="11"/>
      <c r="G22" s="10" t="s">
        <v>473</v>
      </c>
      <c r="H22" s="11"/>
    </row>
    <row r="23" customHeight="1" spans="1:8">
      <c r="A23" s="10">
        <f t="shared" si="0"/>
        <v>13</v>
      </c>
      <c r="B23" s="18" t="s">
        <v>242</v>
      </c>
      <c r="C23" s="25" t="s">
        <v>474</v>
      </c>
      <c r="D23" s="113" t="s">
        <v>475</v>
      </c>
      <c r="E23" s="25" t="s">
        <v>476</v>
      </c>
      <c r="F23" s="11" t="s">
        <v>451</v>
      </c>
      <c r="G23" s="10" t="s">
        <v>477</v>
      </c>
      <c r="H23"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zoomScale="85" zoomScaleNormal="85" topLeftCell="A5" workbookViewId="0">
      <selection activeCell="I13" sqref="I13:J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2.3333333333333" style="23" customWidth="1"/>
    <col min="10" max="10" width="10.8333333333333" style="23"/>
    <col min="11" max="11" width="19.6666666666667" style="23" customWidth="1"/>
    <col min="12" max="16384" width="10.8333333333333" style="23"/>
  </cols>
  <sheetData>
    <row r="1" customHeight="1" spans="1:8">
      <c r="A1" s="1" t="s">
        <v>223</v>
      </c>
      <c r="B1" s="2" t="s">
        <v>89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478</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18" si="0">ROW(A12)-10</f>
        <v>2</v>
      </c>
      <c r="B12" s="18" t="s">
        <v>242</v>
      </c>
      <c r="C12" s="25" t="s">
        <v>423</v>
      </c>
      <c r="D12" s="113" t="s">
        <v>424</v>
      </c>
      <c r="E12" s="25" t="s">
        <v>425</v>
      </c>
      <c r="F12" s="11" t="s">
        <v>426</v>
      </c>
      <c r="G12" s="10" t="s">
        <v>322</v>
      </c>
      <c r="H12" s="11"/>
      <c r="I12" s="23" t="s">
        <v>427</v>
      </c>
      <c r="J12" s="23" t="s">
        <v>243</v>
      </c>
    </row>
    <row r="13" customHeight="1" spans="1:10">
      <c r="A13" s="10">
        <f t="shared" si="0"/>
        <v>3</v>
      </c>
      <c r="B13" s="18" t="s">
        <v>242</v>
      </c>
      <c r="C13" s="25" t="s">
        <v>323</v>
      </c>
      <c r="D13" s="113" t="s">
        <v>323</v>
      </c>
      <c r="E13" s="25" t="s">
        <v>324</v>
      </c>
      <c r="F13" s="11" t="s">
        <v>325</v>
      </c>
      <c r="G13" s="10" t="s">
        <v>322</v>
      </c>
      <c r="H13" s="11"/>
      <c r="I13" s="23" t="s">
        <v>326</v>
      </c>
      <c r="J13" s="23" t="s">
        <v>243</v>
      </c>
    </row>
    <row r="14" customHeight="1" spans="1:10">
      <c r="A14" s="10">
        <f t="shared" si="0"/>
        <v>4</v>
      </c>
      <c r="B14" s="18" t="s">
        <v>242</v>
      </c>
      <c r="C14" s="25" t="s">
        <v>246</v>
      </c>
      <c r="D14" s="113" t="s">
        <v>246</v>
      </c>
      <c r="E14" s="25" t="s">
        <v>247</v>
      </c>
      <c r="F14" s="11"/>
      <c r="G14" s="10" t="s">
        <v>248</v>
      </c>
      <c r="H14" s="11"/>
      <c r="I14" s="206" t="s">
        <v>249</v>
      </c>
      <c r="J14" s="201" t="s">
        <v>247</v>
      </c>
    </row>
    <row r="15" customHeight="1" spans="1:11">
      <c r="A15" s="10">
        <f t="shared" si="0"/>
        <v>5</v>
      </c>
      <c r="B15" s="18" t="s">
        <v>242</v>
      </c>
      <c r="C15" s="25" t="s">
        <v>479</v>
      </c>
      <c r="D15" s="113" t="s">
        <v>479</v>
      </c>
      <c r="E15" s="25" t="s">
        <v>480</v>
      </c>
      <c r="F15" s="11" t="s">
        <v>481</v>
      </c>
      <c r="G15" s="10" t="s">
        <v>248</v>
      </c>
      <c r="H15" s="11"/>
      <c r="I15" s="23" t="s">
        <v>264</v>
      </c>
      <c r="J15" s="23" t="s">
        <v>265</v>
      </c>
      <c r="K15" s="80" t="s">
        <v>480</v>
      </c>
    </row>
    <row r="16" customHeight="1" spans="1:8">
      <c r="A16" s="10">
        <f t="shared" si="0"/>
        <v>6</v>
      </c>
      <c r="B16" s="18" t="s">
        <v>242</v>
      </c>
      <c r="C16" s="25" t="s">
        <v>482</v>
      </c>
      <c r="D16" s="113" t="s">
        <v>482</v>
      </c>
      <c r="E16" s="25" t="s">
        <v>483</v>
      </c>
      <c r="F16" s="11" t="s">
        <v>484</v>
      </c>
      <c r="G16" s="10" t="s">
        <v>263</v>
      </c>
      <c r="H16" s="11"/>
    </row>
    <row r="17" customHeight="1" spans="1:8">
      <c r="A17" s="10">
        <f t="shared" si="0"/>
        <v>7</v>
      </c>
      <c r="B17" s="18" t="s">
        <v>242</v>
      </c>
      <c r="C17" s="25" t="s">
        <v>485</v>
      </c>
      <c r="D17" s="113" t="s">
        <v>485</v>
      </c>
      <c r="E17" s="25" t="s">
        <v>486</v>
      </c>
      <c r="F17" s="11" t="s">
        <v>484</v>
      </c>
      <c r="G17" s="10" t="s">
        <v>263</v>
      </c>
      <c r="H17" s="11"/>
    </row>
    <row r="18" customHeight="1" spans="1:8">
      <c r="A18" s="10">
        <f t="shared" si="0"/>
        <v>8</v>
      </c>
      <c r="B18" s="18" t="s">
        <v>242</v>
      </c>
      <c r="C18" s="25" t="s">
        <v>474</v>
      </c>
      <c r="D18" s="113" t="s">
        <v>474</v>
      </c>
      <c r="E18" s="25" t="s">
        <v>342</v>
      </c>
      <c r="F18" s="11"/>
      <c r="G18" s="10" t="s">
        <v>477</v>
      </c>
      <c r="H18"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topLeftCell="A11"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2.3333333333333" style="23" customWidth="1"/>
    <col min="10" max="16384" width="10.8333333333333" style="23"/>
  </cols>
  <sheetData>
    <row r="1" customHeight="1" spans="1:8">
      <c r="A1" s="1" t="s">
        <v>223</v>
      </c>
      <c r="B1" s="2" t="s">
        <v>90</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487</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26" si="0">ROW(A12)-10</f>
        <v>2</v>
      </c>
      <c r="B12" s="18" t="s">
        <v>242</v>
      </c>
      <c r="C12" s="25" t="s">
        <v>423</v>
      </c>
      <c r="D12" s="113" t="s">
        <v>424</v>
      </c>
      <c r="E12" s="25" t="s">
        <v>425</v>
      </c>
      <c r="F12" s="11" t="s">
        <v>426</v>
      </c>
      <c r="G12" s="10" t="s">
        <v>322</v>
      </c>
      <c r="H12" s="11"/>
      <c r="I12" s="23" t="s">
        <v>441</v>
      </c>
      <c r="J12" s="23" t="s">
        <v>243</v>
      </c>
    </row>
    <row r="13" customHeight="1" spans="1:10">
      <c r="A13" s="10">
        <f t="shared" si="0"/>
        <v>3</v>
      </c>
      <c r="B13" s="18" t="s">
        <v>242</v>
      </c>
      <c r="C13" s="25" t="s">
        <v>323</v>
      </c>
      <c r="D13" s="113" t="s">
        <v>323</v>
      </c>
      <c r="E13" s="25" t="s">
        <v>324</v>
      </c>
      <c r="F13" s="11" t="s">
        <v>325</v>
      </c>
      <c r="G13" s="10" t="s">
        <v>322</v>
      </c>
      <c r="H13" s="11"/>
      <c r="I13" s="23" t="s">
        <v>326</v>
      </c>
      <c r="J13" s="23" t="s">
        <v>243</v>
      </c>
    </row>
    <row r="14" customHeight="1" spans="1:10">
      <c r="A14" s="10">
        <f t="shared" si="0"/>
        <v>4</v>
      </c>
      <c r="B14" s="18" t="s">
        <v>242</v>
      </c>
      <c r="C14" s="25" t="s">
        <v>246</v>
      </c>
      <c r="D14" s="113" t="s">
        <v>246</v>
      </c>
      <c r="E14" s="25" t="s">
        <v>247</v>
      </c>
      <c r="F14" s="11"/>
      <c r="G14" s="10" t="s">
        <v>248</v>
      </c>
      <c r="H14" s="11"/>
      <c r="I14" s="206" t="s">
        <v>249</v>
      </c>
      <c r="J14" s="201" t="s">
        <v>247</v>
      </c>
    </row>
    <row r="15" customHeight="1" spans="1:8">
      <c r="A15" s="10">
        <f t="shared" si="0"/>
        <v>5</v>
      </c>
      <c r="B15" s="18" t="s">
        <v>242</v>
      </c>
      <c r="C15" s="25" t="s">
        <v>488</v>
      </c>
      <c r="D15" s="113" t="s">
        <v>489</v>
      </c>
      <c r="E15" s="25" t="s">
        <v>490</v>
      </c>
      <c r="F15" s="11"/>
      <c r="G15" s="10" t="s">
        <v>491</v>
      </c>
      <c r="H15" s="11"/>
    </row>
    <row r="16" customHeight="1" spans="1:8">
      <c r="A16" s="10">
        <f t="shared" si="0"/>
        <v>6</v>
      </c>
      <c r="B16" s="18"/>
      <c r="C16" s="25" t="s">
        <v>492</v>
      </c>
      <c r="D16" s="113" t="s">
        <v>492</v>
      </c>
      <c r="E16" s="25" t="s">
        <v>493</v>
      </c>
      <c r="F16" s="11"/>
      <c r="G16" s="10" t="s">
        <v>273</v>
      </c>
      <c r="H16" s="11"/>
    </row>
    <row r="17" customHeight="1" spans="1:8">
      <c r="A17" s="10">
        <f t="shared" si="0"/>
        <v>7</v>
      </c>
      <c r="B17" s="18"/>
      <c r="C17" s="25" t="s">
        <v>494</v>
      </c>
      <c r="D17" s="113" t="s">
        <v>494</v>
      </c>
      <c r="E17" s="25" t="s">
        <v>495</v>
      </c>
      <c r="F17" s="11" t="s">
        <v>496</v>
      </c>
      <c r="G17" s="10" t="s">
        <v>248</v>
      </c>
      <c r="H17" s="11"/>
    </row>
    <row r="18" customHeight="1" spans="1:8">
      <c r="A18" s="10">
        <f t="shared" si="0"/>
        <v>8</v>
      </c>
      <c r="B18" s="18"/>
      <c r="C18" s="25" t="s">
        <v>497</v>
      </c>
      <c r="D18" s="113" t="s">
        <v>497</v>
      </c>
      <c r="E18" s="25" t="s">
        <v>498</v>
      </c>
      <c r="F18" s="11"/>
      <c r="G18" s="10" t="s">
        <v>263</v>
      </c>
      <c r="H18" s="11"/>
    </row>
    <row r="19" customHeight="1" spans="1:8">
      <c r="A19" s="10">
        <f t="shared" si="0"/>
        <v>9</v>
      </c>
      <c r="B19" s="18"/>
      <c r="C19" s="25" t="s">
        <v>499</v>
      </c>
      <c r="D19" s="113" t="s">
        <v>500</v>
      </c>
      <c r="E19" s="25" t="s">
        <v>501</v>
      </c>
      <c r="F19" s="11"/>
      <c r="G19" s="10" t="s">
        <v>273</v>
      </c>
      <c r="H19" s="11"/>
    </row>
    <row r="20" customHeight="1" spans="1:8">
      <c r="A20" s="10">
        <f t="shared" si="0"/>
        <v>10</v>
      </c>
      <c r="B20" s="18"/>
      <c r="C20" s="25" t="s">
        <v>502</v>
      </c>
      <c r="D20" s="113" t="s">
        <v>503</v>
      </c>
      <c r="E20" s="25" t="s">
        <v>504</v>
      </c>
      <c r="F20" s="11" t="s">
        <v>496</v>
      </c>
      <c r="G20" s="10" t="s">
        <v>248</v>
      </c>
      <c r="H20" s="11"/>
    </row>
    <row r="21" customHeight="1" spans="1:8">
      <c r="A21" s="10">
        <f t="shared" si="0"/>
        <v>11</v>
      </c>
      <c r="B21" s="18"/>
      <c r="C21" s="25" t="s">
        <v>505</v>
      </c>
      <c r="D21" s="113" t="s">
        <v>506</v>
      </c>
      <c r="E21" s="25" t="s">
        <v>507</v>
      </c>
      <c r="F21" s="11"/>
      <c r="G21" s="10" t="s">
        <v>263</v>
      </c>
      <c r="H21" s="11"/>
    </row>
    <row r="22" customHeight="1" spans="1:8">
      <c r="A22" s="10">
        <f t="shared" si="0"/>
        <v>12</v>
      </c>
      <c r="B22" s="18"/>
      <c r="C22" s="25" t="s">
        <v>508</v>
      </c>
      <c r="D22" s="113" t="s">
        <v>509</v>
      </c>
      <c r="E22" s="25" t="s">
        <v>510</v>
      </c>
      <c r="F22" s="11"/>
      <c r="G22" s="10" t="s">
        <v>390</v>
      </c>
      <c r="H22" s="11"/>
    </row>
    <row r="23" customHeight="1" spans="1:8">
      <c r="A23" s="10">
        <f t="shared" si="0"/>
        <v>13</v>
      </c>
      <c r="B23" s="18" t="s">
        <v>242</v>
      </c>
      <c r="C23" s="25" t="s">
        <v>511</v>
      </c>
      <c r="D23" s="113" t="s">
        <v>512</v>
      </c>
      <c r="E23" s="25" t="s">
        <v>513</v>
      </c>
      <c r="F23" s="11"/>
      <c r="G23" s="10" t="s">
        <v>273</v>
      </c>
      <c r="H23" s="11"/>
    </row>
    <row r="24" customHeight="1" spans="1:8">
      <c r="A24" s="10">
        <f t="shared" si="0"/>
        <v>14</v>
      </c>
      <c r="B24" s="18" t="s">
        <v>242</v>
      </c>
      <c r="C24" s="25" t="s">
        <v>514</v>
      </c>
      <c r="D24" s="113" t="s">
        <v>514</v>
      </c>
      <c r="E24" s="25" t="s">
        <v>515</v>
      </c>
      <c r="F24" s="11" t="s">
        <v>496</v>
      </c>
      <c r="G24" s="10" t="s">
        <v>248</v>
      </c>
      <c r="H24" s="11"/>
    </row>
    <row r="25" customHeight="1" spans="1:8">
      <c r="A25" s="10">
        <f t="shared" si="0"/>
        <v>15</v>
      </c>
      <c r="B25" s="18" t="s">
        <v>242</v>
      </c>
      <c r="C25" s="25" t="s">
        <v>516</v>
      </c>
      <c r="D25" s="113" t="s">
        <v>516</v>
      </c>
      <c r="E25" s="25" t="s">
        <v>517</v>
      </c>
      <c r="F25" s="11"/>
      <c r="G25" s="10" t="s">
        <v>263</v>
      </c>
      <c r="H25" s="11"/>
    </row>
    <row r="26" customHeight="1" spans="1:8">
      <c r="A26" s="10">
        <f t="shared" si="0"/>
        <v>16</v>
      </c>
      <c r="B26" s="18"/>
      <c r="C26" s="25" t="s">
        <v>518</v>
      </c>
      <c r="D26" s="113" t="s">
        <v>518</v>
      </c>
      <c r="E26" s="25" t="s">
        <v>519</v>
      </c>
      <c r="F26" s="11"/>
      <c r="G26" s="10" t="s">
        <v>390</v>
      </c>
      <c r="H26"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zoomScale="85" zoomScaleNormal="85" topLeftCell="A8"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5.2916666666667" style="23" customWidth="1"/>
    <col min="7" max="7" width="21.1666666666667" style="23" customWidth="1"/>
    <col min="8" max="8" width="15.15" style="23" customWidth="1"/>
    <col min="9" max="9" width="22.3333333333333" style="23" customWidth="1"/>
    <col min="10" max="10" width="10.8333333333333" style="23"/>
    <col min="11" max="11" width="30" style="23" customWidth="1"/>
    <col min="12" max="16384" width="10.8333333333333" style="23"/>
  </cols>
  <sheetData>
    <row r="1" customHeight="1" spans="1:8">
      <c r="A1" s="1" t="s">
        <v>223</v>
      </c>
      <c r="B1" s="2" t="s">
        <v>91</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520</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20" si="0">ROW(A12)-10</f>
        <v>2</v>
      </c>
      <c r="B12" s="18" t="s">
        <v>242</v>
      </c>
      <c r="C12" s="25" t="s">
        <v>423</v>
      </c>
      <c r="D12" s="113" t="s">
        <v>424</v>
      </c>
      <c r="E12" s="25" t="s">
        <v>425</v>
      </c>
      <c r="F12" s="11" t="s">
        <v>426</v>
      </c>
      <c r="G12" s="10" t="s">
        <v>322</v>
      </c>
      <c r="H12" s="11"/>
      <c r="I12" s="23" t="s">
        <v>441</v>
      </c>
      <c r="J12" s="23" t="s">
        <v>243</v>
      </c>
    </row>
    <row r="13" customHeight="1" spans="1:10">
      <c r="A13" s="10">
        <f t="shared" si="0"/>
        <v>3</v>
      </c>
      <c r="B13" s="18" t="s">
        <v>242</v>
      </c>
      <c r="C13" s="25" t="s">
        <v>323</v>
      </c>
      <c r="D13" s="113" t="s">
        <v>323</v>
      </c>
      <c r="E13" s="25" t="s">
        <v>324</v>
      </c>
      <c r="F13" s="11" t="s">
        <v>325</v>
      </c>
      <c r="G13" s="10" t="s">
        <v>322</v>
      </c>
      <c r="H13" s="11"/>
      <c r="I13" s="23" t="s">
        <v>326</v>
      </c>
      <c r="J13" s="23" t="s">
        <v>243</v>
      </c>
    </row>
    <row r="14" customHeight="1" spans="1:10">
      <c r="A14" s="10">
        <f t="shared" si="0"/>
        <v>4</v>
      </c>
      <c r="B14" s="18" t="s">
        <v>242</v>
      </c>
      <c r="C14" s="25" t="s">
        <v>246</v>
      </c>
      <c r="D14" s="113" t="s">
        <v>246</v>
      </c>
      <c r="E14" s="25" t="s">
        <v>247</v>
      </c>
      <c r="F14" s="11"/>
      <c r="G14" s="10" t="s">
        <v>248</v>
      </c>
      <c r="H14" s="11"/>
      <c r="I14" s="206" t="s">
        <v>249</v>
      </c>
      <c r="J14" s="201" t="s">
        <v>247</v>
      </c>
    </row>
    <row r="15" customHeight="1" spans="1:11">
      <c r="A15" s="10">
        <f t="shared" si="0"/>
        <v>5</v>
      </c>
      <c r="B15" s="18"/>
      <c r="C15" s="25" t="s">
        <v>521</v>
      </c>
      <c r="D15" s="113" t="s">
        <v>521</v>
      </c>
      <c r="E15" s="25" t="s">
        <v>522</v>
      </c>
      <c r="F15" s="11" t="s">
        <v>523</v>
      </c>
      <c r="G15" s="10" t="s">
        <v>248</v>
      </c>
      <c r="H15" s="11"/>
      <c r="I15" s="23" t="s">
        <v>264</v>
      </c>
      <c r="J15" s="23" t="s">
        <v>265</v>
      </c>
      <c r="K15" s="23" t="s">
        <v>522</v>
      </c>
    </row>
    <row r="16" customHeight="1" spans="1:8">
      <c r="A16" s="10">
        <f t="shared" si="0"/>
        <v>6</v>
      </c>
      <c r="B16" s="18" t="s">
        <v>242</v>
      </c>
      <c r="C16" s="25" t="s">
        <v>524</v>
      </c>
      <c r="D16" s="113" t="s">
        <v>525</v>
      </c>
      <c r="E16" s="25" t="s">
        <v>490</v>
      </c>
      <c r="F16" s="11"/>
      <c r="G16" s="10" t="s">
        <v>491</v>
      </c>
      <c r="H16" s="11"/>
    </row>
    <row r="17" customHeight="1" spans="1:8">
      <c r="A17" s="10">
        <f t="shared" si="0"/>
        <v>7</v>
      </c>
      <c r="B17" s="18" t="s">
        <v>242</v>
      </c>
      <c r="C17" s="25" t="s">
        <v>526</v>
      </c>
      <c r="D17" s="113" t="s">
        <v>526</v>
      </c>
      <c r="E17" s="25" t="s">
        <v>527</v>
      </c>
      <c r="F17" s="11"/>
      <c r="G17" s="10" t="s">
        <v>263</v>
      </c>
      <c r="H17" s="11"/>
    </row>
    <row r="18" customHeight="1" spans="1:8">
      <c r="A18" s="10">
        <f t="shared" si="0"/>
        <v>8</v>
      </c>
      <c r="B18" s="18"/>
      <c r="C18" s="25" t="s">
        <v>528</v>
      </c>
      <c r="D18" s="113" t="s">
        <v>528</v>
      </c>
      <c r="E18" s="25" t="s">
        <v>529</v>
      </c>
      <c r="F18" s="11"/>
      <c r="G18" s="10" t="s">
        <v>248</v>
      </c>
      <c r="H18" s="11"/>
    </row>
    <row r="19" customHeight="1" spans="1:8">
      <c r="A19" s="10">
        <f t="shared" si="0"/>
        <v>9</v>
      </c>
      <c r="B19" s="18"/>
      <c r="C19" s="25" t="s">
        <v>530</v>
      </c>
      <c r="D19" s="113" t="s">
        <v>530</v>
      </c>
      <c r="E19" s="25" t="s">
        <v>531</v>
      </c>
      <c r="F19" s="11"/>
      <c r="G19" s="10" t="s">
        <v>248</v>
      </c>
      <c r="H19" s="11"/>
    </row>
    <row r="20" customHeight="1" spans="1:8">
      <c r="A20" s="10">
        <f t="shared" si="0"/>
        <v>10</v>
      </c>
      <c r="B20" s="18"/>
      <c r="C20" s="25" t="s">
        <v>532</v>
      </c>
      <c r="D20" s="113" t="s">
        <v>532</v>
      </c>
      <c r="E20" s="25" t="s">
        <v>533</v>
      </c>
      <c r="F20" s="11"/>
      <c r="G20" s="10" t="s">
        <v>263</v>
      </c>
      <c r="H20"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85" zoomScaleNormal="85" topLeftCell="A13"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7.05" style="23" customWidth="1"/>
    <col min="7" max="7" width="21.1666666666667" style="23" customWidth="1"/>
    <col min="8" max="8" width="20.2916666666667" style="23" customWidth="1"/>
    <col min="9" max="9" width="19.5" style="23" customWidth="1"/>
    <col min="10" max="16384" width="10.8333333333333" style="23"/>
  </cols>
  <sheetData>
    <row r="1" customHeight="1" spans="1:8">
      <c r="A1" s="1" t="s">
        <v>223</v>
      </c>
      <c r="B1" s="2" t="s">
        <v>534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535</v>
      </c>
      <c r="F4" s="11"/>
      <c r="G4" s="11"/>
      <c r="H4" s="11"/>
    </row>
    <row r="5" customHeight="1" spans="1:8">
      <c r="A5" s="10">
        <v>2</v>
      </c>
      <c r="B5" s="10" t="s">
        <v>228</v>
      </c>
      <c r="C5" s="10"/>
      <c r="D5" s="10"/>
      <c r="E5" s="11" t="s">
        <v>536</v>
      </c>
      <c r="F5" s="11"/>
      <c r="G5" s="11"/>
      <c r="H5" s="11"/>
    </row>
    <row r="6" customHeight="1" spans="1:8">
      <c r="A6" s="10">
        <v>3</v>
      </c>
      <c r="B6" s="10" t="s">
        <v>229</v>
      </c>
      <c r="C6" s="10"/>
      <c r="D6" s="10"/>
      <c r="E6" s="11" t="s">
        <v>230</v>
      </c>
      <c r="F6" s="11"/>
      <c r="G6" s="11"/>
      <c r="H6" s="11"/>
    </row>
    <row r="7" customHeight="1" spans="1:8">
      <c r="A7" s="10">
        <v>4</v>
      </c>
      <c r="B7" s="10" t="s">
        <v>231</v>
      </c>
      <c r="C7" s="10"/>
      <c r="D7" s="10"/>
      <c r="E7" s="11" t="s">
        <v>537</v>
      </c>
      <c r="F7" s="11"/>
      <c r="G7" s="11"/>
      <c r="H7" s="11"/>
    </row>
    <row r="8" customHeight="1" spans="1:8">
      <c r="A8" s="10">
        <v>5</v>
      </c>
      <c r="B8" s="10" t="s">
        <v>233</v>
      </c>
      <c r="C8" s="10"/>
      <c r="D8" s="10"/>
      <c r="E8" s="11" t="s">
        <v>538</v>
      </c>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25" t="s">
        <v>243</v>
      </c>
      <c r="D11" s="113" t="s">
        <v>243</v>
      </c>
      <c r="E11" s="25" t="s">
        <v>243</v>
      </c>
      <c r="F11" s="11" t="s">
        <v>244</v>
      </c>
      <c r="G11" s="10" t="s">
        <v>248</v>
      </c>
      <c r="H11" s="11"/>
    </row>
    <row r="12" customHeight="1" spans="1:8">
      <c r="A12" s="10">
        <v>2</v>
      </c>
      <c r="B12" s="171" t="s">
        <v>242</v>
      </c>
      <c r="C12" s="39" t="s">
        <v>539</v>
      </c>
      <c r="D12" s="179" t="s">
        <v>539</v>
      </c>
      <c r="E12" s="39" t="s">
        <v>265</v>
      </c>
      <c r="F12" s="11" t="s">
        <v>540</v>
      </c>
      <c r="G12" s="10" t="s">
        <v>248</v>
      </c>
      <c r="H12" s="11"/>
    </row>
    <row r="13" customHeight="1" spans="1:8">
      <c r="A13" s="10">
        <v>3</v>
      </c>
      <c r="B13" s="171" t="s">
        <v>242</v>
      </c>
      <c r="C13" s="39" t="s">
        <v>541</v>
      </c>
      <c r="D13" s="179" t="s">
        <v>541</v>
      </c>
      <c r="E13" s="39" t="s">
        <v>365</v>
      </c>
      <c r="F13" s="11" t="s">
        <v>541</v>
      </c>
      <c r="G13" s="10" t="s">
        <v>303</v>
      </c>
      <c r="H13" s="11"/>
    </row>
    <row r="14" customHeight="1" spans="1:8">
      <c r="A14" s="10">
        <v>4</v>
      </c>
      <c r="B14" s="171" t="s">
        <v>242</v>
      </c>
      <c r="C14" s="39" t="s">
        <v>542</v>
      </c>
      <c r="D14" s="179" t="s">
        <v>542</v>
      </c>
      <c r="E14" s="39" t="s">
        <v>543</v>
      </c>
      <c r="F14" s="11" t="s">
        <v>542</v>
      </c>
      <c r="G14" s="10" t="s">
        <v>248</v>
      </c>
      <c r="H14" s="11"/>
    </row>
    <row r="15" customHeight="1" spans="1:10">
      <c r="A15" s="10">
        <v>5</v>
      </c>
      <c r="B15" s="171" t="s">
        <v>242</v>
      </c>
      <c r="C15" s="39" t="s">
        <v>544</v>
      </c>
      <c r="D15" s="179" t="s">
        <v>545</v>
      </c>
      <c r="E15" s="39" t="s">
        <v>546</v>
      </c>
      <c r="F15" s="11" t="s">
        <v>547</v>
      </c>
      <c r="G15" s="10" t="s">
        <v>263</v>
      </c>
      <c r="H15" s="11"/>
      <c r="I15" s="23" t="s">
        <v>384</v>
      </c>
      <c r="J15" s="23" t="s">
        <v>243</v>
      </c>
    </row>
    <row r="16" customHeight="1" spans="1:10">
      <c r="A16" s="10">
        <v>6</v>
      </c>
      <c r="B16" s="171" t="s">
        <v>242</v>
      </c>
      <c r="C16" s="39" t="s">
        <v>548</v>
      </c>
      <c r="D16" s="179" t="s">
        <v>549</v>
      </c>
      <c r="E16" s="170" t="s">
        <v>550</v>
      </c>
      <c r="F16" s="11" t="s">
        <v>547</v>
      </c>
      <c r="G16" s="10" t="s">
        <v>263</v>
      </c>
      <c r="H16" s="11"/>
      <c r="I16" s="23" t="s">
        <v>384</v>
      </c>
      <c r="J16" s="23" t="s">
        <v>243</v>
      </c>
    </row>
    <row r="17" customHeight="1" spans="1:8">
      <c r="A17" s="10">
        <v>7</v>
      </c>
      <c r="B17" s="171" t="s">
        <v>242</v>
      </c>
      <c r="C17" s="39" t="s">
        <v>551</v>
      </c>
      <c r="D17" s="179" t="s">
        <v>551</v>
      </c>
      <c r="E17" s="39" t="s">
        <v>552</v>
      </c>
      <c r="F17" s="97"/>
      <c r="G17" s="25" t="s">
        <v>553</v>
      </c>
      <c r="H17" s="97"/>
    </row>
    <row r="18" customHeight="1" spans="1:8">
      <c r="A18" s="10">
        <v>8</v>
      </c>
      <c r="B18" s="171" t="s">
        <v>242</v>
      </c>
      <c r="C18" s="39" t="s">
        <v>554</v>
      </c>
      <c r="D18" s="179" t="s">
        <v>554</v>
      </c>
      <c r="E18" s="39" t="s">
        <v>555</v>
      </c>
      <c r="F18" s="98"/>
      <c r="G18" s="215" t="s">
        <v>320</v>
      </c>
      <c r="H18" s="216"/>
    </row>
    <row r="19" ht="27.75" spans="1:8">
      <c r="A19" s="10">
        <v>9</v>
      </c>
      <c r="B19" s="171" t="s">
        <v>242</v>
      </c>
      <c r="C19" s="39" t="s">
        <v>556</v>
      </c>
      <c r="D19" s="179" t="s">
        <v>557</v>
      </c>
      <c r="E19" s="39" t="s">
        <v>416</v>
      </c>
      <c r="F19" s="260"/>
      <c r="G19" s="25" t="s">
        <v>359</v>
      </c>
      <c r="H19" s="97"/>
    </row>
    <row r="20" customHeight="1" spans="1:8">
      <c r="A20" s="10">
        <v>10</v>
      </c>
      <c r="B20" s="171" t="s">
        <v>242</v>
      </c>
      <c r="C20" s="39" t="s">
        <v>558</v>
      </c>
      <c r="D20" s="179" t="s">
        <v>559</v>
      </c>
      <c r="E20" s="39" t="s">
        <v>560</v>
      </c>
      <c r="F20" s="98"/>
      <c r="G20" s="25" t="s">
        <v>421</v>
      </c>
      <c r="H20" s="97"/>
    </row>
    <row r="21" customHeight="1" spans="1:8">
      <c r="A21" s="10">
        <v>11</v>
      </c>
      <c r="B21" s="171" t="s">
        <v>242</v>
      </c>
      <c r="C21" s="39" t="s">
        <v>561</v>
      </c>
      <c r="D21" s="179" t="s">
        <v>561</v>
      </c>
      <c r="E21" s="39" t="s">
        <v>562</v>
      </c>
      <c r="F21" s="97" t="s">
        <v>563</v>
      </c>
      <c r="G21" s="25" t="s">
        <v>564</v>
      </c>
      <c r="H21" s="97"/>
    </row>
    <row r="22" customHeight="1" spans="1:8">
      <c r="A22" s="10">
        <v>12</v>
      </c>
      <c r="B22" s="171" t="s">
        <v>242</v>
      </c>
      <c r="C22" s="39" t="s">
        <v>565</v>
      </c>
      <c r="D22" s="179" t="s">
        <v>565</v>
      </c>
      <c r="E22" s="39" t="s">
        <v>566</v>
      </c>
      <c r="F22" s="97" t="s">
        <v>563</v>
      </c>
      <c r="G22" s="25" t="s">
        <v>564</v>
      </c>
      <c r="H22" s="97"/>
    </row>
    <row r="23" customHeight="1" spans="1:8">
      <c r="A23" s="10">
        <v>13</v>
      </c>
      <c r="B23" s="171" t="s">
        <v>242</v>
      </c>
      <c r="C23" s="39" t="s">
        <v>567</v>
      </c>
      <c r="D23" s="179" t="s">
        <v>567</v>
      </c>
      <c r="E23" s="39" t="s">
        <v>568</v>
      </c>
      <c r="F23" s="98"/>
      <c r="G23" s="25" t="s">
        <v>248</v>
      </c>
      <c r="H23" s="97"/>
    </row>
    <row r="24" customHeight="1" spans="1:8">
      <c r="A24" s="10">
        <v>14</v>
      </c>
      <c r="B24" s="171"/>
      <c r="C24" s="39" t="s">
        <v>569</v>
      </c>
      <c r="D24" s="179"/>
      <c r="E24" s="39" t="s">
        <v>570</v>
      </c>
      <c r="F24" s="98"/>
      <c r="G24" s="25" t="s">
        <v>571</v>
      </c>
      <c r="H24" s="97"/>
    </row>
    <row r="25" customHeight="1" spans="1:8">
      <c r="A25" s="10">
        <v>15</v>
      </c>
      <c r="B25" s="171"/>
      <c r="C25" s="39" t="s">
        <v>572</v>
      </c>
      <c r="D25" s="179"/>
      <c r="E25" s="39" t="s">
        <v>573</v>
      </c>
      <c r="F25" s="98"/>
      <c r="G25" s="25" t="s">
        <v>248</v>
      </c>
      <c r="H25" s="97"/>
    </row>
    <row r="26" customHeight="1" spans="1:8">
      <c r="A26" s="10">
        <v>16</v>
      </c>
      <c r="B26" s="171"/>
      <c r="C26" s="39" t="s">
        <v>574</v>
      </c>
      <c r="D26" s="179"/>
      <c r="E26" s="39" t="s">
        <v>575</v>
      </c>
      <c r="F26" s="97"/>
      <c r="G26" s="25" t="s">
        <v>576</v>
      </c>
      <c r="H26" s="97"/>
    </row>
    <row r="27" customHeight="1" spans="1:8">
      <c r="A27" s="10">
        <v>17</v>
      </c>
      <c r="B27" s="171"/>
      <c r="C27" s="39" t="s">
        <v>577</v>
      </c>
      <c r="D27" s="179"/>
      <c r="E27" s="39" t="s">
        <v>578</v>
      </c>
      <c r="F27" s="11"/>
      <c r="G27" s="10" t="s">
        <v>248</v>
      </c>
      <c r="H27" s="11"/>
    </row>
    <row r="28" customHeight="1" spans="1:8">
      <c r="A28" s="10">
        <v>18</v>
      </c>
      <c r="B28" s="18"/>
      <c r="C28" s="25" t="s">
        <v>579</v>
      </c>
      <c r="D28" s="113"/>
      <c r="E28" s="25" t="s">
        <v>580</v>
      </c>
      <c r="F28" s="97"/>
      <c r="G28" s="25" t="s">
        <v>576</v>
      </c>
      <c r="H28"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85" zoomScaleNormal="85" topLeftCell="A8" workbookViewId="0">
      <selection activeCell="A20" sqref="$A20:$XFD3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2.2" style="23" customWidth="1"/>
    <col min="7" max="7" width="21.1666666666667" style="23" customWidth="1"/>
    <col min="8" max="8" width="38.675" style="23" customWidth="1"/>
    <col min="9" max="9" width="25.2916666666667" style="23" customWidth="1"/>
    <col min="10" max="16384" width="10.8333333333333" style="23"/>
  </cols>
  <sheetData>
    <row r="1" customHeight="1" spans="1:8">
      <c r="A1" s="1" t="s">
        <v>223</v>
      </c>
      <c r="B1" s="2" t="s">
        <v>581</v>
      </c>
      <c r="C1" s="3"/>
      <c r="D1" s="3"/>
      <c r="E1" s="3"/>
      <c r="F1" s="3"/>
      <c r="G1" s="3"/>
      <c r="H1" s="3"/>
    </row>
    <row r="2" ht="27"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582</v>
      </c>
      <c r="F4" s="11"/>
      <c r="G4" s="11"/>
      <c r="H4" s="11"/>
    </row>
    <row r="5" customHeight="1" spans="1:8">
      <c r="A5" s="10">
        <v>2</v>
      </c>
      <c r="B5" s="10" t="s">
        <v>228</v>
      </c>
      <c r="C5" s="10"/>
      <c r="D5" s="10"/>
      <c r="E5" s="11" t="s">
        <v>581</v>
      </c>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25" t="s">
        <v>243</v>
      </c>
      <c r="D11" s="113" t="s">
        <v>243</v>
      </c>
      <c r="E11" s="25" t="s">
        <v>243</v>
      </c>
      <c r="F11" s="11" t="s">
        <v>244</v>
      </c>
      <c r="G11" s="10" t="s">
        <v>248</v>
      </c>
      <c r="H11" s="11"/>
    </row>
    <row r="12" customHeight="1" spans="1:10">
      <c r="A12" s="10">
        <v>2</v>
      </c>
      <c r="B12" s="171" t="s">
        <v>242</v>
      </c>
      <c r="C12" s="39" t="s">
        <v>584</v>
      </c>
      <c r="D12" s="179" t="s">
        <v>585</v>
      </c>
      <c r="E12" s="39" t="s">
        <v>586</v>
      </c>
      <c r="F12" s="11"/>
      <c r="G12" s="10" t="s">
        <v>248</v>
      </c>
      <c r="H12" s="11"/>
      <c r="I12" s="23" t="s">
        <v>587</v>
      </c>
      <c r="J12" s="23" t="s">
        <v>243</v>
      </c>
    </row>
    <row r="13" customHeight="1" spans="1:10">
      <c r="A13" s="10">
        <v>3</v>
      </c>
      <c r="B13" s="171" t="s">
        <v>242</v>
      </c>
      <c r="C13" s="25" t="s">
        <v>588</v>
      </c>
      <c r="D13" s="113" t="s">
        <v>589</v>
      </c>
      <c r="E13" s="25" t="s">
        <v>590</v>
      </c>
      <c r="F13" s="11"/>
      <c r="G13" s="10" t="s">
        <v>248</v>
      </c>
      <c r="H13" s="11" t="s">
        <v>591</v>
      </c>
      <c r="I13" s="23" t="s">
        <v>592</v>
      </c>
      <c r="J13" s="23" t="s">
        <v>243</v>
      </c>
    </row>
    <row r="14" customHeight="1" spans="1:8">
      <c r="A14" s="10">
        <v>4</v>
      </c>
      <c r="B14" s="171" t="s">
        <v>242</v>
      </c>
      <c r="C14" s="39" t="s">
        <v>593</v>
      </c>
      <c r="D14" s="179" t="s">
        <v>558</v>
      </c>
      <c r="E14" s="39" t="s">
        <v>560</v>
      </c>
      <c r="F14" s="11"/>
      <c r="G14" s="10" t="s">
        <v>421</v>
      </c>
      <c r="H14" s="11"/>
    </row>
    <row r="15" customHeight="1" spans="1:8">
      <c r="A15" s="10">
        <v>5</v>
      </c>
      <c r="B15" s="171" t="s">
        <v>242</v>
      </c>
      <c r="C15" s="39" t="s">
        <v>557</v>
      </c>
      <c r="D15" s="179" t="s">
        <v>557</v>
      </c>
      <c r="E15" s="39" t="s">
        <v>416</v>
      </c>
      <c r="F15" s="11"/>
      <c r="G15" s="10" t="s">
        <v>359</v>
      </c>
      <c r="H15" s="11"/>
    </row>
    <row r="16" customHeight="1" spans="1:8">
      <c r="A16" s="10">
        <v>6</v>
      </c>
      <c r="B16" s="171" t="s">
        <v>242</v>
      </c>
      <c r="C16" s="39" t="s">
        <v>572</v>
      </c>
      <c r="D16" s="179"/>
      <c r="E16" s="39" t="s">
        <v>594</v>
      </c>
      <c r="F16" s="97"/>
      <c r="G16" s="25" t="s">
        <v>248</v>
      </c>
      <c r="H16" s="97"/>
    </row>
    <row r="17" customHeight="1" spans="1:8">
      <c r="A17" s="10">
        <v>7</v>
      </c>
      <c r="B17" s="171" t="s">
        <v>242</v>
      </c>
      <c r="C17" s="39" t="s">
        <v>574</v>
      </c>
      <c r="D17" s="179"/>
      <c r="E17" s="39" t="s">
        <v>575</v>
      </c>
      <c r="F17" s="98"/>
      <c r="G17" s="215" t="s">
        <v>564</v>
      </c>
      <c r="H17" s="216"/>
    </row>
    <row r="18" customHeight="1" spans="1:8">
      <c r="A18" s="10">
        <v>8</v>
      </c>
      <c r="B18" s="171" t="s">
        <v>242</v>
      </c>
      <c r="C18" s="39" t="s">
        <v>595</v>
      </c>
      <c r="D18" s="179"/>
      <c r="E18" s="39" t="s">
        <v>596</v>
      </c>
      <c r="F18" s="260"/>
      <c r="G18" s="25" t="s">
        <v>248</v>
      </c>
      <c r="H18" s="97"/>
    </row>
    <row r="19" customHeight="1" spans="1:8">
      <c r="A19" s="10">
        <v>9</v>
      </c>
      <c r="B19" s="18" t="s">
        <v>242</v>
      </c>
      <c r="C19" s="25" t="s">
        <v>597</v>
      </c>
      <c r="D19" s="113"/>
      <c r="E19" s="25" t="s">
        <v>580</v>
      </c>
      <c r="F19" s="97"/>
      <c r="G19" s="25" t="s">
        <v>564</v>
      </c>
      <c r="H19"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0" workbookViewId="0">
      <selection activeCell="F13" sqref="F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8.375" style="23" customWidth="1"/>
    <col min="7" max="7" width="21.1666666666667" style="23" customWidth="1"/>
    <col min="8" max="8" width="8.75" style="23" customWidth="1"/>
    <col min="9" max="9" width="23.125" style="23" customWidth="1"/>
    <col min="10" max="10" width="10.8333333333333" style="23"/>
    <col min="11" max="11" width="20.5" style="23" customWidth="1"/>
    <col min="12" max="16384" width="10.8333333333333" style="23"/>
  </cols>
  <sheetData>
    <row r="1" customHeight="1" spans="1:8">
      <c r="A1" s="1" t="s">
        <v>223</v>
      </c>
      <c r="B1" s="2" t="s">
        <v>598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599</v>
      </c>
      <c r="F4" s="11"/>
      <c r="G4" s="11"/>
      <c r="H4" s="11"/>
    </row>
    <row r="5" customHeight="1" spans="1:8">
      <c r="A5" s="10">
        <v>2</v>
      </c>
      <c r="B5" s="10" t="s">
        <v>228</v>
      </c>
      <c r="C5" s="10"/>
      <c r="D5" s="10"/>
      <c r="E5" s="11" t="s">
        <v>598</v>
      </c>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25" t="s">
        <v>243</v>
      </c>
      <c r="D11" s="113" t="s">
        <v>243</v>
      </c>
      <c r="E11" s="25" t="s">
        <v>243</v>
      </c>
      <c r="F11" s="11" t="s">
        <v>244</v>
      </c>
      <c r="G11" s="10" t="s">
        <v>248</v>
      </c>
      <c r="H11" s="11"/>
    </row>
    <row r="12" customHeight="1" spans="1:12">
      <c r="A12" s="10">
        <v>2</v>
      </c>
      <c r="B12" s="171" t="s">
        <v>242</v>
      </c>
      <c r="C12" s="39" t="s">
        <v>600</v>
      </c>
      <c r="D12" s="179" t="s">
        <v>600</v>
      </c>
      <c r="E12" s="39" t="s">
        <v>256</v>
      </c>
      <c r="F12" s="11"/>
      <c r="G12" s="10" t="s">
        <v>248</v>
      </c>
      <c r="H12" s="11"/>
      <c r="I12" s="23" t="s">
        <v>258</v>
      </c>
      <c r="J12" s="23" t="s">
        <v>243</v>
      </c>
      <c r="L12" s="23" t="s">
        <v>365</v>
      </c>
    </row>
    <row r="13" customHeight="1" spans="1:12">
      <c r="A13" s="10">
        <v>3</v>
      </c>
      <c r="B13" s="171" t="s">
        <v>242</v>
      </c>
      <c r="C13" s="179" t="s">
        <v>601</v>
      </c>
      <c r="D13" s="179" t="s">
        <v>601</v>
      </c>
      <c r="E13" s="179" t="s">
        <v>602</v>
      </c>
      <c r="F13" s="259" t="s">
        <v>603</v>
      </c>
      <c r="G13" s="16" t="s">
        <v>248</v>
      </c>
      <c r="H13" s="259"/>
      <c r="I13" s="23" t="s">
        <v>604</v>
      </c>
      <c r="J13" s="23" t="s">
        <v>243</v>
      </c>
      <c r="L13" s="23" t="s">
        <v>365</v>
      </c>
    </row>
    <row r="14" customHeight="1" spans="1:8">
      <c r="A14" s="10">
        <v>4</v>
      </c>
      <c r="B14" s="171" t="s">
        <v>242</v>
      </c>
      <c r="C14" s="39" t="s">
        <v>605</v>
      </c>
      <c r="D14" s="179" t="s">
        <v>605</v>
      </c>
      <c r="E14" s="39" t="s">
        <v>265</v>
      </c>
      <c r="F14" s="11"/>
      <c r="G14" s="10" t="s">
        <v>248</v>
      </c>
      <c r="H14" s="11"/>
    </row>
    <row r="15" customHeight="1" spans="1:8">
      <c r="A15" s="10">
        <v>5</v>
      </c>
      <c r="B15" s="171" t="s">
        <v>242</v>
      </c>
      <c r="C15" s="39" t="s">
        <v>606</v>
      </c>
      <c r="D15" s="179" t="s">
        <v>606</v>
      </c>
      <c r="E15" s="39" t="s">
        <v>365</v>
      </c>
      <c r="F15" s="11"/>
      <c r="G15" s="10" t="s">
        <v>248</v>
      </c>
      <c r="H15" s="11"/>
    </row>
    <row r="16" customHeight="1" spans="1:11">
      <c r="A16" s="10">
        <v>6</v>
      </c>
      <c r="B16" s="171" t="s">
        <v>242</v>
      </c>
      <c r="C16" s="39" t="s">
        <v>607</v>
      </c>
      <c r="D16" s="179" t="s">
        <v>607</v>
      </c>
      <c r="E16" s="39" t="s">
        <v>608</v>
      </c>
      <c r="F16" s="11" t="s">
        <v>609</v>
      </c>
      <c r="G16" s="10" t="s">
        <v>248</v>
      </c>
      <c r="H16" s="11"/>
      <c r="I16" s="23" t="s">
        <v>264</v>
      </c>
      <c r="J16" s="23" t="s">
        <v>265</v>
      </c>
      <c r="K16" s="23" t="s">
        <v>608</v>
      </c>
    </row>
    <row r="17" customHeight="1" spans="1:8">
      <c r="A17" s="10">
        <v>7</v>
      </c>
      <c r="B17" s="171" t="s">
        <v>242</v>
      </c>
      <c r="C17" s="39" t="s">
        <v>610</v>
      </c>
      <c r="D17" s="179" t="s">
        <v>610</v>
      </c>
      <c r="E17" s="39" t="s">
        <v>611</v>
      </c>
      <c r="F17" s="11" t="s">
        <v>612</v>
      </c>
      <c r="G17" s="10" t="s">
        <v>421</v>
      </c>
      <c r="H17" s="11"/>
    </row>
    <row r="18" customHeight="1" spans="1:8">
      <c r="A18" s="10">
        <v>8</v>
      </c>
      <c r="B18" s="171" t="s">
        <v>242</v>
      </c>
      <c r="C18" s="39" t="s">
        <v>593</v>
      </c>
      <c r="D18" s="179" t="s">
        <v>593</v>
      </c>
      <c r="E18" s="39" t="s">
        <v>560</v>
      </c>
      <c r="F18" s="11"/>
      <c r="G18" s="10" t="s">
        <v>421</v>
      </c>
      <c r="H18" s="11"/>
    </row>
    <row r="19" customHeight="1" spans="1:8">
      <c r="A19" s="10">
        <v>9</v>
      </c>
      <c r="B19" s="171" t="s">
        <v>242</v>
      </c>
      <c r="C19" s="39" t="s">
        <v>557</v>
      </c>
      <c r="D19" s="179" t="s">
        <v>557</v>
      </c>
      <c r="E19" s="39" t="s">
        <v>416</v>
      </c>
      <c r="F19" s="11"/>
      <c r="G19" s="10" t="s">
        <v>359</v>
      </c>
      <c r="H19" s="11"/>
    </row>
    <row r="20" customHeight="1" spans="1:8">
      <c r="A20" s="10">
        <v>10</v>
      </c>
      <c r="B20" s="171"/>
      <c r="C20" s="39" t="s">
        <v>569</v>
      </c>
      <c r="D20" s="179" t="s">
        <v>569</v>
      </c>
      <c r="E20" s="39" t="s">
        <v>570</v>
      </c>
      <c r="F20" s="11"/>
      <c r="G20" s="25" t="s">
        <v>320</v>
      </c>
      <c r="H20" s="11"/>
    </row>
    <row r="21" customHeight="1" spans="1:8">
      <c r="A21" s="10">
        <v>11</v>
      </c>
      <c r="B21" s="171" t="s">
        <v>242</v>
      </c>
      <c r="C21" s="39" t="s">
        <v>572</v>
      </c>
      <c r="D21" s="39"/>
      <c r="E21" s="39" t="s">
        <v>594</v>
      </c>
      <c r="F21" s="97"/>
      <c r="G21" s="25" t="s">
        <v>248</v>
      </c>
      <c r="H21" s="97"/>
    </row>
    <row r="22" customHeight="1" spans="1:8">
      <c r="A22" s="10">
        <v>12</v>
      </c>
      <c r="B22" s="171" t="s">
        <v>242</v>
      </c>
      <c r="C22" s="39" t="s">
        <v>574</v>
      </c>
      <c r="D22" s="39"/>
      <c r="E22" s="39" t="s">
        <v>575</v>
      </c>
      <c r="F22" s="98"/>
      <c r="G22" s="215" t="s">
        <v>564</v>
      </c>
      <c r="H22" s="216"/>
    </row>
    <row r="23" customHeight="1" spans="1:8">
      <c r="A23" s="10">
        <v>13</v>
      </c>
      <c r="B23" s="171" t="s">
        <v>242</v>
      </c>
      <c r="C23" s="39" t="s">
        <v>595</v>
      </c>
      <c r="D23" s="39"/>
      <c r="E23" s="39" t="s">
        <v>596</v>
      </c>
      <c r="F23" s="260"/>
      <c r="G23" s="25" t="s">
        <v>248</v>
      </c>
      <c r="H23" s="97"/>
    </row>
    <row r="24" customHeight="1" spans="1:8">
      <c r="A24" s="10">
        <v>14</v>
      </c>
      <c r="B24" s="18" t="s">
        <v>242</v>
      </c>
      <c r="C24" s="25" t="s">
        <v>597</v>
      </c>
      <c r="D24" s="25"/>
      <c r="E24" s="25" t="s">
        <v>580</v>
      </c>
      <c r="F24" s="97"/>
      <c r="G24" s="25" t="s">
        <v>564</v>
      </c>
      <c r="H24"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zoomScale="85" zoomScaleNormal="85" topLeftCell="A4" workbookViewId="0">
      <selection activeCell="A22" sqref="$A22:$XFD38"/>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16.5" style="23" customWidth="1"/>
    <col min="10" max="16384" width="10.8333333333333" style="23"/>
  </cols>
  <sheetData>
    <row r="1" customHeight="1" spans="1:8">
      <c r="A1" s="1" t="s">
        <v>223</v>
      </c>
      <c r="B1" s="2" t="s">
        <v>613</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614</v>
      </c>
      <c r="F4" s="11"/>
      <c r="G4" s="11"/>
      <c r="H4" s="11"/>
    </row>
    <row r="5" customHeight="1" spans="1:8">
      <c r="A5" s="10">
        <v>2</v>
      </c>
      <c r="B5" s="10" t="s">
        <v>228</v>
      </c>
      <c r="C5" s="10"/>
      <c r="D5" s="10"/>
      <c r="E5" s="11" t="s">
        <v>613</v>
      </c>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25" t="s">
        <v>243</v>
      </c>
      <c r="D11" s="113" t="s">
        <v>243</v>
      </c>
      <c r="E11" s="25" t="s">
        <v>243</v>
      </c>
      <c r="F11" s="11" t="s">
        <v>244</v>
      </c>
      <c r="G11" s="10" t="s">
        <v>248</v>
      </c>
      <c r="H11" s="11"/>
    </row>
    <row r="12" customHeight="1" spans="1:10">
      <c r="A12" s="10">
        <f t="shared" ref="A12:A21" si="0">A11+1</f>
        <v>2</v>
      </c>
      <c r="B12" s="171" t="s">
        <v>242</v>
      </c>
      <c r="C12" s="39" t="s">
        <v>615</v>
      </c>
      <c r="D12" s="179" t="s">
        <v>616</v>
      </c>
      <c r="E12" s="39" t="s">
        <v>617</v>
      </c>
      <c r="F12" s="11"/>
      <c r="G12" s="10" t="s">
        <v>248</v>
      </c>
      <c r="H12" s="11"/>
      <c r="I12" s="23" t="s">
        <v>599</v>
      </c>
      <c r="J12" s="23" t="s">
        <v>243</v>
      </c>
    </row>
    <row r="13" customHeight="1" spans="1:10">
      <c r="A13" s="10">
        <f t="shared" si="0"/>
        <v>3</v>
      </c>
      <c r="B13" s="171" t="s">
        <v>242</v>
      </c>
      <c r="C13" s="25" t="s">
        <v>618</v>
      </c>
      <c r="D13" s="113" t="s">
        <v>618</v>
      </c>
      <c r="E13" s="25" t="s">
        <v>353</v>
      </c>
      <c r="F13" s="11"/>
      <c r="G13" s="10" t="s">
        <v>248</v>
      </c>
      <c r="H13" s="11"/>
      <c r="I13" s="23" t="s">
        <v>352</v>
      </c>
      <c r="J13" s="23" t="s">
        <v>353</v>
      </c>
    </row>
    <row r="14" customHeight="1" spans="1:8">
      <c r="A14" s="10">
        <f t="shared" si="0"/>
        <v>4</v>
      </c>
      <c r="B14" s="171" t="s">
        <v>242</v>
      </c>
      <c r="C14" s="25" t="s">
        <v>619</v>
      </c>
      <c r="D14" s="113" t="s">
        <v>619</v>
      </c>
      <c r="E14" s="25" t="s">
        <v>620</v>
      </c>
      <c r="F14" s="11"/>
      <c r="G14" s="10" t="s">
        <v>248</v>
      </c>
      <c r="H14" s="11"/>
    </row>
    <row r="15" customHeight="1" spans="1:8">
      <c r="A15" s="10">
        <f t="shared" si="0"/>
        <v>5</v>
      </c>
      <c r="B15" s="171" t="s">
        <v>242</v>
      </c>
      <c r="C15" s="25" t="s">
        <v>621</v>
      </c>
      <c r="D15" s="113" t="s">
        <v>621</v>
      </c>
      <c r="E15" s="25" t="s">
        <v>622</v>
      </c>
      <c r="F15" s="11" t="s">
        <v>623</v>
      </c>
      <c r="G15" s="10" t="s">
        <v>248</v>
      </c>
      <c r="H15" s="11"/>
    </row>
    <row r="16" customHeight="1" spans="1:8">
      <c r="A16" s="10">
        <f t="shared" si="0"/>
        <v>6</v>
      </c>
      <c r="B16" s="171" t="s">
        <v>242</v>
      </c>
      <c r="C16" s="25" t="s">
        <v>593</v>
      </c>
      <c r="D16" s="113" t="s">
        <v>593</v>
      </c>
      <c r="E16" s="25" t="s">
        <v>560</v>
      </c>
      <c r="F16" s="11"/>
      <c r="G16" s="10" t="s">
        <v>421</v>
      </c>
      <c r="H16" s="11"/>
    </row>
    <row r="17" customHeight="1" spans="1:8">
      <c r="A17" s="10">
        <f t="shared" si="0"/>
        <v>7</v>
      </c>
      <c r="B17" s="18" t="s">
        <v>242</v>
      </c>
      <c r="C17" s="25" t="s">
        <v>557</v>
      </c>
      <c r="D17" s="113" t="s">
        <v>557</v>
      </c>
      <c r="E17" s="25" t="s">
        <v>416</v>
      </c>
      <c r="F17" s="11"/>
      <c r="G17" s="10" t="s">
        <v>359</v>
      </c>
      <c r="H17" s="11"/>
    </row>
    <row r="18" customHeight="1" spans="1:8">
      <c r="A18" s="10">
        <f t="shared" si="0"/>
        <v>8</v>
      </c>
      <c r="B18" s="18" t="s">
        <v>242</v>
      </c>
      <c r="C18" s="25" t="s">
        <v>572</v>
      </c>
      <c r="D18" s="25"/>
      <c r="E18" s="25" t="s">
        <v>594</v>
      </c>
      <c r="F18" s="97"/>
      <c r="G18" s="25" t="s">
        <v>248</v>
      </c>
      <c r="H18" s="97"/>
    </row>
    <row r="19" customHeight="1" spans="1:8">
      <c r="A19" s="10">
        <f t="shared" si="0"/>
        <v>9</v>
      </c>
      <c r="B19" s="18" t="s">
        <v>242</v>
      </c>
      <c r="C19" s="25" t="s">
        <v>574</v>
      </c>
      <c r="D19" s="25"/>
      <c r="E19" s="25" t="s">
        <v>575</v>
      </c>
      <c r="F19" s="97"/>
      <c r="G19" s="215" t="s">
        <v>564</v>
      </c>
      <c r="H19" s="216"/>
    </row>
    <row r="20" customHeight="1" spans="1:8">
      <c r="A20" s="10">
        <f t="shared" si="0"/>
        <v>10</v>
      </c>
      <c r="B20" s="18" t="s">
        <v>242</v>
      </c>
      <c r="C20" s="25" t="s">
        <v>595</v>
      </c>
      <c r="D20" s="25"/>
      <c r="E20" s="25" t="s">
        <v>596</v>
      </c>
      <c r="F20" s="258"/>
      <c r="G20" s="25" t="s">
        <v>248</v>
      </c>
      <c r="H20" s="97"/>
    </row>
    <row r="21" customHeight="1" spans="1:8">
      <c r="A21" s="10">
        <f t="shared" si="0"/>
        <v>11</v>
      </c>
      <c r="B21" s="18" t="s">
        <v>242</v>
      </c>
      <c r="C21" s="25" t="s">
        <v>597</v>
      </c>
      <c r="D21" s="25"/>
      <c r="E21" s="25" t="s">
        <v>580</v>
      </c>
      <c r="F21" s="97"/>
      <c r="G21" s="25" t="s">
        <v>564</v>
      </c>
      <c r="H21"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70" zoomScaleNormal="70" topLeftCell="A2" workbookViewId="0">
      <selection activeCell="A29" sqref="$A29:$XFD6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4.4583333333333" style="23" customWidth="1"/>
    <col min="7" max="7" width="16.1666666666667" style="23" customWidth="1"/>
    <col min="8" max="8" width="74.8333333333333" style="50" customWidth="1"/>
    <col min="9" max="9" width="32.3333333333333" style="23" customWidth="1"/>
    <col min="10" max="10" width="10.8333333333333" style="23"/>
    <col min="11" max="11" width="30.8333333333333" style="23" customWidth="1"/>
    <col min="12" max="16384" width="10.8333333333333" style="23"/>
  </cols>
  <sheetData>
    <row r="1" customHeight="1" spans="1:8">
      <c r="A1" s="1" t="s">
        <v>223</v>
      </c>
      <c r="B1" s="2" t="s">
        <v>624</v>
      </c>
      <c r="C1" s="3"/>
      <c r="D1" s="3"/>
      <c r="E1" s="3"/>
      <c r="F1" s="3"/>
      <c r="G1" s="3"/>
      <c r="H1" s="3"/>
    </row>
    <row r="2" customHeight="1" spans="1:8">
      <c r="A2" s="5"/>
      <c r="B2" s="3"/>
      <c r="C2" s="3"/>
      <c r="D2" s="3"/>
      <c r="E2" s="3"/>
      <c r="F2" s="3"/>
      <c r="G2" s="3"/>
      <c r="H2" s="3"/>
    </row>
    <row r="3" customHeight="1" spans="1:8">
      <c r="A3" s="143" t="s">
        <v>225</v>
      </c>
      <c r="B3" s="144"/>
      <c r="C3" s="144"/>
      <c r="D3" s="144"/>
      <c r="E3" s="144"/>
      <c r="F3" s="144"/>
      <c r="G3" s="144"/>
      <c r="H3" s="145"/>
    </row>
    <row r="4" customHeight="1" spans="1:8">
      <c r="A4" s="22">
        <v>1</v>
      </c>
      <c r="B4" s="218" t="s">
        <v>226</v>
      </c>
      <c r="C4" s="219"/>
      <c r="D4" s="220"/>
      <c r="E4" s="31" t="s">
        <v>625</v>
      </c>
      <c r="F4" s="221"/>
      <c r="G4" s="221"/>
      <c r="H4" s="222"/>
    </row>
    <row r="5" customHeight="1" spans="1:8">
      <c r="A5" s="22">
        <v>2</v>
      </c>
      <c r="B5" s="218" t="s">
        <v>228</v>
      </c>
      <c r="C5" s="219"/>
      <c r="D5" s="220"/>
      <c r="E5" s="31" t="s">
        <v>626</v>
      </c>
      <c r="F5" s="221"/>
      <c r="G5" s="221"/>
      <c r="H5" s="222"/>
    </row>
    <row r="6" customHeight="1" spans="1:8">
      <c r="A6" s="22">
        <v>3</v>
      </c>
      <c r="B6" s="218" t="s">
        <v>229</v>
      </c>
      <c r="C6" s="219"/>
      <c r="D6" s="220"/>
      <c r="E6" s="31"/>
      <c r="F6" s="221"/>
      <c r="G6" s="221"/>
      <c r="H6" s="222"/>
    </row>
    <row r="7" customHeight="1" spans="1:8">
      <c r="A7" s="22">
        <v>4</v>
      </c>
      <c r="B7" s="218" t="s">
        <v>231</v>
      </c>
      <c r="C7" s="219"/>
      <c r="D7" s="220"/>
      <c r="E7" s="31"/>
      <c r="F7" s="221"/>
      <c r="G7" s="221"/>
      <c r="H7" s="222"/>
    </row>
    <row r="8" customHeight="1" spans="1:8">
      <c r="A8" s="22">
        <v>5</v>
      </c>
      <c r="B8" s="218" t="s">
        <v>627</v>
      </c>
      <c r="C8" s="219"/>
      <c r="D8" s="220"/>
      <c r="E8" s="31"/>
      <c r="F8" s="221"/>
      <c r="G8" s="221"/>
      <c r="H8" s="222"/>
    </row>
    <row r="9" customHeight="1" spans="1:8">
      <c r="A9" s="143" t="s">
        <v>234</v>
      </c>
      <c r="B9" s="144"/>
      <c r="C9" s="144"/>
      <c r="D9" s="144"/>
      <c r="E9" s="144"/>
      <c r="F9" s="144"/>
      <c r="G9" s="144"/>
      <c r="H9" s="145"/>
    </row>
    <row r="10" customHeight="1" spans="1:8">
      <c r="A10" s="152"/>
      <c r="B10" s="223" t="s">
        <v>235</v>
      </c>
      <c r="C10" s="152" t="s">
        <v>236</v>
      </c>
      <c r="D10" s="87" t="s">
        <v>237</v>
      </c>
      <c r="E10" s="152" t="s">
        <v>238</v>
      </c>
      <c r="F10" s="223" t="s">
        <v>239</v>
      </c>
      <c r="G10" s="152" t="s">
        <v>240</v>
      </c>
      <c r="H10" s="252" t="s">
        <v>241</v>
      </c>
    </row>
    <row r="11" customHeight="1" spans="1:8">
      <c r="A11" s="22">
        <f>ROW(A11)-10</f>
        <v>1</v>
      </c>
      <c r="B11" s="251" t="s">
        <v>242</v>
      </c>
      <c r="C11" s="22" t="s">
        <v>243</v>
      </c>
      <c r="D11" s="87" t="s">
        <v>243</v>
      </c>
      <c r="E11" s="22" t="s">
        <v>243</v>
      </c>
      <c r="F11" s="200" t="s">
        <v>244</v>
      </c>
      <c r="G11" s="22" t="s">
        <v>248</v>
      </c>
      <c r="H11" s="183"/>
    </row>
    <row r="12" customHeight="1" spans="1:8">
      <c r="A12" s="22">
        <f t="shared" ref="A12:A30" si="0">ROW(A12)-10</f>
        <v>2</v>
      </c>
      <c r="B12" s="251" t="s">
        <v>242</v>
      </c>
      <c r="C12" s="22" t="s">
        <v>628</v>
      </c>
      <c r="D12" s="87" t="s">
        <v>628</v>
      </c>
      <c r="E12" s="22" t="s">
        <v>629</v>
      </c>
      <c r="F12" s="163" t="s">
        <v>630</v>
      </c>
      <c r="G12" s="22" t="s">
        <v>421</v>
      </c>
      <c r="H12" s="183"/>
    </row>
    <row r="13" customHeight="1" spans="1:11">
      <c r="A13" s="22">
        <f t="shared" si="0"/>
        <v>3</v>
      </c>
      <c r="B13" s="18" t="s">
        <v>242</v>
      </c>
      <c r="C13" s="253" t="s">
        <v>631</v>
      </c>
      <c r="D13" s="254" t="s">
        <v>631</v>
      </c>
      <c r="E13" s="22" t="s">
        <v>632</v>
      </c>
      <c r="F13" s="255" t="s">
        <v>633</v>
      </c>
      <c r="G13" s="256" t="s">
        <v>263</v>
      </c>
      <c r="H13" s="183"/>
      <c r="I13" s="23" t="s">
        <v>264</v>
      </c>
      <c r="J13" s="23" t="s">
        <v>265</v>
      </c>
      <c r="K13" s="23" t="s">
        <v>632</v>
      </c>
    </row>
    <row r="14" customFormat="1" ht="91" customHeight="1" spans="1:12">
      <c r="A14" s="22">
        <f t="shared" si="0"/>
        <v>4</v>
      </c>
      <c r="B14" s="18" t="s">
        <v>242</v>
      </c>
      <c r="C14" s="22" t="s">
        <v>634</v>
      </c>
      <c r="D14" s="87" t="s">
        <v>634</v>
      </c>
      <c r="E14" s="22" t="s">
        <v>635</v>
      </c>
      <c r="F14" s="22" t="s">
        <v>636</v>
      </c>
      <c r="G14" s="22" t="s">
        <v>263</v>
      </c>
      <c r="H14" s="163" t="s">
        <v>637</v>
      </c>
      <c r="I14" s="23" t="s">
        <v>264</v>
      </c>
      <c r="J14" s="23" t="s">
        <v>265</v>
      </c>
      <c r="K14" s="23" t="s">
        <v>635</v>
      </c>
      <c r="L14" s="23"/>
    </row>
    <row r="15" customHeight="1" spans="1:10">
      <c r="A15" s="22">
        <f t="shared" si="0"/>
        <v>5</v>
      </c>
      <c r="B15" s="251" t="s">
        <v>242</v>
      </c>
      <c r="C15" s="22" t="s">
        <v>638</v>
      </c>
      <c r="D15" s="87" t="s">
        <v>639</v>
      </c>
      <c r="E15" s="254" t="s">
        <v>640</v>
      </c>
      <c r="F15" s="163" t="s">
        <v>641</v>
      </c>
      <c r="G15" s="22" t="s">
        <v>282</v>
      </c>
      <c r="H15" s="183" t="s">
        <v>642</v>
      </c>
      <c r="I15" s="23" t="s">
        <v>643</v>
      </c>
      <c r="J15" s="23" t="s">
        <v>243</v>
      </c>
    </row>
    <row r="16" customHeight="1" spans="1:11">
      <c r="A16" s="22">
        <f t="shared" si="0"/>
        <v>6</v>
      </c>
      <c r="B16" s="18" t="s">
        <v>242</v>
      </c>
      <c r="C16" s="253" t="s">
        <v>644</v>
      </c>
      <c r="D16" s="257" t="s">
        <v>644</v>
      </c>
      <c r="E16" s="255" t="s">
        <v>645</v>
      </c>
      <c r="F16" s="255" t="s">
        <v>646</v>
      </c>
      <c r="G16" s="256" t="s">
        <v>263</v>
      </c>
      <c r="H16" s="183"/>
      <c r="I16" s="23" t="s">
        <v>264</v>
      </c>
      <c r="J16" s="23" t="s">
        <v>265</v>
      </c>
      <c r="K16" s="23" t="s">
        <v>645</v>
      </c>
    </row>
    <row r="17" ht="127" customHeight="1" spans="1:11">
      <c r="A17" s="22">
        <f t="shared" si="0"/>
        <v>7</v>
      </c>
      <c r="B17" s="18" t="s">
        <v>242</v>
      </c>
      <c r="C17" s="253" t="s">
        <v>647</v>
      </c>
      <c r="D17" s="257" t="s">
        <v>648</v>
      </c>
      <c r="E17" s="255" t="s">
        <v>649</v>
      </c>
      <c r="F17" s="255" t="s">
        <v>650</v>
      </c>
      <c r="G17" s="256" t="s">
        <v>263</v>
      </c>
      <c r="H17" s="183"/>
      <c r="I17" s="23" t="s">
        <v>264</v>
      </c>
      <c r="J17" s="23" t="s">
        <v>265</v>
      </c>
      <c r="K17" s="23" t="s">
        <v>649</v>
      </c>
    </row>
    <row r="18" customFormat="1" ht="34.5" spans="1:8">
      <c r="A18" s="22">
        <f t="shared" si="0"/>
        <v>8</v>
      </c>
      <c r="B18" s="18" t="s">
        <v>242</v>
      </c>
      <c r="C18" s="253" t="s">
        <v>651</v>
      </c>
      <c r="D18" s="257" t="s">
        <v>651</v>
      </c>
      <c r="E18" s="22" t="s">
        <v>652</v>
      </c>
      <c r="F18" s="22"/>
      <c r="G18" s="22" t="s">
        <v>421</v>
      </c>
      <c r="H18" s="163"/>
    </row>
    <row r="19" customHeight="1" spans="1:10">
      <c r="A19" s="22">
        <f t="shared" si="0"/>
        <v>9</v>
      </c>
      <c r="B19" s="251" t="s">
        <v>242</v>
      </c>
      <c r="C19" s="22" t="s">
        <v>653</v>
      </c>
      <c r="D19" s="87" t="s">
        <v>654</v>
      </c>
      <c r="E19" s="254" t="s">
        <v>405</v>
      </c>
      <c r="F19" s="163" t="s">
        <v>655</v>
      </c>
      <c r="G19" s="22" t="s">
        <v>282</v>
      </c>
      <c r="H19" s="183" t="s">
        <v>656</v>
      </c>
      <c r="I19" s="23" t="s">
        <v>657</v>
      </c>
      <c r="J19" s="23" t="s">
        <v>243</v>
      </c>
    </row>
    <row r="20" customHeight="1" spans="1:8">
      <c r="A20" s="22">
        <f t="shared" si="0"/>
        <v>10</v>
      </c>
      <c r="B20" s="251" t="s">
        <v>242</v>
      </c>
      <c r="C20" s="22" t="s">
        <v>658</v>
      </c>
      <c r="D20" s="87" t="s">
        <v>658</v>
      </c>
      <c r="E20" s="22" t="s">
        <v>659</v>
      </c>
      <c r="F20" s="163"/>
      <c r="G20" s="22" t="s">
        <v>472</v>
      </c>
      <c r="H20" s="183"/>
    </row>
    <row r="21" customHeight="1" spans="1:8">
      <c r="A21" s="22">
        <f t="shared" si="0"/>
        <v>11</v>
      </c>
      <c r="B21" s="163"/>
      <c r="C21" s="22" t="s">
        <v>660</v>
      </c>
      <c r="D21" s="22"/>
      <c r="E21" s="22" t="s">
        <v>661</v>
      </c>
      <c r="F21" s="163" t="s">
        <v>662</v>
      </c>
      <c r="G21" s="22" t="s">
        <v>263</v>
      </c>
      <c r="H21" s="13" t="s">
        <v>663</v>
      </c>
    </row>
    <row r="22" customHeight="1" spans="1:8">
      <c r="A22" s="22">
        <f t="shared" si="0"/>
        <v>12</v>
      </c>
      <c r="B22" s="163"/>
      <c r="C22" s="22" t="s">
        <v>664</v>
      </c>
      <c r="D22" s="22"/>
      <c r="E22" s="22" t="s">
        <v>665</v>
      </c>
      <c r="F22" s="163" t="s">
        <v>666</v>
      </c>
      <c r="G22" s="22" t="s">
        <v>263</v>
      </c>
      <c r="H22" s="183" t="s">
        <v>667</v>
      </c>
    </row>
    <row r="23" customHeight="1" spans="1:8">
      <c r="A23" s="22">
        <f t="shared" si="0"/>
        <v>13</v>
      </c>
      <c r="B23" s="251"/>
      <c r="C23" s="22" t="s">
        <v>668</v>
      </c>
      <c r="D23" s="22"/>
      <c r="E23" s="22" t="s">
        <v>669</v>
      </c>
      <c r="F23" s="163" t="s">
        <v>670</v>
      </c>
      <c r="G23" s="22" t="s">
        <v>263</v>
      </c>
      <c r="H23" s="13" t="s">
        <v>671</v>
      </c>
    </row>
    <row r="24" customHeight="1" spans="1:8">
      <c r="A24" s="22">
        <f t="shared" si="0"/>
        <v>14</v>
      </c>
      <c r="B24" s="251"/>
      <c r="C24" s="22" t="s">
        <v>672</v>
      </c>
      <c r="D24" s="22"/>
      <c r="E24" s="22" t="s">
        <v>673</v>
      </c>
      <c r="F24" s="163"/>
      <c r="G24" s="22" t="s">
        <v>472</v>
      </c>
      <c r="H24" s="183"/>
    </row>
    <row r="25" customHeight="1" spans="1:8">
      <c r="A25" s="22">
        <f t="shared" si="0"/>
        <v>15</v>
      </c>
      <c r="B25" s="251"/>
      <c r="C25" s="22" t="s">
        <v>674</v>
      </c>
      <c r="D25" s="22"/>
      <c r="E25" s="22" t="s">
        <v>675</v>
      </c>
      <c r="F25" s="163"/>
      <c r="G25" s="22" t="s">
        <v>472</v>
      </c>
      <c r="H25" s="183"/>
    </row>
    <row r="26" customHeight="1" spans="1:8">
      <c r="A26" s="22">
        <f t="shared" si="0"/>
        <v>16</v>
      </c>
      <c r="B26" s="251"/>
      <c r="C26" s="22" t="s">
        <v>676</v>
      </c>
      <c r="D26" s="22"/>
      <c r="E26" s="22" t="s">
        <v>677</v>
      </c>
      <c r="F26" s="163"/>
      <c r="G26" s="22" t="s">
        <v>472</v>
      </c>
      <c r="H26" s="183"/>
    </row>
    <row r="27" customHeight="1" spans="1:8">
      <c r="A27" s="22">
        <f t="shared" si="0"/>
        <v>17</v>
      </c>
      <c r="B27" s="251"/>
      <c r="C27" s="22" t="s">
        <v>678</v>
      </c>
      <c r="D27" s="22"/>
      <c r="E27" s="22" t="s">
        <v>679</v>
      </c>
      <c r="F27" s="163"/>
      <c r="G27" s="22" t="s">
        <v>273</v>
      </c>
      <c r="H27" s="183"/>
    </row>
    <row r="28" customHeight="1" spans="1:8">
      <c r="A28" s="22">
        <f t="shared" si="0"/>
        <v>18</v>
      </c>
      <c r="B28" s="251"/>
      <c r="C28" s="22" t="s">
        <v>680</v>
      </c>
      <c r="D28" s="22"/>
      <c r="E28" s="22" t="s">
        <v>681</v>
      </c>
      <c r="F28" s="163"/>
      <c r="G28" s="22" t="s">
        <v>273</v>
      </c>
      <c r="H28" s="18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7"/>
  <sheetViews>
    <sheetView zoomScale="70" zoomScaleNormal="70" topLeftCell="A29" workbookViewId="0">
      <selection activeCell="K46" sqref="K4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6.5" style="24" customWidth="1"/>
    <col min="6" max="6" width="65" style="23" customWidth="1"/>
    <col min="7" max="7" width="18.3333333333333" style="23" customWidth="1"/>
    <col min="8" max="8" width="76.6666666666667" style="23" customWidth="1"/>
    <col min="9" max="9" width="31.6666666666667" style="23" customWidth="1"/>
    <col min="10" max="10" width="10.8333333333333" style="23"/>
    <col min="11" max="11" width="22.1666666666667" style="23" customWidth="1"/>
    <col min="12" max="16384" width="10.8333333333333" style="23"/>
  </cols>
  <sheetData>
    <row r="1" customHeight="1" spans="1:8">
      <c r="A1" s="5" t="s">
        <v>223</v>
      </c>
      <c r="B1" s="2" t="s">
        <v>682</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683</v>
      </c>
      <c r="F4" s="221"/>
      <c r="G4" s="221"/>
      <c r="H4" s="222"/>
    </row>
    <row r="5" customFormat="1" ht="17.25" spans="1:8">
      <c r="A5" s="22">
        <v>2</v>
      </c>
      <c r="B5" s="218" t="s">
        <v>228</v>
      </c>
      <c r="C5" s="219"/>
      <c r="D5" s="220"/>
      <c r="E5" s="31" t="s">
        <v>684</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f>ROW(A11)-10</f>
        <v>1</v>
      </c>
      <c r="B11" s="251" t="s">
        <v>242</v>
      </c>
      <c r="C11" s="22" t="s">
        <v>243</v>
      </c>
      <c r="D11" s="87" t="s">
        <v>243</v>
      </c>
      <c r="E11" s="22" t="s">
        <v>243</v>
      </c>
      <c r="F11" s="200" t="s">
        <v>244</v>
      </c>
      <c r="G11" s="22" t="s">
        <v>248</v>
      </c>
      <c r="H11" s="163"/>
    </row>
    <row r="12" customFormat="1" ht="27.75" spans="1:8">
      <c r="A12" s="22">
        <f t="shared" ref="A12:A47" si="0">ROW(A12)-10</f>
        <v>2</v>
      </c>
      <c r="B12" s="251" t="s">
        <v>242</v>
      </c>
      <c r="C12" s="22" t="s">
        <v>610</v>
      </c>
      <c r="D12" s="87" t="s">
        <v>610</v>
      </c>
      <c r="E12" s="22" t="s">
        <v>629</v>
      </c>
      <c r="F12" s="163"/>
      <c r="G12" s="22" t="s">
        <v>421</v>
      </c>
      <c r="H12" s="163"/>
    </row>
    <row r="13" customFormat="1" ht="27.75" spans="1:11">
      <c r="A13" s="22">
        <f t="shared" si="0"/>
        <v>3</v>
      </c>
      <c r="B13" s="251" t="s">
        <v>242</v>
      </c>
      <c r="C13" s="22" t="s">
        <v>631</v>
      </c>
      <c r="D13" s="87" t="s">
        <v>685</v>
      </c>
      <c r="E13" s="22" t="s">
        <v>632</v>
      </c>
      <c r="F13" s="22" t="s">
        <v>686</v>
      </c>
      <c r="G13" s="22" t="s">
        <v>263</v>
      </c>
      <c r="H13" s="218"/>
      <c r="I13" s="206" t="s">
        <v>264</v>
      </c>
      <c r="J13" s="206" t="s">
        <v>265</v>
      </c>
      <c r="K13" s="165" t="s">
        <v>632</v>
      </c>
    </row>
    <row r="14" customFormat="1" ht="138" spans="1:11">
      <c r="A14" s="22">
        <f t="shared" si="0"/>
        <v>4</v>
      </c>
      <c r="B14" s="18" t="s">
        <v>242</v>
      </c>
      <c r="C14" s="22" t="s">
        <v>634</v>
      </c>
      <c r="D14" s="87" t="s">
        <v>634</v>
      </c>
      <c r="E14" s="22" t="s">
        <v>635</v>
      </c>
      <c r="F14" s="22" t="s">
        <v>687</v>
      </c>
      <c r="G14" s="22" t="s">
        <v>263</v>
      </c>
      <c r="H14" s="218" t="s">
        <v>688</v>
      </c>
      <c r="I14" s="206" t="s">
        <v>264</v>
      </c>
      <c r="J14" s="206" t="s">
        <v>265</v>
      </c>
      <c r="K14" s="165" t="s">
        <v>635</v>
      </c>
    </row>
    <row r="15" customFormat="1" ht="27.75" spans="1:11">
      <c r="A15" s="22">
        <f t="shared" si="0"/>
        <v>5</v>
      </c>
      <c r="B15" s="251"/>
      <c r="C15" s="22" t="s">
        <v>689</v>
      </c>
      <c r="D15" s="87" t="s">
        <v>689</v>
      </c>
      <c r="E15" s="22" t="s">
        <v>690</v>
      </c>
      <c r="F15" s="22" t="s">
        <v>691</v>
      </c>
      <c r="G15" s="22" t="s">
        <v>263</v>
      </c>
      <c r="H15" s="163"/>
      <c r="I15" s="206" t="s">
        <v>264</v>
      </c>
      <c r="J15" s="206" t="s">
        <v>265</v>
      </c>
      <c r="K15" s="165" t="s">
        <v>690</v>
      </c>
    </row>
    <row r="16" customFormat="1" ht="69" spans="1:11">
      <c r="A16" s="22">
        <f t="shared" si="0"/>
        <v>6</v>
      </c>
      <c r="B16" s="18" t="s">
        <v>242</v>
      </c>
      <c r="C16" s="22" t="s">
        <v>644</v>
      </c>
      <c r="D16" s="87" t="s">
        <v>644</v>
      </c>
      <c r="E16" s="22" t="s">
        <v>645</v>
      </c>
      <c r="F16" s="22" t="s">
        <v>646</v>
      </c>
      <c r="G16" s="22" t="s">
        <v>263</v>
      </c>
      <c r="H16" s="218"/>
      <c r="I16" s="206" t="s">
        <v>264</v>
      </c>
      <c r="J16" s="206" t="s">
        <v>265</v>
      </c>
      <c r="K16" s="165" t="s">
        <v>645</v>
      </c>
    </row>
    <row r="17" customFormat="1" ht="172.5" spans="1:11">
      <c r="A17" s="22">
        <f t="shared" si="0"/>
        <v>7</v>
      </c>
      <c r="B17" s="18" t="s">
        <v>242</v>
      </c>
      <c r="C17" s="22" t="s">
        <v>647</v>
      </c>
      <c r="D17" s="87" t="s">
        <v>647</v>
      </c>
      <c r="E17" s="22" t="s">
        <v>649</v>
      </c>
      <c r="F17" s="22" t="s">
        <v>692</v>
      </c>
      <c r="G17" s="22" t="s">
        <v>263</v>
      </c>
      <c r="H17" s="218"/>
      <c r="I17" s="206" t="s">
        <v>264</v>
      </c>
      <c r="J17" s="206" t="s">
        <v>265</v>
      </c>
      <c r="K17" s="165" t="s">
        <v>649</v>
      </c>
    </row>
    <row r="18" customFormat="1" ht="138" spans="1:11">
      <c r="A18" s="22">
        <f t="shared" si="0"/>
        <v>8</v>
      </c>
      <c r="B18" s="18" t="s">
        <v>242</v>
      </c>
      <c r="C18" s="22" t="s">
        <v>693</v>
      </c>
      <c r="D18" s="87" t="s">
        <v>693</v>
      </c>
      <c r="E18" s="22" t="s">
        <v>694</v>
      </c>
      <c r="F18" s="22" t="s">
        <v>695</v>
      </c>
      <c r="G18" s="22" t="s">
        <v>263</v>
      </c>
      <c r="H18" s="218"/>
      <c r="I18" s="206" t="s">
        <v>264</v>
      </c>
      <c r="J18" s="206" t="s">
        <v>265</v>
      </c>
      <c r="K18" s="165" t="s">
        <v>694</v>
      </c>
    </row>
    <row r="19" customFormat="1" ht="86.25" spans="1:11">
      <c r="A19" s="22">
        <f t="shared" si="0"/>
        <v>9</v>
      </c>
      <c r="B19" s="18" t="s">
        <v>242</v>
      </c>
      <c r="C19" s="22" t="s">
        <v>696</v>
      </c>
      <c r="D19" s="87" t="s">
        <v>696</v>
      </c>
      <c r="E19" s="22" t="s">
        <v>697</v>
      </c>
      <c r="F19" s="22" t="s">
        <v>698</v>
      </c>
      <c r="G19" s="22" t="s">
        <v>263</v>
      </c>
      <c r="H19" s="218"/>
      <c r="I19" s="206" t="s">
        <v>264</v>
      </c>
      <c r="J19" s="206" t="s">
        <v>265</v>
      </c>
      <c r="K19" s="165" t="s">
        <v>697</v>
      </c>
    </row>
    <row r="20" customFormat="1" ht="189.75" spans="1:11">
      <c r="A20" s="22">
        <f t="shared" si="0"/>
        <v>10</v>
      </c>
      <c r="B20" s="18" t="s">
        <v>242</v>
      </c>
      <c r="C20" s="22" t="s">
        <v>699</v>
      </c>
      <c r="D20" s="87" t="s">
        <v>699</v>
      </c>
      <c r="E20" s="22" t="s">
        <v>700</v>
      </c>
      <c r="F20" s="22" t="s">
        <v>701</v>
      </c>
      <c r="G20" s="22" t="s">
        <v>263</v>
      </c>
      <c r="H20" s="218"/>
      <c r="I20" s="206" t="s">
        <v>264</v>
      </c>
      <c r="J20" s="206" t="s">
        <v>265</v>
      </c>
      <c r="K20" s="165" t="s">
        <v>700</v>
      </c>
    </row>
    <row r="21" customFormat="1" ht="34.5" spans="1:10">
      <c r="A21" s="22">
        <f t="shared" si="0"/>
        <v>11</v>
      </c>
      <c r="B21" s="18" t="s">
        <v>242</v>
      </c>
      <c r="C21" s="22" t="s">
        <v>702</v>
      </c>
      <c r="D21" s="87" t="s">
        <v>702</v>
      </c>
      <c r="E21" s="22" t="s">
        <v>405</v>
      </c>
      <c r="F21" s="22" t="s">
        <v>703</v>
      </c>
      <c r="G21" s="22" t="s">
        <v>263</v>
      </c>
      <c r="H21" s="163"/>
      <c r="I21" s="23" t="s">
        <v>657</v>
      </c>
      <c r="J21" s="23" t="s">
        <v>243</v>
      </c>
    </row>
    <row r="22" customFormat="1" ht="34.5" spans="1:10">
      <c r="A22" s="22">
        <f t="shared" si="0"/>
        <v>12</v>
      </c>
      <c r="B22" s="18" t="s">
        <v>242</v>
      </c>
      <c r="C22" s="22" t="s">
        <v>704</v>
      </c>
      <c r="D22" s="87" t="s">
        <v>704</v>
      </c>
      <c r="E22" s="22" t="s">
        <v>408</v>
      </c>
      <c r="F22" s="22" t="s">
        <v>703</v>
      </c>
      <c r="G22" s="22" t="s">
        <v>263</v>
      </c>
      <c r="H22" s="163"/>
      <c r="I22" s="23" t="s">
        <v>657</v>
      </c>
      <c r="J22" s="23" t="s">
        <v>243</v>
      </c>
    </row>
    <row r="23" customFormat="1" ht="27.75" spans="1:8">
      <c r="A23" s="22">
        <f t="shared" si="0"/>
        <v>13</v>
      </c>
      <c r="B23" s="18" t="s">
        <v>242</v>
      </c>
      <c r="C23" s="22" t="s">
        <v>705</v>
      </c>
      <c r="D23" s="87" t="s">
        <v>705</v>
      </c>
      <c r="E23" s="22" t="s">
        <v>706</v>
      </c>
      <c r="F23" s="22"/>
      <c r="G23" s="22" t="s">
        <v>359</v>
      </c>
      <c r="H23" s="163"/>
    </row>
    <row r="24" customFormat="1" ht="27.75" spans="1:8">
      <c r="A24" s="22">
        <f t="shared" si="0"/>
        <v>14</v>
      </c>
      <c r="B24" s="18" t="s">
        <v>242</v>
      </c>
      <c r="C24" s="22" t="s">
        <v>707</v>
      </c>
      <c r="D24" s="87" t="s">
        <v>707</v>
      </c>
      <c r="E24" s="22" t="s">
        <v>708</v>
      </c>
      <c r="F24" s="22"/>
      <c r="G24" s="22" t="s">
        <v>359</v>
      </c>
      <c r="H24" s="163"/>
    </row>
    <row r="25" customFormat="1" ht="27.75" spans="1:10">
      <c r="A25" s="22">
        <f t="shared" si="0"/>
        <v>15</v>
      </c>
      <c r="B25" s="18" t="s">
        <v>242</v>
      </c>
      <c r="C25" s="22" t="s">
        <v>709</v>
      </c>
      <c r="D25" s="87" t="s">
        <v>710</v>
      </c>
      <c r="E25" s="22" t="s">
        <v>640</v>
      </c>
      <c r="F25" s="163" t="s">
        <v>641</v>
      </c>
      <c r="G25" s="22" t="s">
        <v>263</v>
      </c>
      <c r="H25" s="163" t="s">
        <v>642</v>
      </c>
      <c r="I25" s="23" t="s">
        <v>711</v>
      </c>
      <c r="J25" s="23" t="s">
        <v>243</v>
      </c>
    </row>
    <row r="26" customFormat="1" ht="27.75" spans="1:8">
      <c r="A26" s="22">
        <f t="shared" si="0"/>
        <v>16</v>
      </c>
      <c r="B26" s="18" t="s">
        <v>242</v>
      </c>
      <c r="C26" s="22" t="s">
        <v>712</v>
      </c>
      <c r="D26" s="87" t="s">
        <v>712</v>
      </c>
      <c r="E26" s="22" t="s">
        <v>713</v>
      </c>
      <c r="F26" s="22" t="s">
        <v>714</v>
      </c>
      <c r="G26" s="22" t="s">
        <v>303</v>
      </c>
      <c r="H26" s="163"/>
    </row>
    <row r="27" customFormat="1" ht="27.75" spans="1:8">
      <c r="A27" s="22">
        <f t="shared" si="0"/>
        <v>17</v>
      </c>
      <c r="B27" s="18" t="s">
        <v>242</v>
      </c>
      <c r="C27" s="22" t="s">
        <v>651</v>
      </c>
      <c r="D27" s="87" t="s">
        <v>651</v>
      </c>
      <c r="E27" s="22" t="s">
        <v>652</v>
      </c>
      <c r="F27" s="22"/>
      <c r="G27" s="22" t="s">
        <v>421</v>
      </c>
      <c r="H27" s="163"/>
    </row>
    <row r="28" customFormat="1" ht="27.75" spans="1:10">
      <c r="A28" s="22">
        <f t="shared" si="0"/>
        <v>18</v>
      </c>
      <c r="B28" s="251" t="s">
        <v>242</v>
      </c>
      <c r="C28" s="22" t="s">
        <v>715</v>
      </c>
      <c r="D28" s="87" t="s">
        <v>716</v>
      </c>
      <c r="E28" s="22" t="s">
        <v>256</v>
      </c>
      <c r="F28" s="163"/>
      <c r="G28" s="22" t="s">
        <v>248</v>
      </c>
      <c r="H28" s="163"/>
      <c r="I28" s="23" t="s">
        <v>258</v>
      </c>
      <c r="J28" s="23" t="s">
        <v>243</v>
      </c>
    </row>
    <row r="29" customFormat="1" ht="27.75" spans="1:10">
      <c r="A29" s="22">
        <f t="shared" si="0"/>
        <v>19</v>
      </c>
      <c r="B29" s="18" t="s">
        <v>242</v>
      </c>
      <c r="C29" s="22" t="s">
        <v>717</v>
      </c>
      <c r="D29" s="87" t="s">
        <v>717</v>
      </c>
      <c r="E29" s="22" t="s">
        <v>718</v>
      </c>
      <c r="F29" s="163"/>
      <c r="G29" s="22" t="s">
        <v>248</v>
      </c>
      <c r="H29" s="163"/>
      <c r="I29" s="23"/>
      <c r="J29" s="23"/>
    </row>
    <row r="30" customFormat="1" ht="27.75" spans="1:10">
      <c r="A30" s="22">
        <f t="shared" si="0"/>
        <v>20</v>
      </c>
      <c r="B30" s="18" t="s">
        <v>242</v>
      </c>
      <c r="C30" s="22" t="s">
        <v>719</v>
      </c>
      <c r="D30" s="87" t="s">
        <v>719</v>
      </c>
      <c r="E30" s="22" t="s">
        <v>720</v>
      </c>
      <c r="F30" s="163"/>
      <c r="G30" s="22" t="s">
        <v>721</v>
      </c>
      <c r="H30" s="163"/>
      <c r="I30" s="23"/>
      <c r="J30" s="23"/>
    </row>
    <row r="31" customFormat="1" ht="27.75" spans="1:10">
      <c r="A31" s="22">
        <f t="shared" si="0"/>
        <v>21</v>
      </c>
      <c r="B31" s="18" t="s">
        <v>242</v>
      </c>
      <c r="C31" s="22" t="s">
        <v>722</v>
      </c>
      <c r="D31" s="87" t="s">
        <v>722</v>
      </c>
      <c r="E31" s="22" t="s">
        <v>723</v>
      </c>
      <c r="F31" s="163"/>
      <c r="G31" s="22" t="s">
        <v>282</v>
      </c>
      <c r="H31" s="163"/>
      <c r="I31" s="23"/>
      <c r="J31" s="23"/>
    </row>
    <row r="32" customFormat="1" ht="27.75" spans="1:10">
      <c r="A32" s="22">
        <f t="shared" si="0"/>
        <v>22</v>
      </c>
      <c r="B32" s="18" t="s">
        <v>242</v>
      </c>
      <c r="C32" s="22" t="s">
        <v>724</v>
      </c>
      <c r="D32" s="87" t="s">
        <v>724</v>
      </c>
      <c r="E32" s="22" t="s">
        <v>365</v>
      </c>
      <c r="F32" s="163"/>
      <c r="G32" s="22" t="s">
        <v>248</v>
      </c>
      <c r="H32" s="163"/>
      <c r="I32" s="23"/>
      <c r="J32" s="23"/>
    </row>
    <row r="33" customFormat="1" ht="27.75" spans="1:11">
      <c r="A33" s="22">
        <f t="shared" si="0"/>
        <v>23</v>
      </c>
      <c r="B33" s="18" t="s">
        <v>242</v>
      </c>
      <c r="C33" s="22" t="s">
        <v>725</v>
      </c>
      <c r="D33" s="87" t="s">
        <v>726</v>
      </c>
      <c r="E33" s="22" t="s">
        <v>727</v>
      </c>
      <c r="F33" s="163"/>
      <c r="G33" s="22" t="s">
        <v>263</v>
      </c>
      <c r="H33" s="163" t="s">
        <v>728</v>
      </c>
      <c r="I33" s="206" t="s">
        <v>264</v>
      </c>
      <c r="J33" s="206" t="s">
        <v>265</v>
      </c>
      <c r="K33" t="s">
        <v>727</v>
      </c>
    </row>
    <row r="34" customFormat="1" ht="27.75" spans="1:11">
      <c r="A34" s="22">
        <f t="shared" si="0"/>
        <v>24</v>
      </c>
      <c r="B34" s="18" t="s">
        <v>242</v>
      </c>
      <c r="C34" s="22" t="s">
        <v>729</v>
      </c>
      <c r="D34" s="87" t="s">
        <v>730</v>
      </c>
      <c r="E34" s="22" t="s">
        <v>731</v>
      </c>
      <c r="F34" s="163"/>
      <c r="G34" s="22" t="s">
        <v>263</v>
      </c>
      <c r="H34" s="163" t="s">
        <v>732</v>
      </c>
      <c r="I34" s="206" t="s">
        <v>264</v>
      </c>
      <c r="J34" s="206" t="s">
        <v>265</v>
      </c>
      <c r="K34" s="226" t="s">
        <v>731</v>
      </c>
    </row>
    <row r="35" customFormat="1" ht="27.75" spans="1:11">
      <c r="A35" s="22">
        <f t="shared" si="0"/>
        <v>25</v>
      </c>
      <c r="B35" s="18" t="s">
        <v>242</v>
      </c>
      <c r="C35" s="22" t="s">
        <v>733</v>
      </c>
      <c r="D35" s="87" t="s">
        <v>733</v>
      </c>
      <c r="E35" s="22" t="s">
        <v>734</v>
      </c>
      <c r="F35" s="22"/>
      <c r="G35" s="22" t="s">
        <v>263</v>
      </c>
      <c r="H35" s="163"/>
      <c r="I35" s="206" t="s">
        <v>264</v>
      </c>
      <c r="J35" s="206" t="s">
        <v>265</v>
      </c>
      <c r="K35" s="226" t="s">
        <v>734</v>
      </c>
    </row>
    <row r="36" customFormat="1" ht="27.75" spans="1:10">
      <c r="A36" s="22">
        <f t="shared" si="0"/>
        <v>26</v>
      </c>
      <c r="B36" s="18" t="s">
        <v>242</v>
      </c>
      <c r="C36" s="22" t="s">
        <v>735</v>
      </c>
      <c r="D36" s="87" t="s">
        <v>735</v>
      </c>
      <c r="E36" s="22" t="s">
        <v>736</v>
      </c>
      <c r="F36" s="22"/>
      <c r="G36" s="22" t="s">
        <v>273</v>
      </c>
      <c r="H36" s="163"/>
      <c r="I36" s="23"/>
      <c r="J36" s="23"/>
    </row>
    <row r="37" customFormat="1" ht="27.75" spans="1:10">
      <c r="A37" s="22">
        <f t="shared" si="0"/>
        <v>27</v>
      </c>
      <c r="B37" s="18" t="s">
        <v>242</v>
      </c>
      <c r="C37" s="22" t="s">
        <v>737</v>
      </c>
      <c r="D37" s="87" t="s">
        <v>737</v>
      </c>
      <c r="E37" s="22" t="s">
        <v>738</v>
      </c>
      <c r="F37" s="22"/>
      <c r="G37" s="22" t="s">
        <v>273</v>
      </c>
      <c r="H37" s="163"/>
      <c r="I37" s="23"/>
      <c r="J37" s="23"/>
    </row>
    <row r="38" customFormat="1" ht="27.75" spans="1:10">
      <c r="A38" s="22">
        <f t="shared" si="0"/>
        <v>28</v>
      </c>
      <c r="B38" s="18"/>
      <c r="C38" s="22" t="s">
        <v>739</v>
      </c>
      <c r="D38" s="87" t="s">
        <v>739</v>
      </c>
      <c r="E38" s="22" t="s">
        <v>740</v>
      </c>
      <c r="F38" s="22"/>
      <c r="G38" s="22" t="s">
        <v>273</v>
      </c>
      <c r="H38" s="163"/>
      <c r="I38" s="23"/>
      <c r="J38" s="23"/>
    </row>
    <row r="39" customFormat="1" ht="27.75" spans="1:10">
      <c r="A39" s="22">
        <f t="shared" si="0"/>
        <v>29</v>
      </c>
      <c r="B39" s="18"/>
      <c r="C39" s="22" t="s">
        <v>741</v>
      </c>
      <c r="D39" s="87" t="s">
        <v>741</v>
      </c>
      <c r="E39" s="22" t="s">
        <v>742</v>
      </c>
      <c r="F39" s="22"/>
      <c r="G39" s="22" t="s">
        <v>273</v>
      </c>
      <c r="H39" s="163"/>
      <c r="I39" s="23"/>
      <c r="J39" s="23"/>
    </row>
    <row r="40" customFormat="1" ht="27.75" spans="1:10">
      <c r="A40" s="22">
        <f t="shared" si="0"/>
        <v>30</v>
      </c>
      <c r="B40" s="18" t="s">
        <v>242</v>
      </c>
      <c r="C40" s="22" t="s">
        <v>743</v>
      </c>
      <c r="D40" s="87" t="s">
        <v>744</v>
      </c>
      <c r="E40" s="22" t="s">
        <v>745</v>
      </c>
      <c r="F40" s="22"/>
      <c r="G40" s="22" t="s">
        <v>320</v>
      </c>
      <c r="H40" s="163"/>
      <c r="I40" s="23"/>
      <c r="J40" s="23"/>
    </row>
    <row r="41" customFormat="1" ht="27.75" spans="1:10">
      <c r="A41" s="22">
        <f t="shared" si="0"/>
        <v>31</v>
      </c>
      <c r="B41" s="18" t="s">
        <v>242</v>
      </c>
      <c r="C41" s="22" t="s">
        <v>746</v>
      </c>
      <c r="D41" s="87" t="s">
        <v>747</v>
      </c>
      <c r="E41" s="22" t="s">
        <v>748</v>
      </c>
      <c r="F41" s="22"/>
      <c r="G41" s="22" t="s">
        <v>320</v>
      </c>
      <c r="H41" s="163"/>
      <c r="I41" s="23"/>
      <c r="J41" s="23"/>
    </row>
    <row r="42" customFormat="1" ht="27.75" spans="1:10">
      <c r="A42" s="22">
        <f t="shared" si="0"/>
        <v>32</v>
      </c>
      <c r="B42" s="251" t="s">
        <v>242</v>
      </c>
      <c r="C42" s="22" t="s">
        <v>749</v>
      </c>
      <c r="D42" s="87" t="s">
        <v>750</v>
      </c>
      <c r="E42" s="22" t="s">
        <v>751</v>
      </c>
      <c r="F42" s="163"/>
      <c r="G42" s="22" t="s">
        <v>248</v>
      </c>
      <c r="H42" s="163"/>
      <c r="I42" s="23"/>
      <c r="J42" s="23"/>
    </row>
    <row r="43" customFormat="1" ht="27.75" spans="1:10">
      <c r="A43" s="22">
        <f t="shared" si="0"/>
        <v>33</v>
      </c>
      <c r="B43" s="251" t="s">
        <v>242</v>
      </c>
      <c r="C43" s="22" t="s">
        <v>752</v>
      </c>
      <c r="D43" s="87" t="s">
        <v>752</v>
      </c>
      <c r="E43" s="22" t="s">
        <v>753</v>
      </c>
      <c r="F43" s="163"/>
      <c r="G43" s="22" t="s">
        <v>248</v>
      </c>
      <c r="H43" s="163"/>
      <c r="I43" s="23"/>
      <c r="J43" s="23"/>
    </row>
    <row r="44" customFormat="1" ht="27.75" spans="1:10">
      <c r="A44" s="22">
        <f t="shared" si="0"/>
        <v>34</v>
      </c>
      <c r="B44" s="251" t="s">
        <v>242</v>
      </c>
      <c r="C44" s="22" t="s">
        <v>754</v>
      </c>
      <c r="D44" s="87" t="s">
        <v>755</v>
      </c>
      <c r="E44" s="22" t="s">
        <v>756</v>
      </c>
      <c r="F44" s="163"/>
      <c r="G44" s="22" t="s">
        <v>248</v>
      </c>
      <c r="H44" s="163" t="s">
        <v>642</v>
      </c>
      <c r="I44" s="23" t="s">
        <v>711</v>
      </c>
      <c r="J44" s="23" t="s">
        <v>243</v>
      </c>
    </row>
    <row r="45" customFormat="1" ht="27.75" spans="1:12">
      <c r="A45" s="22">
        <f t="shared" si="0"/>
        <v>35</v>
      </c>
      <c r="B45" s="251" t="s">
        <v>242</v>
      </c>
      <c r="C45" s="22" t="s">
        <v>693</v>
      </c>
      <c r="D45" s="87" t="s">
        <v>693</v>
      </c>
      <c r="E45" s="22" t="s">
        <v>757</v>
      </c>
      <c r="F45" s="163"/>
      <c r="G45" s="22" t="s">
        <v>263</v>
      </c>
      <c r="H45" s="163"/>
      <c r="I45" s="22" t="s">
        <v>758</v>
      </c>
      <c r="J45" s="22" t="s">
        <v>243</v>
      </c>
      <c r="K45" s="22"/>
      <c r="L45" s="22"/>
    </row>
    <row r="46" customFormat="1" ht="27.75" spans="1:12">
      <c r="A46" s="22">
        <f t="shared" si="0"/>
        <v>36</v>
      </c>
      <c r="B46" s="251" t="s">
        <v>242</v>
      </c>
      <c r="C46" s="22" t="s">
        <v>759</v>
      </c>
      <c r="D46" s="87" t="s">
        <v>759</v>
      </c>
      <c r="E46" s="22" t="s">
        <v>760</v>
      </c>
      <c r="F46" s="163"/>
      <c r="G46" s="22" t="s">
        <v>263</v>
      </c>
      <c r="H46" s="163"/>
      <c r="I46" s="22" t="s">
        <v>264</v>
      </c>
      <c r="J46" s="22" t="s">
        <v>265</v>
      </c>
      <c r="K46" s="22" t="s">
        <v>760</v>
      </c>
      <c r="L46" s="22"/>
    </row>
    <row r="47" customHeight="1" spans="1:12">
      <c r="A47" s="22">
        <f t="shared" si="0"/>
        <v>37</v>
      </c>
      <c r="B47" s="251" t="s">
        <v>242</v>
      </c>
      <c r="C47" s="22" t="s">
        <v>761</v>
      </c>
      <c r="D47" s="87" t="s">
        <v>761</v>
      </c>
      <c r="E47" s="22" t="s">
        <v>762</v>
      </c>
      <c r="F47" s="163"/>
      <c r="G47" s="22" t="s">
        <v>263</v>
      </c>
      <c r="H47" s="163"/>
      <c r="I47" s="22" t="s">
        <v>763</v>
      </c>
      <c r="J47" s="22" t="s">
        <v>243</v>
      </c>
      <c r="K47" s="22"/>
      <c r="L47" s="22"/>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E17" sqref="E17"/>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16.1666666666667" style="23" customWidth="1"/>
    <col min="7" max="7" width="38.5333333333333" style="23" customWidth="1"/>
    <col min="8" max="8" width="16.1666666666667" style="23" customWidth="1"/>
    <col min="9" max="9" width="41.4666666666667" style="23" customWidth="1"/>
    <col min="10" max="10" width="31.6666666666667" style="23" customWidth="1"/>
    <col min="11" max="11" width="10.8333333333333" style="23"/>
    <col min="12" max="12" width="15.7333333333333" style="23" customWidth="1"/>
    <col min="13" max="16384" width="10.8333333333333" style="23"/>
  </cols>
  <sheetData>
    <row r="1" customHeight="1" spans="1:9">
      <c r="A1" s="5" t="s">
        <v>223</v>
      </c>
      <c r="B1" s="2" t="s">
        <v>764</v>
      </c>
      <c r="C1" s="3"/>
      <c r="D1" s="3"/>
      <c r="E1" s="3"/>
      <c r="F1" s="3"/>
      <c r="G1" s="3"/>
      <c r="H1" s="3"/>
      <c r="I1" s="3"/>
    </row>
    <row r="2" customHeight="1" spans="1:9">
      <c r="A2" s="5"/>
      <c r="B2" s="3"/>
      <c r="C2" s="3"/>
      <c r="D2" s="3"/>
      <c r="E2" s="3"/>
      <c r="F2" s="3"/>
      <c r="G2" s="3"/>
      <c r="H2" s="3"/>
      <c r="I2" s="3"/>
    </row>
    <row r="3" customFormat="1" ht="17.25" spans="1:9">
      <c r="A3" s="143" t="s">
        <v>225</v>
      </c>
      <c r="B3" s="144"/>
      <c r="C3" s="144"/>
      <c r="D3" s="144"/>
      <c r="E3" s="144"/>
      <c r="F3" s="144"/>
      <c r="G3" s="144"/>
      <c r="H3" s="144"/>
      <c r="I3" s="145"/>
    </row>
    <row r="4" customFormat="1" ht="17.25" spans="1:9">
      <c r="A4" s="22">
        <v>1</v>
      </c>
      <c r="B4" s="218" t="s">
        <v>226</v>
      </c>
      <c r="C4" s="219"/>
      <c r="D4" s="220"/>
      <c r="E4" s="31" t="s">
        <v>765</v>
      </c>
      <c r="F4" s="221"/>
      <c r="G4" s="221"/>
      <c r="H4" s="221"/>
      <c r="I4" s="222"/>
    </row>
    <row r="5" customFormat="1" ht="17.25" spans="1:9">
      <c r="A5" s="22">
        <v>2</v>
      </c>
      <c r="B5" s="218" t="s">
        <v>228</v>
      </c>
      <c r="C5" s="219"/>
      <c r="D5" s="220"/>
      <c r="E5" s="31" t="s">
        <v>766</v>
      </c>
      <c r="F5" s="221"/>
      <c r="G5" s="221"/>
      <c r="H5" s="221"/>
      <c r="I5" s="222"/>
    </row>
    <row r="6" customFormat="1" ht="17.25" spans="1:9">
      <c r="A6" s="22">
        <v>3</v>
      </c>
      <c r="B6" s="218" t="s">
        <v>229</v>
      </c>
      <c r="C6" s="219"/>
      <c r="D6" s="220"/>
      <c r="E6" s="31"/>
      <c r="F6" s="221"/>
      <c r="G6" s="221"/>
      <c r="H6" s="221"/>
      <c r="I6" s="222"/>
    </row>
    <row r="7" customFormat="1" ht="17.25" spans="1:9">
      <c r="A7" s="22">
        <v>4</v>
      </c>
      <c r="B7" s="218" t="s">
        <v>231</v>
      </c>
      <c r="C7" s="219"/>
      <c r="D7" s="220"/>
      <c r="E7" s="31"/>
      <c r="F7" s="221"/>
      <c r="G7" s="221"/>
      <c r="H7" s="221"/>
      <c r="I7" s="222"/>
    </row>
    <row r="8" customFormat="1" ht="17.25" spans="1:9">
      <c r="A8" s="22">
        <v>5</v>
      </c>
      <c r="B8" s="218" t="s">
        <v>627</v>
      </c>
      <c r="C8" s="219"/>
      <c r="D8" s="220"/>
      <c r="E8" s="31"/>
      <c r="F8" s="221"/>
      <c r="G8" s="221"/>
      <c r="H8" s="221"/>
      <c r="I8" s="222"/>
    </row>
    <row r="9" customFormat="1" ht="17.25" spans="1:9">
      <c r="A9" s="143" t="s">
        <v>234</v>
      </c>
      <c r="B9" s="144"/>
      <c r="C9" s="144"/>
      <c r="D9" s="144"/>
      <c r="E9" s="144"/>
      <c r="F9" s="144"/>
      <c r="G9" s="144"/>
      <c r="H9" s="144"/>
      <c r="I9" s="145"/>
    </row>
    <row r="10" customFormat="1" ht="17.25" spans="1:9">
      <c r="A10" s="152"/>
      <c r="B10" s="223" t="s">
        <v>235</v>
      </c>
      <c r="C10" s="152" t="s">
        <v>236</v>
      </c>
      <c r="D10" s="87" t="s">
        <v>237</v>
      </c>
      <c r="E10" s="152" t="s">
        <v>238</v>
      </c>
      <c r="F10" s="152" t="s">
        <v>240</v>
      </c>
      <c r="G10" s="223" t="s">
        <v>239</v>
      </c>
      <c r="H10" s="152" t="s">
        <v>240</v>
      </c>
      <c r="I10" s="223" t="s">
        <v>241</v>
      </c>
    </row>
    <row r="11" customFormat="1" ht="27.75" spans="1:9">
      <c r="A11" s="22">
        <f>ROW(A11)-10</f>
        <v>1</v>
      </c>
      <c r="B11" s="251" t="s">
        <v>242</v>
      </c>
      <c r="C11" s="22" t="s">
        <v>243</v>
      </c>
      <c r="D11" s="87" t="s">
        <v>243</v>
      </c>
      <c r="E11" s="22" t="s">
        <v>243</v>
      </c>
      <c r="F11" s="22" t="s">
        <v>248</v>
      </c>
      <c r="G11" s="200" t="s">
        <v>244</v>
      </c>
      <c r="H11" s="22" t="s">
        <v>248</v>
      </c>
      <c r="I11" s="163"/>
    </row>
    <row r="12" customFormat="1" ht="27.75" spans="1:9">
      <c r="A12" s="22">
        <f t="shared" ref="A12:A24" si="0">ROW(A12)-10</f>
        <v>2</v>
      </c>
      <c r="B12" s="251" t="s">
        <v>242</v>
      </c>
      <c r="C12" s="22" t="s">
        <v>767</v>
      </c>
      <c r="D12" s="87" t="s">
        <v>767</v>
      </c>
      <c r="E12" s="22" t="s">
        <v>768</v>
      </c>
      <c r="F12" s="22" t="s">
        <v>421</v>
      </c>
      <c r="G12" s="163"/>
      <c r="H12" s="22" t="s">
        <v>421</v>
      </c>
      <c r="I12" s="163"/>
    </row>
    <row r="13" customFormat="1" ht="27.75" spans="1:9">
      <c r="A13" s="22">
        <f t="shared" si="0"/>
        <v>3</v>
      </c>
      <c r="B13" s="251" t="s">
        <v>242</v>
      </c>
      <c r="C13" s="22" t="s">
        <v>769</v>
      </c>
      <c r="D13" s="87" t="s">
        <v>769</v>
      </c>
      <c r="E13" s="22" t="s">
        <v>770</v>
      </c>
      <c r="F13" s="22" t="s">
        <v>421</v>
      </c>
      <c r="G13" s="163"/>
      <c r="H13" s="22" t="s">
        <v>421</v>
      </c>
      <c r="I13" s="163"/>
    </row>
    <row r="14" customFormat="1" ht="27.75" spans="1:9">
      <c r="A14" s="22">
        <f t="shared" si="0"/>
        <v>4</v>
      </c>
      <c r="B14" s="18" t="s">
        <v>242</v>
      </c>
      <c r="C14" s="22" t="s">
        <v>717</v>
      </c>
      <c r="D14" s="87" t="s">
        <v>717</v>
      </c>
      <c r="E14" s="22" t="s">
        <v>718</v>
      </c>
      <c r="F14" s="22" t="s">
        <v>248</v>
      </c>
      <c r="G14" s="163"/>
      <c r="H14" s="22" t="s">
        <v>248</v>
      </c>
      <c r="I14" s="163"/>
    </row>
    <row r="15" customFormat="1" ht="27.75" spans="1:9">
      <c r="A15" s="22">
        <f t="shared" si="0"/>
        <v>5</v>
      </c>
      <c r="B15" s="18" t="s">
        <v>242</v>
      </c>
      <c r="C15" s="22" t="s">
        <v>719</v>
      </c>
      <c r="D15" s="87" t="s">
        <v>719</v>
      </c>
      <c r="E15" s="22" t="s">
        <v>720</v>
      </c>
      <c r="F15" s="22" t="s">
        <v>721</v>
      </c>
      <c r="G15" s="163"/>
      <c r="H15" s="22" t="s">
        <v>721</v>
      </c>
      <c r="I15" s="163"/>
    </row>
    <row r="16" customFormat="1" ht="27.75" spans="1:9">
      <c r="A16" s="22">
        <f t="shared" si="0"/>
        <v>6</v>
      </c>
      <c r="B16" s="18" t="s">
        <v>242</v>
      </c>
      <c r="C16" s="22" t="s">
        <v>724</v>
      </c>
      <c r="D16" s="87" t="s">
        <v>724</v>
      </c>
      <c r="E16" s="22" t="s">
        <v>365</v>
      </c>
      <c r="F16" s="22" t="s">
        <v>248</v>
      </c>
      <c r="G16" s="163"/>
      <c r="H16" s="22" t="s">
        <v>248</v>
      </c>
      <c r="I16" s="163"/>
    </row>
    <row r="17" customFormat="1" ht="27.75" spans="1:11">
      <c r="A17" s="22">
        <f t="shared" si="0"/>
        <v>7</v>
      </c>
      <c r="B17" s="18"/>
      <c r="C17" s="22" t="s">
        <v>771</v>
      </c>
      <c r="D17" s="87" t="s">
        <v>771</v>
      </c>
      <c r="E17" s="22" t="s">
        <v>772</v>
      </c>
      <c r="F17" s="22" t="s">
        <v>263</v>
      </c>
      <c r="G17" s="163" t="s">
        <v>771</v>
      </c>
      <c r="H17" s="22" t="s">
        <v>263</v>
      </c>
      <c r="I17" s="163" t="s">
        <v>773</v>
      </c>
      <c r="J17" s="23" t="s">
        <v>253</v>
      </c>
      <c r="K17" s="23" t="s">
        <v>243</v>
      </c>
    </row>
    <row r="18" customFormat="1" ht="27.75" spans="1:11">
      <c r="A18" s="22">
        <f t="shared" si="0"/>
        <v>8</v>
      </c>
      <c r="B18" s="18" t="s">
        <v>242</v>
      </c>
      <c r="C18" s="22" t="s">
        <v>709</v>
      </c>
      <c r="D18" s="87" t="s">
        <v>774</v>
      </c>
      <c r="E18" s="22" t="s">
        <v>640</v>
      </c>
      <c r="F18" s="22" t="s">
        <v>263</v>
      </c>
      <c r="G18" s="163" t="s">
        <v>641</v>
      </c>
      <c r="H18" s="22" t="s">
        <v>263</v>
      </c>
      <c r="I18" s="163" t="s">
        <v>642</v>
      </c>
      <c r="J18" s="23" t="s">
        <v>711</v>
      </c>
      <c r="K18" s="23" t="s">
        <v>243</v>
      </c>
    </row>
    <row r="19" customFormat="1" ht="27.75" spans="1:11">
      <c r="A19" s="22">
        <f t="shared" si="0"/>
        <v>9</v>
      </c>
      <c r="B19" s="18"/>
      <c r="C19" s="22" t="s">
        <v>775</v>
      </c>
      <c r="D19" s="87" t="s">
        <v>776</v>
      </c>
      <c r="E19" s="22" t="s">
        <v>602</v>
      </c>
      <c r="F19" s="22" t="s">
        <v>263</v>
      </c>
      <c r="G19" s="163" t="s">
        <v>777</v>
      </c>
      <c r="H19" s="22" t="s">
        <v>263</v>
      </c>
      <c r="I19" s="163" t="s">
        <v>778</v>
      </c>
      <c r="J19" s="23" t="s">
        <v>604</v>
      </c>
      <c r="K19" s="23" t="s">
        <v>243</v>
      </c>
    </row>
    <row r="20" customFormat="1" ht="27.75" spans="1:11">
      <c r="A20" s="22">
        <f t="shared" si="0"/>
        <v>10</v>
      </c>
      <c r="B20" s="251" t="s">
        <v>242</v>
      </c>
      <c r="C20" s="22" t="s">
        <v>779</v>
      </c>
      <c r="D20" s="87" t="s">
        <v>600</v>
      </c>
      <c r="E20" s="22" t="s">
        <v>256</v>
      </c>
      <c r="F20" s="22" t="s">
        <v>248</v>
      </c>
      <c r="G20" s="163"/>
      <c r="H20" s="22" t="s">
        <v>248</v>
      </c>
      <c r="I20" s="163"/>
      <c r="J20" s="23" t="s">
        <v>258</v>
      </c>
      <c r="K20" s="23" t="s">
        <v>243</v>
      </c>
    </row>
    <row r="21" customFormat="1" ht="27.75" spans="1:9">
      <c r="A21" s="22">
        <f t="shared" si="0"/>
        <v>11</v>
      </c>
      <c r="B21" s="251" t="s">
        <v>242</v>
      </c>
      <c r="C21" s="22" t="s">
        <v>780</v>
      </c>
      <c r="D21" s="87" t="s">
        <v>780</v>
      </c>
      <c r="E21" s="22" t="s">
        <v>781</v>
      </c>
      <c r="F21" s="22" t="s">
        <v>359</v>
      </c>
      <c r="G21" s="163" t="s">
        <v>782</v>
      </c>
      <c r="H21" s="22" t="s">
        <v>359</v>
      </c>
      <c r="I21" s="163"/>
    </row>
    <row r="22" customFormat="1" ht="27.75" spans="1:9">
      <c r="A22" s="22">
        <f t="shared" si="0"/>
        <v>12</v>
      </c>
      <c r="B22" s="251"/>
      <c r="C22" s="22" t="s">
        <v>783</v>
      </c>
      <c r="D22" s="87" t="s">
        <v>783</v>
      </c>
      <c r="E22" s="22" t="s">
        <v>784</v>
      </c>
      <c r="F22" s="22" t="s">
        <v>282</v>
      </c>
      <c r="G22" s="163"/>
      <c r="H22" s="22" t="s">
        <v>282</v>
      </c>
      <c r="I22" s="163"/>
    </row>
    <row r="23" customFormat="1" ht="27.75" spans="1:9">
      <c r="A23" s="22">
        <f t="shared" si="0"/>
        <v>13</v>
      </c>
      <c r="B23" s="251"/>
      <c r="C23" s="22" t="s">
        <v>785</v>
      </c>
      <c r="D23" s="87" t="s">
        <v>785</v>
      </c>
      <c r="E23" s="22" t="s">
        <v>786</v>
      </c>
      <c r="F23" s="22" t="s">
        <v>263</v>
      </c>
      <c r="G23" s="163"/>
      <c r="H23" s="22" t="s">
        <v>263</v>
      </c>
      <c r="I23" s="163"/>
    </row>
    <row r="24" customFormat="1" ht="34.5" spans="1:12">
      <c r="A24" s="22">
        <f t="shared" si="0"/>
        <v>14</v>
      </c>
      <c r="B24" s="251"/>
      <c r="C24" s="22" t="s">
        <v>787</v>
      </c>
      <c r="D24" s="87" t="s">
        <v>787</v>
      </c>
      <c r="E24" s="22" t="s">
        <v>788</v>
      </c>
      <c r="F24" s="22" t="s">
        <v>263</v>
      </c>
      <c r="G24" s="163" t="s">
        <v>789</v>
      </c>
      <c r="H24" s="22" t="s">
        <v>263</v>
      </c>
      <c r="I24" s="163"/>
      <c r="J24" t="s">
        <v>264</v>
      </c>
      <c r="K24" t="s">
        <v>265</v>
      </c>
      <c r="L24" t="s">
        <v>788</v>
      </c>
    </row>
  </sheetData>
  <mergeCells count="13">
    <mergeCell ref="A3:I3"/>
    <mergeCell ref="B4:C4"/>
    <mergeCell ref="E4:I4"/>
    <mergeCell ref="B5:C5"/>
    <mergeCell ref="E5:I5"/>
    <mergeCell ref="B6:C6"/>
    <mergeCell ref="E6:I6"/>
    <mergeCell ref="B7:C7"/>
    <mergeCell ref="E7:I7"/>
    <mergeCell ref="B8:C8"/>
    <mergeCell ref="E8:I8"/>
    <mergeCell ref="A9:I9"/>
    <mergeCell ref="B1:I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zoomScale="75" zoomScaleNormal="75" topLeftCell="A13" workbookViewId="0">
      <selection activeCell="K30" sqref="K30"/>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65" style="23" customWidth="1"/>
    <col min="7" max="7" width="16.1666666666667" style="23" customWidth="1"/>
    <col min="8" max="8" width="76.6666666666667" style="23" customWidth="1"/>
    <col min="9" max="9" width="30.3333333333333" style="23" customWidth="1"/>
    <col min="10" max="10" width="18.3333333333333" style="23" customWidth="1"/>
    <col min="11" max="11" width="17.6666666666667" style="23" customWidth="1"/>
    <col min="12" max="16384" width="10.8333333333333" style="23"/>
  </cols>
  <sheetData>
    <row r="1" customHeight="1" spans="1:8">
      <c r="A1" s="5" t="s">
        <v>223</v>
      </c>
      <c r="B1" s="2" t="s">
        <v>790</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791</v>
      </c>
      <c r="F4" s="221"/>
      <c r="G4" s="221"/>
      <c r="H4" s="222"/>
    </row>
    <row r="5" customFormat="1" ht="17.25" spans="1:8">
      <c r="A5" s="22">
        <v>2</v>
      </c>
      <c r="B5" s="218" t="s">
        <v>228</v>
      </c>
      <c r="C5" s="219"/>
      <c r="D5" s="220"/>
      <c r="E5" s="31" t="s">
        <v>792</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251" t="s">
        <v>242</v>
      </c>
      <c r="C11" s="22" t="s">
        <v>243</v>
      </c>
      <c r="D11" s="87" t="s">
        <v>243</v>
      </c>
      <c r="E11" s="22" t="s">
        <v>243</v>
      </c>
      <c r="F11" s="200" t="s">
        <v>244</v>
      </c>
      <c r="G11" s="22" t="s">
        <v>248</v>
      </c>
      <c r="H11" s="163"/>
    </row>
    <row r="12" customFormat="1" ht="27.75" spans="1:8">
      <c r="A12" s="22">
        <v>2</v>
      </c>
      <c r="B12" s="251" t="s">
        <v>242</v>
      </c>
      <c r="C12" s="22" t="s">
        <v>610</v>
      </c>
      <c r="D12" s="87" t="s">
        <v>610</v>
      </c>
      <c r="E12" s="22" t="s">
        <v>629</v>
      </c>
      <c r="F12" s="163"/>
      <c r="G12" s="22" t="s">
        <v>421</v>
      </c>
      <c r="H12" s="163"/>
    </row>
    <row r="13" customFormat="1" ht="34.5" spans="1:11">
      <c r="A13" s="22">
        <v>3</v>
      </c>
      <c r="B13" s="251" t="s">
        <v>242</v>
      </c>
      <c r="C13" s="22" t="s">
        <v>793</v>
      </c>
      <c r="D13" s="87" t="s">
        <v>794</v>
      </c>
      <c r="E13" s="22" t="s">
        <v>795</v>
      </c>
      <c r="F13" s="22" t="s">
        <v>796</v>
      </c>
      <c r="G13" s="22" t="s">
        <v>263</v>
      </c>
      <c r="H13" s="218" t="s">
        <v>797</v>
      </c>
      <c r="I13" s="159" t="s">
        <v>264</v>
      </c>
      <c r="J13" s="159" t="s">
        <v>265</v>
      </c>
      <c r="K13" s="159" t="s">
        <v>795</v>
      </c>
    </row>
    <row r="14" customFormat="1" ht="17.25" spans="1:11">
      <c r="A14" s="22">
        <v>4</v>
      </c>
      <c r="B14" s="163"/>
      <c r="C14" s="22" t="s">
        <v>717</v>
      </c>
      <c r="D14" s="87" t="s">
        <v>717</v>
      </c>
      <c r="E14" s="22" t="s">
        <v>718</v>
      </c>
      <c r="F14" s="163" t="s">
        <v>717</v>
      </c>
      <c r="G14" s="22" t="s">
        <v>248</v>
      </c>
      <c r="H14" s="218"/>
      <c r="I14" s="159"/>
      <c r="J14" s="159"/>
      <c r="K14" s="159"/>
    </row>
    <row r="15" customFormat="1" ht="27.75" spans="1:11">
      <c r="A15" s="22">
        <v>5</v>
      </c>
      <c r="B15" s="251" t="s">
        <v>242</v>
      </c>
      <c r="C15" s="22" t="s">
        <v>719</v>
      </c>
      <c r="D15" s="87" t="s">
        <v>719</v>
      </c>
      <c r="E15" s="22" t="s">
        <v>720</v>
      </c>
      <c r="F15" s="163" t="s">
        <v>719</v>
      </c>
      <c r="G15" s="22" t="s">
        <v>721</v>
      </c>
      <c r="H15" s="218"/>
      <c r="I15" s="159"/>
      <c r="J15" s="159"/>
      <c r="K15" s="159"/>
    </row>
    <row r="16" customFormat="1" ht="17.25" spans="1:11">
      <c r="A16" s="22">
        <v>6</v>
      </c>
      <c r="B16" s="163"/>
      <c r="C16" s="22" t="s">
        <v>722</v>
      </c>
      <c r="D16" s="87" t="s">
        <v>722</v>
      </c>
      <c r="E16" s="22" t="s">
        <v>723</v>
      </c>
      <c r="F16" s="163" t="s">
        <v>798</v>
      </c>
      <c r="G16" s="22" t="s">
        <v>282</v>
      </c>
      <c r="H16" s="218"/>
      <c r="I16" s="159"/>
      <c r="J16" s="159"/>
      <c r="K16" s="159"/>
    </row>
    <row r="17" customFormat="1" ht="34.5" spans="1:11">
      <c r="A17" s="22">
        <v>7</v>
      </c>
      <c r="B17" s="251" t="s">
        <v>242</v>
      </c>
      <c r="C17" s="22" t="s">
        <v>799</v>
      </c>
      <c r="D17" s="87" t="s">
        <v>800</v>
      </c>
      <c r="E17" s="22" t="s">
        <v>801</v>
      </c>
      <c r="F17" s="22" t="s">
        <v>802</v>
      </c>
      <c r="G17" s="22" t="s">
        <v>263</v>
      </c>
      <c r="H17" s="218" t="s">
        <v>803</v>
      </c>
      <c r="I17" s="159" t="s">
        <v>264</v>
      </c>
      <c r="J17" s="159" t="s">
        <v>265</v>
      </c>
      <c r="K17" s="159" t="s">
        <v>801</v>
      </c>
    </row>
    <row r="18" customFormat="1" ht="27.75" spans="1:11">
      <c r="A18" s="22">
        <v>8</v>
      </c>
      <c r="B18" s="251" t="s">
        <v>242</v>
      </c>
      <c r="C18" s="22" t="s">
        <v>724</v>
      </c>
      <c r="D18" s="87" t="s">
        <v>724</v>
      </c>
      <c r="E18" s="22" t="s">
        <v>365</v>
      </c>
      <c r="F18" s="163" t="s">
        <v>724</v>
      </c>
      <c r="G18" s="22" t="s">
        <v>248</v>
      </c>
      <c r="H18" s="218"/>
      <c r="I18" s="159"/>
      <c r="J18" s="159"/>
      <c r="K18" s="159"/>
    </row>
    <row r="19" customFormat="1" ht="27.75" spans="1:11">
      <c r="A19" s="22">
        <v>9</v>
      </c>
      <c r="B19" s="251" t="s">
        <v>242</v>
      </c>
      <c r="C19" s="22" t="s">
        <v>725</v>
      </c>
      <c r="D19" s="87" t="s">
        <v>726</v>
      </c>
      <c r="E19" s="22" t="s">
        <v>727</v>
      </c>
      <c r="F19" s="163" t="s">
        <v>726</v>
      </c>
      <c r="G19" s="22" t="s">
        <v>263</v>
      </c>
      <c r="H19" s="218" t="s">
        <v>728</v>
      </c>
      <c r="I19" s="159" t="s">
        <v>264</v>
      </c>
      <c r="J19" s="159" t="s">
        <v>265</v>
      </c>
      <c r="K19" s="159" t="s">
        <v>727</v>
      </c>
    </row>
    <row r="20" customFormat="1" ht="27.75" spans="1:11">
      <c r="A20" s="22">
        <v>10</v>
      </c>
      <c r="B20" s="251" t="s">
        <v>242</v>
      </c>
      <c r="C20" s="22" t="s">
        <v>729</v>
      </c>
      <c r="D20" s="87" t="s">
        <v>730</v>
      </c>
      <c r="E20" s="22" t="s">
        <v>731</v>
      </c>
      <c r="F20" s="163" t="s">
        <v>730</v>
      </c>
      <c r="G20" s="22" t="s">
        <v>263</v>
      </c>
      <c r="H20" s="218" t="s">
        <v>732</v>
      </c>
      <c r="I20" s="159" t="s">
        <v>264</v>
      </c>
      <c r="J20" s="159" t="s">
        <v>265</v>
      </c>
      <c r="K20" s="159" t="s">
        <v>731</v>
      </c>
    </row>
    <row r="21" customFormat="1" ht="27.75" spans="1:11">
      <c r="A21" s="22">
        <v>11</v>
      </c>
      <c r="B21" s="251" t="s">
        <v>242</v>
      </c>
      <c r="C21" s="22" t="s">
        <v>804</v>
      </c>
      <c r="D21" s="87" t="s">
        <v>805</v>
      </c>
      <c r="E21" s="22" t="s">
        <v>806</v>
      </c>
      <c r="F21" s="163" t="s">
        <v>807</v>
      </c>
      <c r="G21" s="22" t="s">
        <v>263</v>
      </c>
      <c r="H21" s="218" t="s">
        <v>656</v>
      </c>
      <c r="I21" s="159" t="s">
        <v>657</v>
      </c>
      <c r="J21" s="159" t="s">
        <v>243</v>
      </c>
      <c r="K21" s="159"/>
    </row>
    <row r="22" customFormat="1" ht="27.75" spans="1:11">
      <c r="A22" s="22">
        <v>12</v>
      </c>
      <c r="B22" s="251" t="s">
        <v>242</v>
      </c>
      <c r="C22" s="22" t="s">
        <v>668</v>
      </c>
      <c r="D22" s="87" t="s">
        <v>808</v>
      </c>
      <c r="E22" s="22" t="s">
        <v>669</v>
      </c>
      <c r="F22" s="163" t="s">
        <v>809</v>
      </c>
      <c r="G22" s="22" t="s">
        <v>263</v>
      </c>
      <c r="H22" s="218" t="s">
        <v>810</v>
      </c>
      <c r="I22" s="159" t="s">
        <v>264</v>
      </c>
      <c r="J22" s="159" t="s">
        <v>265</v>
      </c>
      <c r="K22" s="159" t="s">
        <v>811</v>
      </c>
    </row>
    <row r="23" customFormat="1" ht="17.25" spans="1:11">
      <c r="A23" s="22">
        <v>13</v>
      </c>
      <c r="B23" s="163"/>
      <c r="C23" s="22" t="s">
        <v>812</v>
      </c>
      <c r="D23" s="87" t="s">
        <v>812</v>
      </c>
      <c r="E23" s="22" t="s">
        <v>736</v>
      </c>
      <c r="F23" s="163" t="s">
        <v>813</v>
      </c>
      <c r="G23" s="22" t="s">
        <v>273</v>
      </c>
      <c r="H23" s="218"/>
      <c r="I23" s="159"/>
      <c r="J23" s="159"/>
      <c r="K23" s="159"/>
    </row>
    <row r="24" customFormat="1" ht="27.75" spans="1:11">
      <c r="A24" s="22">
        <v>14</v>
      </c>
      <c r="B24" s="251" t="s">
        <v>242</v>
      </c>
      <c r="C24" s="22" t="s">
        <v>814</v>
      </c>
      <c r="D24" s="87" t="s">
        <v>815</v>
      </c>
      <c r="E24" s="22" t="s">
        <v>816</v>
      </c>
      <c r="F24" s="163" t="s">
        <v>641</v>
      </c>
      <c r="G24" s="22" t="s">
        <v>263</v>
      </c>
      <c r="H24" s="218" t="s">
        <v>642</v>
      </c>
      <c r="I24" s="159" t="s">
        <v>711</v>
      </c>
      <c r="J24" s="159" t="s">
        <v>243</v>
      </c>
      <c r="K24" s="159"/>
    </row>
    <row r="25" customFormat="1" ht="27.75" spans="1:11">
      <c r="A25" s="22">
        <v>15</v>
      </c>
      <c r="B25" s="251" t="s">
        <v>242</v>
      </c>
      <c r="C25" s="22" t="s">
        <v>709</v>
      </c>
      <c r="D25" s="87" t="s">
        <v>774</v>
      </c>
      <c r="E25" s="22" t="s">
        <v>640</v>
      </c>
      <c r="F25" s="163" t="s">
        <v>641</v>
      </c>
      <c r="G25" s="22" t="s">
        <v>263</v>
      </c>
      <c r="H25" s="218" t="s">
        <v>642</v>
      </c>
      <c r="I25" s="159" t="s">
        <v>711</v>
      </c>
      <c r="J25" s="159" t="s">
        <v>243</v>
      </c>
      <c r="K25" s="159"/>
    </row>
    <row r="26" customFormat="1" ht="27.75" spans="1:11">
      <c r="A26" s="22">
        <v>16</v>
      </c>
      <c r="B26" s="251" t="s">
        <v>242</v>
      </c>
      <c r="C26" s="22" t="s">
        <v>817</v>
      </c>
      <c r="D26" s="87" t="s">
        <v>776</v>
      </c>
      <c r="E26" s="22" t="s">
        <v>818</v>
      </c>
      <c r="F26" s="163" t="s">
        <v>777</v>
      </c>
      <c r="G26" s="22" t="s">
        <v>263</v>
      </c>
      <c r="H26" s="218" t="s">
        <v>778</v>
      </c>
      <c r="I26" s="159" t="s">
        <v>604</v>
      </c>
      <c r="J26" s="159" t="s">
        <v>243</v>
      </c>
      <c r="K26" s="159"/>
    </row>
    <row r="27" customFormat="1" ht="27.75" spans="1:11">
      <c r="A27" s="22">
        <v>17</v>
      </c>
      <c r="B27" s="251" t="s">
        <v>242</v>
      </c>
      <c r="C27" s="22" t="s">
        <v>779</v>
      </c>
      <c r="D27" s="87" t="s">
        <v>600</v>
      </c>
      <c r="E27" s="22" t="s">
        <v>256</v>
      </c>
      <c r="F27" s="163" t="s">
        <v>819</v>
      </c>
      <c r="G27" s="22" t="s">
        <v>263</v>
      </c>
      <c r="H27" s="218"/>
      <c r="I27" s="159" t="s">
        <v>258</v>
      </c>
      <c r="J27" s="159" t="s">
        <v>243</v>
      </c>
      <c r="K27" s="159"/>
    </row>
    <row r="28" customFormat="1" ht="27.75" spans="1:11">
      <c r="A28" s="22">
        <v>18</v>
      </c>
      <c r="B28" s="251" t="s">
        <v>242</v>
      </c>
      <c r="C28" s="22" t="s">
        <v>780</v>
      </c>
      <c r="D28" s="87" t="s">
        <v>780</v>
      </c>
      <c r="E28" s="22" t="s">
        <v>820</v>
      </c>
      <c r="F28" s="163" t="s">
        <v>821</v>
      </c>
      <c r="G28" s="22" t="s">
        <v>359</v>
      </c>
      <c r="H28" s="218"/>
      <c r="I28" s="159"/>
      <c r="J28" s="159"/>
      <c r="K28" s="159"/>
    </row>
    <row r="29" customFormat="1" ht="17.25" spans="1:11">
      <c r="A29" s="22">
        <v>19</v>
      </c>
      <c r="B29" s="163"/>
      <c r="C29" s="22" t="s">
        <v>783</v>
      </c>
      <c r="D29" s="87" t="s">
        <v>783</v>
      </c>
      <c r="E29" s="22" t="s">
        <v>822</v>
      </c>
      <c r="F29" s="163"/>
      <c r="G29" s="22" t="s">
        <v>282</v>
      </c>
      <c r="H29" s="218"/>
      <c r="I29" s="159"/>
      <c r="J29" s="159"/>
      <c r="K29" s="159"/>
    </row>
    <row r="30" customFormat="1" ht="120.75" spans="1:11">
      <c r="A30" s="22">
        <v>20</v>
      </c>
      <c r="B30" s="18" t="s">
        <v>242</v>
      </c>
      <c r="C30" s="22" t="s">
        <v>634</v>
      </c>
      <c r="D30" s="87" t="s">
        <v>634</v>
      </c>
      <c r="E30" s="22" t="s">
        <v>635</v>
      </c>
      <c r="F30" s="22" t="s">
        <v>636</v>
      </c>
      <c r="G30" s="22" t="s">
        <v>263</v>
      </c>
      <c r="H30" s="218" t="s">
        <v>637</v>
      </c>
      <c r="I30" s="159" t="s">
        <v>264</v>
      </c>
      <c r="J30" s="159" t="s">
        <v>265</v>
      </c>
      <c r="K30" s="159" t="s">
        <v>635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zoomScale="85" zoomScaleNormal="85" topLeftCell="A4" workbookViewId="0">
      <selection activeCell="K15" sqref="K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8.675" style="23" customWidth="1"/>
    <col min="7" max="7" width="16.1666666666667" style="23" customWidth="1"/>
    <col min="8" max="8" width="76.5" style="23" customWidth="1"/>
    <col min="9" max="9" width="15.3333333333333" style="23" customWidth="1"/>
    <col min="10" max="10" width="12.8333333333333" style="23" customWidth="1"/>
    <col min="11" max="11" width="17.5" style="23" customWidth="1"/>
    <col min="12" max="16384" width="10.8333333333333" style="23"/>
  </cols>
  <sheetData>
    <row r="1" customHeight="1" spans="1:8">
      <c r="A1" s="5" t="s">
        <v>223</v>
      </c>
      <c r="B1" s="2" t="s">
        <v>121</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823</v>
      </c>
      <c r="F4" s="221"/>
      <c r="G4" s="221"/>
      <c r="H4" s="222"/>
    </row>
    <row r="5" customFormat="1" ht="17.25" spans="1:8">
      <c r="A5" s="22">
        <v>2</v>
      </c>
      <c r="B5" s="218" t="s">
        <v>228</v>
      </c>
      <c r="C5" s="219"/>
      <c r="D5" s="220"/>
      <c r="E5" s="31" t="s">
        <v>824</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70.25" customHeight="1"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251" t="s">
        <v>242</v>
      </c>
      <c r="C11" s="22" t="s">
        <v>243</v>
      </c>
      <c r="D11" s="87" t="s">
        <v>243</v>
      </c>
      <c r="E11" s="22" t="s">
        <v>243</v>
      </c>
      <c r="F11" s="200" t="s">
        <v>244</v>
      </c>
      <c r="G11" s="22" t="s">
        <v>248</v>
      </c>
      <c r="H11" s="163"/>
    </row>
    <row r="12" customFormat="1" ht="27.75" spans="1:8">
      <c r="A12" s="22">
        <v>2</v>
      </c>
      <c r="B12" s="251" t="s">
        <v>242</v>
      </c>
      <c r="C12" s="22" t="s">
        <v>717</v>
      </c>
      <c r="D12" s="87" t="s">
        <v>717</v>
      </c>
      <c r="E12" s="22" t="s">
        <v>718</v>
      </c>
      <c r="F12" s="163" t="s">
        <v>825</v>
      </c>
      <c r="G12" s="22" t="s">
        <v>248</v>
      </c>
      <c r="H12" s="163"/>
    </row>
    <row r="13" customFormat="1" ht="27.75" spans="1:8">
      <c r="A13" s="22">
        <v>3</v>
      </c>
      <c r="B13" s="251" t="s">
        <v>242</v>
      </c>
      <c r="C13" s="22" t="s">
        <v>719</v>
      </c>
      <c r="D13" s="87" t="s">
        <v>719</v>
      </c>
      <c r="E13" s="22" t="s">
        <v>720</v>
      </c>
      <c r="F13" s="163" t="s">
        <v>826</v>
      </c>
      <c r="G13" s="22" t="s">
        <v>721</v>
      </c>
      <c r="H13" s="163"/>
    </row>
    <row r="14" customFormat="1" ht="27.75" spans="1:8">
      <c r="A14" s="22">
        <v>4</v>
      </c>
      <c r="B14" s="251" t="s">
        <v>242</v>
      </c>
      <c r="C14" s="22" t="s">
        <v>610</v>
      </c>
      <c r="D14" s="87" t="s">
        <v>610</v>
      </c>
      <c r="E14" s="22" t="s">
        <v>629</v>
      </c>
      <c r="F14" s="163" t="s">
        <v>769</v>
      </c>
      <c r="G14" s="22" t="s">
        <v>421</v>
      </c>
      <c r="H14" s="163"/>
    </row>
    <row r="15" customFormat="1" ht="69" spans="1:11">
      <c r="A15" s="22">
        <v>5</v>
      </c>
      <c r="B15" s="251" t="s">
        <v>242</v>
      </c>
      <c r="C15" s="22" t="s">
        <v>827</v>
      </c>
      <c r="D15" s="87" t="s">
        <v>828</v>
      </c>
      <c r="E15" s="22" t="s">
        <v>829</v>
      </c>
      <c r="F15" s="22" t="s">
        <v>830</v>
      </c>
      <c r="G15" s="22" t="s">
        <v>263</v>
      </c>
      <c r="H15" s="218" t="s">
        <v>831</v>
      </c>
      <c r="I15" s="159" t="s">
        <v>264</v>
      </c>
      <c r="J15" s="159" t="s">
        <v>265</v>
      </c>
      <c r="K15" s="159" t="s">
        <v>832</v>
      </c>
    </row>
    <row r="16" customFormat="1" ht="27.75" spans="1:8">
      <c r="A16" s="22">
        <v>6</v>
      </c>
      <c r="B16" s="251" t="s">
        <v>242</v>
      </c>
      <c r="C16" s="22" t="s">
        <v>813</v>
      </c>
      <c r="D16" s="87" t="s">
        <v>813</v>
      </c>
      <c r="E16" s="22" t="s">
        <v>736</v>
      </c>
      <c r="F16" s="163"/>
      <c r="G16" s="22" t="s">
        <v>273</v>
      </c>
      <c r="H16"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workbookViewId="0">
      <selection activeCell="A17" sqref="$A17:$XFD4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65" style="23" customWidth="1"/>
    <col min="7" max="7" width="16.1666666666667" style="23" customWidth="1"/>
    <col min="8" max="8" width="74.5" style="23" customWidth="1"/>
    <col min="9" max="9" width="15.375" style="23" customWidth="1"/>
    <col min="10" max="16384" width="10.8333333333333" style="23"/>
  </cols>
  <sheetData>
    <row r="1" customHeight="1" spans="1:8">
      <c r="A1" s="5" t="s">
        <v>223</v>
      </c>
      <c r="B1" s="2" t="s">
        <v>122</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833</v>
      </c>
      <c r="F4" s="221"/>
      <c r="G4" s="221"/>
      <c r="H4" s="222"/>
    </row>
    <row r="5" customFormat="1" ht="17.25" spans="1:8">
      <c r="A5" s="22">
        <v>2</v>
      </c>
      <c r="B5" s="218" t="s">
        <v>228</v>
      </c>
      <c r="C5" s="219"/>
      <c r="D5" s="220"/>
      <c r="E5" s="31" t="s">
        <v>834</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251" t="s">
        <v>242</v>
      </c>
      <c r="C11" s="22" t="s">
        <v>243</v>
      </c>
      <c r="D11" s="87" t="s">
        <v>243</v>
      </c>
      <c r="E11" s="22" t="s">
        <v>243</v>
      </c>
      <c r="F11" s="200" t="s">
        <v>244</v>
      </c>
      <c r="G11" s="22" t="s">
        <v>248</v>
      </c>
      <c r="H11" s="163"/>
    </row>
    <row r="12" customFormat="1" ht="27.75" spans="1:10">
      <c r="A12" s="22">
        <v>2</v>
      </c>
      <c r="B12" s="251" t="s">
        <v>242</v>
      </c>
      <c r="C12" s="22" t="s">
        <v>835</v>
      </c>
      <c r="D12" s="87" t="s">
        <v>654</v>
      </c>
      <c r="E12" s="22" t="s">
        <v>836</v>
      </c>
      <c r="F12" s="163" t="s">
        <v>837</v>
      </c>
      <c r="G12" s="22" t="s">
        <v>263</v>
      </c>
      <c r="H12" s="163" t="s">
        <v>656</v>
      </c>
      <c r="I12" t="s">
        <v>657</v>
      </c>
      <c r="J12" s="226" t="s">
        <v>243</v>
      </c>
    </row>
    <row r="13" customFormat="1" ht="86.25" spans="1:11">
      <c r="A13" s="22">
        <v>3</v>
      </c>
      <c r="B13" s="18" t="s">
        <v>242</v>
      </c>
      <c r="C13" s="22" t="s">
        <v>793</v>
      </c>
      <c r="D13" s="87" t="s">
        <v>794</v>
      </c>
      <c r="E13" s="22" t="s">
        <v>795</v>
      </c>
      <c r="F13" s="22" t="s">
        <v>838</v>
      </c>
      <c r="G13" s="22" t="s">
        <v>263</v>
      </c>
      <c r="H13" s="218" t="s">
        <v>797</v>
      </c>
      <c r="I13" s="164" t="s">
        <v>264</v>
      </c>
      <c r="J13" s="159" t="s">
        <v>265</v>
      </c>
      <c r="K13" s="164" t="s">
        <v>795</v>
      </c>
    </row>
    <row r="14" customFormat="1" ht="51.75" spans="1:11">
      <c r="A14" s="22">
        <v>4</v>
      </c>
      <c r="B14" s="251" t="s">
        <v>242</v>
      </c>
      <c r="C14" s="22" t="s">
        <v>668</v>
      </c>
      <c r="D14" s="87" t="s">
        <v>808</v>
      </c>
      <c r="E14" s="22" t="s">
        <v>669</v>
      </c>
      <c r="F14" s="22" t="s">
        <v>839</v>
      </c>
      <c r="G14" s="22" t="s">
        <v>263</v>
      </c>
      <c r="H14" s="218" t="s">
        <v>810</v>
      </c>
      <c r="I14" s="164" t="s">
        <v>264</v>
      </c>
      <c r="J14" s="159" t="s">
        <v>265</v>
      </c>
      <c r="K14" s="164" t="s">
        <v>811</v>
      </c>
    </row>
    <row r="15" customFormat="1" ht="27.75" spans="1:8">
      <c r="A15" s="22">
        <v>5</v>
      </c>
      <c r="B15" s="251" t="s">
        <v>242</v>
      </c>
      <c r="C15" s="22" t="s">
        <v>840</v>
      </c>
      <c r="D15" s="87" t="s">
        <v>840</v>
      </c>
      <c r="E15" s="22" t="s">
        <v>736</v>
      </c>
      <c r="F15" s="163" t="s">
        <v>841</v>
      </c>
      <c r="G15" s="22" t="s">
        <v>273</v>
      </c>
      <c r="H15" s="163"/>
    </row>
    <row r="16" customFormat="1" ht="27.75" spans="1:8">
      <c r="A16" s="22">
        <v>6</v>
      </c>
      <c r="B16" s="251" t="s">
        <v>242</v>
      </c>
      <c r="C16" s="22" t="s">
        <v>610</v>
      </c>
      <c r="D16" s="87" t="s">
        <v>610</v>
      </c>
      <c r="E16" s="22" t="s">
        <v>629</v>
      </c>
      <c r="F16" s="163" t="s">
        <v>842</v>
      </c>
      <c r="G16" s="22" t="s">
        <v>421</v>
      </c>
      <c r="H16"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zoomScale="85" zoomScaleNormal="85"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65" style="23" customWidth="1"/>
    <col min="7" max="7" width="16.1666666666667" style="23" customWidth="1"/>
    <col min="8" max="8" width="74.8333333333333" style="23" customWidth="1"/>
    <col min="9" max="9" width="14.2583333333333" style="23" customWidth="1"/>
    <col min="10" max="16384" width="10.8333333333333" style="23"/>
  </cols>
  <sheetData>
    <row r="1" customHeight="1" spans="1:8">
      <c r="A1" s="5" t="s">
        <v>223</v>
      </c>
      <c r="B1" s="2" t="s">
        <v>123</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843</v>
      </c>
      <c r="F4" s="221"/>
      <c r="G4" s="221"/>
      <c r="H4" s="222"/>
    </row>
    <row r="5" customFormat="1" ht="17.25" spans="1:8">
      <c r="A5" s="22">
        <v>2</v>
      </c>
      <c r="B5" s="218" t="s">
        <v>228</v>
      </c>
      <c r="C5" s="219"/>
      <c r="D5" s="220"/>
      <c r="E5" s="31" t="s">
        <v>844</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152" t="s">
        <v>237</v>
      </c>
      <c r="E10" s="152" t="s">
        <v>238</v>
      </c>
      <c r="F10" s="223" t="s">
        <v>239</v>
      </c>
      <c r="G10" s="152" t="s">
        <v>240</v>
      </c>
      <c r="H10" s="223" t="s">
        <v>241</v>
      </c>
    </row>
    <row r="11" customFormat="1" ht="27.75" spans="1:8">
      <c r="A11" s="22">
        <v>1</v>
      </c>
      <c r="B11" s="251" t="s">
        <v>242</v>
      </c>
      <c r="C11" s="22" t="s">
        <v>243</v>
      </c>
      <c r="D11" s="22" t="s">
        <v>243</v>
      </c>
      <c r="E11" s="22" t="s">
        <v>243</v>
      </c>
      <c r="F11" s="163" t="s">
        <v>845</v>
      </c>
      <c r="G11" s="22" t="s">
        <v>248</v>
      </c>
      <c r="H11" s="163"/>
    </row>
    <row r="12" customFormat="1" ht="27.75" spans="1:8">
      <c r="A12" s="22">
        <v>2</v>
      </c>
      <c r="B12" s="251" t="s">
        <v>242</v>
      </c>
      <c r="C12" s="22" t="s">
        <v>610</v>
      </c>
      <c r="D12" s="22" t="s">
        <v>610</v>
      </c>
      <c r="E12" s="22" t="s">
        <v>629</v>
      </c>
      <c r="F12" s="163"/>
      <c r="G12" s="22" t="s">
        <v>421</v>
      </c>
      <c r="H12" s="163"/>
    </row>
    <row r="13" customFormat="1" ht="27.75" spans="1:10">
      <c r="A13" s="22">
        <v>3</v>
      </c>
      <c r="B13" s="251" t="s">
        <v>242</v>
      </c>
      <c r="C13" s="22" t="s">
        <v>835</v>
      </c>
      <c r="D13" s="22" t="s">
        <v>654</v>
      </c>
      <c r="E13" s="22" t="s">
        <v>836</v>
      </c>
      <c r="F13" s="163" t="s">
        <v>837</v>
      </c>
      <c r="G13" s="22" t="s">
        <v>263</v>
      </c>
      <c r="H13" s="163" t="s">
        <v>656</v>
      </c>
      <c r="I13" t="s">
        <v>657</v>
      </c>
      <c r="J13" s="226" t="s">
        <v>243</v>
      </c>
    </row>
    <row r="14" customFormat="1" ht="86.25" spans="1:11">
      <c r="A14" s="22">
        <v>4</v>
      </c>
      <c r="B14" s="18" t="s">
        <v>242</v>
      </c>
      <c r="C14" s="22" t="s">
        <v>793</v>
      </c>
      <c r="D14" s="22" t="s">
        <v>794</v>
      </c>
      <c r="E14" s="22" t="s">
        <v>795</v>
      </c>
      <c r="F14" s="22" t="s">
        <v>838</v>
      </c>
      <c r="G14" s="22" t="s">
        <v>263</v>
      </c>
      <c r="H14" s="163" t="s">
        <v>797</v>
      </c>
      <c r="I14" s="164" t="s">
        <v>264</v>
      </c>
      <c r="J14" s="159" t="s">
        <v>265</v>
      </c>
      <c r="K14" s="164" t="s">
        <v>795</v>
      </c>
    </row>
    <row r="15" customFormat="1" ht="51.75" spans="1:11">
      <c r="A15" s="22">
        <v>5</v>
      </c>
      <c r="B15" s="251" t="s">
        <v>242</v>
      </c>
      <c r="C15" s="22" t="s">
        <v>668</v>
      </c>
      <c r="D15" s="22" t="s">
        <v>846</v>
      </c>
      <c r="E15" s="22" t="s">
        <v>669</v>
      </c>
      <c r="F15" s="22" t="s">
        <v>839</v>
      </c>
      <c r="G15" s="22" t="s">
        <v>263</v>
      </c>
      <c r="H15" s="163" t="s">
        <v>810</v>
      </c>
      <c r="I15" s="164" t="s">
        <v>264</v>
      </c>
      <c r="J15" s="159" t="s">
        <v>265</v>
      </c>
      <c r="K15" s="164" t="s">
        <v>811</v>
      </c>
    </row>
    <row r="16" customFormat="1" ht="27.75" spans="1:8">
      <c r="A16" s="22">
        <v>6</v>
      </c>
      <c r="B16" s="251" t="s">
        <v>242</v>
      </c>
      <c r="C16" s="22" t="s">
        <v>847</v>
      </c>
      <c r="D16" s="22" t="s">
        <v>847</v>
      </c>
      <c r="E16" s="22" t="s">
        <v>848</v>
      </c>
      <c r="F16" s="163"/>
      <c r="G16" s="22" t="s">
        <v>273</v>
      </c>
      <c r="H16" s="163"/>
    </row>
    <row r="17" customFormat="1" ht="27.75" spans="1:8">
      <c r="A17" s="22">
        <v>7</v>
      </c>
      <c r="B17" s="251" t="s">
        <v>242</v>
      </c>
      <c r="C17" s="22" t="s">
        <v>849</v>
      </c>
      <c r="D17" s="22" t="s">
        <v>849</v>
      </c>
      <c r="E17" s="22" t="s">
        <v>850</v>
      </c>
      <c r="F17" s="163"/>
      <c r="G17" s="22" t="s">
        <v>273</v>
      </c>
      <c r="H17" s="163"/>
    </row>
    <row r="18" customFormat="1" ht="27.75" spans="1:8">
      <c r="A18" s="22">
        <v>8</v>
      </c>
      <c r="B18" s="251" t="s">
        <v>242</v>
      </c>
      <c r="C18" s="22" t="s">
        <v>851</v>
      </c>
      <c r="D18" s="22" t="s">
        <v>851</v>
      </c>
      <c r="E18" s="22" t="s">
        <v>852</v>
      </c>
      <c r="F18" s="163"/>
      <c r="G18" s="22" t="s">
        <v>472</v>
      </c>
      <c r="H18" s="163"/>
    </row>
    <row r="19" customFormat="1" ht="27.75" spans="1:8">
      <c r="A19" s="22">
        <v>9</v>
      </c>
      <c r="B19" s="251" t="s">
        <v>242</v>
      </c>
      <c r="C19" s="22" t="s">
        <v>853</v>
      </c>
      <c r="D19" s="22" t="s">
        <v>853</v>
      </c>
      <c r="E19" s="22" t="s">
        <v>854</v>
      </c>
      <c r="F19" s="163"/>
      <c r="G19" s="22" t="s">
        <v>472</v>
      </c>
      <c r="H19"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zoomScale="85" zoomScaleNormal="85" topLeftCell="A22" workbookViewId="0">
      <selection activeCell="K31" sqref="K3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5.875" style="23" customWidth="1"/>
    <col min="7" max="7" width="16.5" style="23" customWidth="1"/>
    <col min="8" max="8" width="77.6666666666667" style="23" customWidth="1"/>
    <col min="9" max="9" width="31.6666666666667" style="23" customWidth="1"/>
    <col min="10" max="10" width="10.8333333333333" style="23"/>
    <col min="11" max="11" width="20.3333333333333" style="23" customWidth="1"/>
    <col min="12" max="16384" width="10.8333333333333" style="23"/>
  </cols>
  <sheetData>
    <row r="1" customHeight="1" spans="1:8">
      <c r="A1" s="5" t="s">
        <v>223</v>
      </c>
      <c r="B1" s="2" t="s">
        <v>855</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856</v>
      </c>
      <c r="F4" s="221"/>
      <c r="G4" s="221"/>
      <c r="H4" s="222"/>
    </row>
    <row r="5" customFormat="1" ht="17.25" spans="1:8">
      <c r="A5" s="22">
        <v>2</v>
      </c>
      <c r="B5" s="218" t="s">
        <v>228</v>
      </c>
      <c r="C5" s="219"/>
      <c r="D5" s="220"/>
      <c r="E5" s="31" t="s">
        <v>857</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152"/>
      <c r="E10" s="152" t="s">
        <v>238</v>
      </c>
      <c r="F10" s="223" t="s">
        <v>239</v>
      </c>
      <c r="G10" s="152" t="s">
        <v>240</v>
      </c>
      <c r="H10" s="223" t="s">
        <v>241</v>
      </c>
    </row>
    <row r="11" customFormat="1" ht="27.75" spans="1:8">
      <c r="A11" s="22">
        <v>1</v>
      </c>
      <c r="B11" s="251" t="s">
        <v>242</v>
      </c>
      <c r="C11" s="22" t="s">
        <v>243</v>
      </c>
      <c r="D11" s="87" t="s">
        <v>243</v>
      </c>
      <c r="E11" s="22" t="s">
        <v>243</v>
      </c>
      <c r="F11" s="163" t="s">
        <v>845</v>
      </c>
      <c r="G11" s="22" t="s">
        <v>248</v>
      </c>
      <c r="H11" s="163"/>
    </row>
    <row r="12" customFormat="1" ht="27.75" spans="1:8">
      <c r="A12" s="22">
        <v>2</v>
      </c>
      <c r="B12" s="251" t="s">
        <v>242</v>
      </c>
      <c r="C12" s="22" t="s">
        <v>610</v>
      </c>
      <c r="D12" s="87" t="s">
        <v>610</v>
      </c>
      <c r="E12" s="22" t="s">
        <v>629</v>
      </c>
      <c r="F12" s="163"/>
      <c r="G12" s="22" t="s">
        <v>421</v>
      </c>
      <c r="H12" s="163"/>
    </row>
    <row r="13" customFormat="1" ht="86.25" spans="1:11">
      <c r="A13" s="22">
        <v>3</v>
      </c>
      <c r="B13" s="251" t="s">
        <v>242</v>
      </c>
      <c r="C13" s="22" t="s">
        <v>793</v>
      </c>
      <c r="D13" s="87" t="s">
        <v>794</v>
      </c>
      <c r="E13" s="22" t="s">
        <v>795</v>
      </c>
      <c r="F13" s="22" t="s">
        <v>838</v>
      </c>
      <c r="G13" s="22" t="s">
        <v>263</v>
      </c>
      <c r="H13" s="163" t="s">
        <v>797</v>
      </c>
      <c r="I13" s="159" t="s">
        <v>264</v>
      </c>
      <c r="J13" s="159" t="s">
        <v>265</v>
      </c>
      <c r="K13" s="159" t="s">
        <v>795</v>
      </c>
    </row>
    <row r="14" customFormat="1" ht="27.75" spans="1:11">
      <c r="A14" s="22">
        <v>4</v>
      </c>
      <c r="B14" s="251" t="s">
        <v>242</v>
      </c>
      <c r="C14" s="22" t="s">
        <v>717</v>
      </c>
      <c r="D14" s="87" t="s">
        <v>717</v>
      </c>
      <c r="E14" s="22" t="s">
        <v>718</v>
      </c>
      <c r="F14" s="163"/>
      <c r="G14" s="22" t="s">
        <v>248</v>
      </c>
      <c r="H14" s="163"/>
      <c r="I14" s="159"/>
      <c r="J14" s="159"/>
      <c r="K14" s="159"/>
    </row>
    <row r="15" customFormat="1" ht="27.75" spans="1:11">
      <c r="A15" s="22">
        <v>5</v>
      </c>
      <c r="B15" s="251" t="s">
        <v>242</v>
      </c>
      <c r="C15" s="22" t="s">
        <v>719</v>
      </c>
      <c r="D15" s="87" t="s">
        <v>719</v>
      </c>
      <c r="E15" s="22" t="s">
        <v>720</v>
      </c>
      <c r="F15" s="163"/>
      <c r="G15" s="22" t="s">
        <v>721</v>
      </c>
      <c r="H15" s="163"/>
      <c r="I15" s="159"/>
      <c r="J15" s="159"/>
      <c r="K15" s="159"/>
    </row>
    <row r="16" customFormat="1" ht="27.75" spans="1:11">
      <c r="A16" s="22">
        <v>6</v>
      </c>
      <c r="B16" s="251"/>
      <c r="C16" s="22" t="s">
        <v>722</v>
      </c>
      <c r="D16" s="87" t="s">
        <v>722</v>
      </c>
      <c r="E16" s="22" t="s">
        <v>723</v>
      </c>
      <c r="F16" s="163"/>
      <c r="G16" s="22" t="s">
        <v>282</v>
      </c>
      <c r="H16" s="163"/>
      <c r="I16" s="159"/>
      <c r="J16" s="159"/>
      <c r="K16" s="159"/>
    </row>
    <row r="17" customFormat="1" ht="69" spans="1:11">
      <c r="A17" s="22">
        <v>7</v>
      </c>
      <c r="B17" s="18" t="s">
        <v>242</v>
      </c>
      <c r="C17" s="22" t="s">
        <v>799</v>
      </c>
      <c r="D17" s="87" t="s">
        <v>800</v>
      </c>
      <c r="E17" s="22" t="s">
        <v>801</v>
      </c>
      <c r="F17" s="22" t="s">
        <v>858</v>
      </c>
      <c r="G17" s="22" t="s">
        <v>263</v>
      </c>
      <c r="H17" s="163" t="s">
        <v>803</v>
      </c>
      <c r="I17" s="159" t="s">
        <v>264</v>
      </c>
      <c r="J17" s="159" t="s">
        <v>265</v>
      </c>
      <c r="K17" s="159" t="s">
        <v>801</v>
      </c>
    </row>
    <row r="18" customFormat="1" ht="27.75" spans="1:11">
      <c r="A18" s="22">
        <v>8</v>
      </c>
      <c r="B18" s="18" t="s">
        <v>242</v>
      </c>
      <c r="C18" s="22" t="s">
        <v>724</v>
      </c>
      <c r="D18" s="87" t="s">
        <v>724</v>
      </c>
      <c r="E18" s="22" t="s">
        <v>365</v>
      </c>
      <c r="F18" s="163"/>
      <c r="G18" s="22" t="s">
        <v>248</v>
      </c>
      <c r="H18" s="163"/>
      <c r="I18" s="159"/>
      <c r="J18" s="159"/>
      <c r="K18" s="159"/>
    </row>
    <row r="19" customFormat="1" ht="34.5" spans="1:11">
      <c r="A19" s="22">
        <v>9</v>
      </c>
      <c r="B19" s="18" t="s">
        <v>242</v>
      </c>
      <c r="C19" s="22" t="s">
        <v>725</v>
      </c>
      <c r="D19" s="87" t="s">
        <v>726</v>
      </c>
      <c r="E19" s="22" t="s">
        <v>727</v>
      </c>
      <c r="F19" s="22" t="s">
        <v>859</v>
      </c>
      <c r="G19" s="22" t="s">
        <v>263</v>
      </c>
      <c r="H19" s="163" t="s">
        <v>728</v>
      </c>
      <c r="I19" s="159" t="s">
        <v>264</v>
      </c>
      <c r="J19" s="159" t="s">
        <v>265</v>
      </c>
      <c r="K19" s="159" t="s">
        <v>727</v>
      </c>
    </row>
    <row r="20" customFormat="1" ht="27.75" spans="1:11">
      <c r="A20" s="22">
        <v>10</v>
      </c>
      <c r="B20" s="18" t="s">
        <v>242</v>
      </c>
      <c r="C20" s="22" t="s">
        <v>729</v>
      </c>
      <c r="D20" s="87" t="s">
        <v>730</v>
      </c>
      <c r="E20" s="22" t="s">
        <v>731</v>
      </c>
      <c r="F20" s="163"/>
      <c r="G20" s="22" t="s">
        <v>263</v>
      </c>
      <c r="H20" s="163" t="s">
        <v>732</v>
      </c>
      <c r="I20" s="159" t="s">
        <v>264</v>
      </c>
      <c r="J20" s="159" t="s">
        <v>265</v>
      </c>
      <c r="K20" s="159" t="s">
        <v>731</v>
      </c>
    </row>
    <row r="21" customFormat="1" ht="17.25" spans="1:11">
      <c r="A21" s="22">
        <v>11</v>
      </c>
      <c r="B21" s="163"/>
      <c r="C21" s="22" t="s">
        <v>804</v>
      </c>
      <c r="D21" s="87" t="s">
        <v>805</v>
      </c>
      <c r="E21" s="22" t="s">
        <v>806</v>
      </c>
      <c r="F21" s="163" t="s">
        <v>860</v>
      </c>
      <c r="G21" s="22" t="s">
        <v>263</v>
      </c>
      <c r="H21" s="163" t="s">
        <v>656</v>
      </c>
      <c r="I21" s="159" t="s">
        <v>657</v>
      </c>
      <c r="J21" s="159" t="s">
        <v>243</v>
      </c>
      <c r="K21" s="159"/>
    </row>
    <row r="22" customFormat="1" ht="51.75" spans="1:11">
      <c r="A22" s="22">
        <v>12</v>
      </c>
      <c r="B22" s="18" t="s">
        <v>242</v>
      </c>
      <c r="C22" s="22" t="s">
        <v>668</v>
      </c>
      <c r="D22" s="87" t="s">
        <v>808</v>
      </c>
      <c r="E22" s="22" t="s">
        <v>669</v>
      </c>
      <c r="F22" s="22" t="s">
        <v>839</v>
      </c>
      <c r="G22" s="22" t="s">
        <v>263</v>
      </c>
      <c r="H22" s="163" t="s">
        <v>810</v>
      </c>
      <c r="I22" s="159" t="s">
        <v>264</v>
      </c>
      <c r="J22" s="159" t="s">
        <v>265</v>
      </c>
      <c r="K22" s="159" t="s">
        <v>811</v>
      </c>
    </row>
    <row r="23" customFormat="1" ht="27.75" spans="1:11">
      <c r="A23" s="22">
        <v>13</v>
      </c>
      <c r="B23" s="18" t="s">
        <v>242</v>
      </c>
      <c r="C23" s="22" t="s">
        <v>812</v>
      </c>
      <c r="D23" s="87" t="s">
        <v>812</v>
      </c>
      <c r="E23" s="22" t="s">
        <v>736</v>
      </c>
      <c r="F23" s="163"/>
      <c r="G23" s="22" t="s">
        <v>273</v>
      </c>
      <c r="H23" s="163"/>
      <c r="I23" s="159"/>
      <c r="J23" s="159"/>
      <c r="K23" s="159"/>
    </row>
    <row r="24" customFormat="1" ht="27.75" spans="1:11">
      <c r="A24" s="22">
        <v>14</v>
      </c>
      <c r="B24" s="18" t="s">
        <v>242</v>
      </c>
      <c r="C24" s="22" t="s">
        <v>814</v>
      </c>
      <c r="D24" s="87" t="s">
        <v>815</v>
      </c>
      <c r="E24" s="22" t="s">
        <v>816</v>
      </c>
      <c r="F24" s="163" t="s">
        <v>641</v>
      </c>
      <c r="G24" s="22" t="s">
        <v>263</v>
      </c>
      <c r="H24" s="163" t="s">
        <v>642</v>
      </c>
      <c r="I24" s="159" t="s">
        <v>711</v>
      </c>
      <c r="J24" s="159" t="s">
        <v>243</v>
      </c>
      <c r="K24" s="159"/>
    </row>
    <row r="25" customFormat="1" ht="27.75" spans="1:11">
      <c r="A25" s="22">
        <v>15</v>
      </c>
      <c r="B25" s="18" t="s">
        <v>242</v>
      </c>
      <c r="C25" s="22" t="s">
        <v>709</v>
      </c>
      <c r="D25" s="87" t="s">
        <v>774</v>
      </c>
      <c r="E25" s="22" t="s">
        <v>640</v>
      </c>
      <c r="F25" s="163" t="s">
        <v>641</v>
      </c>
      <c r="G25" s="22" t="s">
        <v>263</v>
      </c>
      <c r="H25" s="163" t="s">
        <v>642</v>
      </c>
      <c r="I25" s="159" t="s">
        <v>711</v>
      </c>
      <c r="J25" s="159" t="s">
        <v>243</v>
      </c>
      <c r="K25" s="159"/>
    </row>
    <row r="26" customFormat="1" ht="27.75" spans="1:11">
      <c r="A26" s="22">
        <v>16</v>
      </c>
      <c r="B26" s="18" t="s">
        <v>242</v>
      </c>
      <c r="C26" s="22" t="s">
        <v>817</v>
      </c>
      <c r="D26" s="87" t="s">
        <v>776</v>
      </c>
      <c r="E26" s="22" t="s">
        <v>818</v>
      </c>
      <c r="F26" s="163" t="s">
        <v>777</v>
      </c>
      <c r="G26" s="22" t="s">
        <v>263</v>
      </c>
      <c r="H26" s="163" t="s">
        <v>778</v>
      </c>
      <c r="I26" s="159" t="s">
        <v>604</v>
      </c>
      <c r="J26" s="159" t="s">
        <v>243</v>
      </c>
      <c r="K26" s="159"/>
    </row>
    <row r="27" customFormat="1" ht="27.75" spans="1:11">
      <c r="A27" s="22">
        <v>17</v>
      </c>
      <c r="B27" s="18" t="s">
        <v>242</v>
      </c>
      <c r="C27" s="22" t="s">
        <v>779</v>
      </c>
      <c r="D27" s="87" t="s">
        <v>600</v>
      </c>
      <c r="E27" s="22" t="s">
        <v>256</v>
      </c>
      <c r="F27" s="163"/>
      <c r="G27" s="22" t="s">
        <v>263</v>
      </c>
      <c r="H27" s="163"/>
      <c r="I27" s="159" t="s">
        <v>258</v>
      </c>
      <c r="J27" s="159" t="s">
        <v>243</v>
      </c>
      <c r="K27" s="159"/>
    </row>
    <row r="28" customFormat="1" ht="27.75" spans="1:11">
      <c r="A28" s="22">
        <v>18</v>
      </c>
      <c r="B28" s="18" t="s">
        <v>242</v>
      </c>
      <c r="C28" s="22" t="s">
        <v>780</v>
      </c>
      <c r="D28" s="87" t="s">
        <v>780</v>
      </c>
      <c r="E28" s="22" t="s">
        <v>820</v>
      </c>
      <c r="F28" s="163" t="s">
        <v>821</v>
      </c>
      <c r="G28" s="22" t="s">
        <v>359</v>
      </c>
      <c r="H28" s="163"/>
      <c r="I28" s="159"/>
      <c r="J28" s="159"/>
      <c r="K28" s="159"/>
    </row>
    <row r="29" customFormat="1" ht="17.25" spans="1:11">
      <c r="A29" s="22">
        <v>19</v>
      </c>
      <c r="B29" s="163"/>
      <c r="C29" s="22" t="s">
        <v>783</v>
      </c>
      <c r="D29" s="87" t="s">
        <v>783</v>
      </c>
      <c r="E29" s="22" t="s">
        <v>822</v>
      </c>
      <c r="F29" s="163"/>
      <c r="G29" s="22" t="s">
        <v>282</v>
      </c>
      <c r="H29" s="163"/>
      <c r="I29" s="159"/>
      <c r="J29" s="159"/>
      <c r="K29" s="159"/>
    </row>
    <row r="30" customFormat="1" ht="69" spans="1:11">
      <c r="A30" s="22">
        <v>20</v>
      </c>
      <c r="B30" s="18" t="s">
        <v>242</v>
      </c>
      <c r="C30" s="22" t="s">
        <v>861</v>
      </c>
      <c r="D30" s="87" t="s">
        <v>861</v>
      </c>
      <c r="E30" s="22" t="s">
        <v>661</v>
      </c>
      <c r="F30" s="22" t="s">
        <v>862</v>
      </c>
      <c r="G30" s="22" t="s">
        <v>263</v>
      </c>
      <c r="H30" s="163" t="s">
        <v>863</v>
      </c>
      <c r="I30" s="159" t="s">
        <v>264</v>
      </c>
      <c r="J30" s="159" t="s">
        <v>265</v>
      </c>
      <c r="K30" s="159" t="s">
        <v>661</v>
      </c>
    </row>
    <row r="31" customFormat="1" ht="138" spans="1:11">
      <c r="A31" s="22">
        <v>21</v>
      </c>
      <c r="B31" s="18" t="s">
        <v>242</v>
      </c>
      <c r="C31" s="22" t="s">
        <v>634</v>
      </c>
      <c r="D31" s="87" t="s">
        <v>634</v>
      </c>
      <c r="E31" s="22" t="s">
        <v>635</v>
      </c>
      <c r="F31" s="22" t="s">
        <v>636</v>
      </c>
      <c r="G31" s="22" t="s">
        <v>263</v>
      </c>
      <c r="H31" s="163" t="s">
        <v>637</v>
      </c>
      <c r="I31" s="159" t="s">
        <v>264</v>
      </c>
      <c r="J31" s="159" t="s">
        <v>265</v>
      </c>
      <c r="K31" s="159" t="s">
        <v>635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A3" workbookViewId="0">
      <selection activeCell="K18" sqref="K18"/>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3.25" style="23" customWidth="1"/>
    <col min="7" max="7" width="16.5" style="23" customWidth="1"/>
    <col min="8" max="8" width="27.375" style="23" customWidth="1"/>
    <col min="9" max="9" width="14.1666666666667" style="23" customWidth="1"/>
    <col min="10" max="10" width="10.8333333333333" style="23"/>
    <col min="11" max="11" width="23.1666666666667" style="23" customWidth="1"/>
    <col min="12" max="16384" width="10.8333333333333" style="23"/>
  </cols>
  <sheetData>
    <row r="1" customHeight="1" spans="1:8">
      <c r="A1" s="5" t="s">
        <v>223</v>
      </c>
      <c r="B1" s="2" t="s">
        <v>125</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864</v>
      </c>
      <c r="F4" s="221"/>
      <c r="G4" s="221"/>
      <c r="H4" s="222"/>
    </row>
    <row r="5" customFormat="1" ht="17.25" spans="1:8">
      <c r="A5" s="22">
        <v>2</v>
      </c>
      <c r="B5" s="218" t="s">
        <v>228</v>
      </c>
      <c r="C5" s="219"/>
      <c r="D5" s="220"/>
      <c r="E5" s="31" t="s">
        <v>865</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17.25" spans="1:8">
      <c r="A11" s="22">
        <f>ROW(A11)-10</f>
        <v>1</v>
      </c>
      <c r="B11" s="163"/>
      <c r="C11" s="22" t="s">
        <v>243</v>
      </c>
      <c r="D11" s="87" t="s">
        <v>243</v>
      </c>
      <c r="E11" s="22" t="s">
        <v>243</v>
      </c>
      <c r="F11" s="163"/>
      <c r="G11" s="22" t="s">
        <v>866</v>
      </c>
      <c r="H11" s="163"/>
    </row>
    <row r="12" customFormat="1" ht="17.25" spans="1:10">
      <c r="A12" s="22">
        <f t="shared" ref="A12:A24" si="0">ROW(A12)-10</f>
        <v>2</v>
      </c>
      <c r="B12" s="163"/>
      <c r="C12" s="22" t="s">
        <v>246</v>
      </c>
      <c r="D12" s="87" t="s">
        <v>246</v>
      </c>
      <c r="E12" s="22" t="s">
        <v>247</v>
      </c>
      <c r="F12" s="163"/>
      <c r="G12" s="22" t="s">
        <v>867</v>
      </c>
      <c r="H12" s="163"/>
      <c r="I12" t="s">
        <v>249</v>
      </c>
      <c r="J12" t="s">
        <v>247</v>
      </c>
    </row>
    <row r="13" customFormat="1" ht="17.25" spans="1:8">
      <c r="A13" s="22">
        <f t="shared" si="0"/>
        <v>3</v>
      </c>
      <c r="B13" s="163"/>
      <c r="C13" s="22" t="s">
        <v>724</v>
      </c>
      <c r="D13" s="87" t="s">
        <v>724</v>
      </c>
      <c r="E13" s="22" t="s">
        <v>365</v>
      </c>
      <c r="F13" s="163"/>
      <c r="G13" s="22" t="s">
        <v>867</v>
      </c>
      <c r="H13" s="163"/>
    </row>
    <row r="14" customFormat="1" ht="17.25" spans="1:8">
      <c r="A14" s="22">
        <f t="shared" si="0"/>
        <v>4</v>
      </c>
      <c r="B14" s="163"/>
      <c r="C14" s="22" t="s">
        <v>868</v>
      </c>
      <c r="D14" s="87" t="s">
        <v>868</v>
      </c>
      <c r="E14" s="22" t="s">
        <v>629</v>
      </c>
      <c r="F14" s="163"/>
      <c r="G14" s="22" t="s">
        <v>869</v>
      </c>
      <c r="H14" s="163"/>
    </row>
    <row r="15" customFormat="1" ht="86.25" spans="1:11">
      <c r="A15" s="22">
        <f t="shared" si="0"/>
        <v>5</v>
      </c>
      <c r="B15" s="163"/>
      <c r="C15" s="22" t="s">
        <v>870</v>
      </c>
      <c r="D15" s="87" t="s">
        <v>871</v>
      </c>
      <c r="E15" s="22" t="s">
        <v>872</v>
      </c>
      <c r="F15" s="22" t="s">
        <v>873</v>
      </c>
      <c r="G15" s="22" t="s">
        <v>874</v>
      </c>
      <c r="H15" s="218" t="s">
        <v>875</v>
      </c>
      <c r="I15" s="159" t="s">
        <v>264</v>
      </c>
      <c r="J15" s="159" t="s">
        <v>265</v>
      </c>
      <c r="K15" s="159" t="s">
        <v>872</v>
      </c>
    </row>
    <row r="16" customFormat="1" ht="17.25" spans="1:11">
      <c r="A16" s="22">
        <f t="shared" si="0"/>
        <v>6</v>
      </c>
      <c r="B16" s="163"/>
      <c r="C16" s="22" t="s">
        <v>876</v>
      </c>
      <c r="D16" s="87" t="s">
        <v>877</v>
      </c>
      <c r="E16" s="22" t="s">
        <v>370</v>
      </c>
      <c r="F16" s="163" t="s">
        <v>877</v>
      </c>
      <c r="G16" s="22" t="s">
        <v>867</v>
      </c>
      <c r="H16" s="218"/>
      <c r="I16" s="159"/>
      <c r="J16" s="159"/>
      <c r="K16" s="159"/>
    </row>
    <row r="17" customFormat="1" ht="17.25" spans="1:11">
      <c r="A17" s="22">
        <f t="shared" si="0"/>
        <v>7</v>
      </c>
      <c r="B17" s="163"/>
      <c r="C17" s="22" t="s">
        <v>878</v>
      </c>
      <c r="D17" s="87" t="s">
        <v>879</v>
      </c>
      <c r="E17" s="22" t="s">
        <v>555</v>
      </c>
      <c r="F17" s="163" t="s">
        <v>879</v>
      </c>
      <c r="G17" s="22" t="s">
        <v>880</v>
      </c>
      <c r="H17" s="218"/>
      <c r="I17" s="159"/>
      <c r="J17" s="159"/>
      <c r="K17" s="159"/>
    </row>
    <row r="18" customFormat="1" ht="84" customHeight="1" spans="1:11">
      <c r="A18" s="22">
        <f t="shared" si="0"/>
        <v>8</v>
      </c>
      <c r="B18" s="163"/>
      <c r="C18" s="22" t="s">
        <v>881</v>
      </c>
      <c r="D18" s="87" t="s">
        <v>882</v>
      </c>
      <c r="E18" s="22" t="s">
        <v>883</v>
      </c>
      <c r="F18" s="22" t="s">
        <v>884</v>
      </c>
      <c r="G18" s="22" t="s">
        <v>874</v>
      </c>
      <c r="H18" s="31" t="s">
        <v>885</v>
      </c>
      <c r="I18" s="159" t="s">
        <v>264</v>
      </c>
      <c r="J18" s="159" t="s">
        <v>265</v>
      </c>
      <c r="K18" s="159" t="s">
        <v>883</v>
      </c>
    </row>
    <row r="19" customFormat="1" ht="17.25" spans="1:10">
      <c r="A19" s="22">
        <f t="shared" si="0"/>
        <v>9</v>
      </c>
      <c r="B19" s="163"/>
      <c r="C19" s="22" t="s">
        <v>886</v>
      </c>
      <c r="D19" s="87" t="s">
        <v>886</v>
      </c>
      <c r="E19" s="22" t="s">
        <v>887</v>
      </c>
      <c r="F19" s="163" t="s">
        <v>888</v>
      </c>
      <c r="G19" s="22" t="s">
        <v>874</v>
      </c>
      <c r="H19" s="163" t="s">
        <v>889</v>
      </c>
      <c r="I19" t="s">
        <v>657</v>
      </c>
      <c r="J19" s="226" t="s">
        <v>243</v>
      </c>
    </row>
    <row r="20" customFormat="1" ht="17.25" spans="1:8">
      <c r="A20" s="22">
        <f t="shared" si="0"/>
        <v>10</v>
      </c>
      <c r="B20" s="163"/>
      <c r="C20" s="22" t="s">
        <v>890</v>
      </c>
      <c r="D20" s="87" t="s">
        <v>890</v>
      </c>
      <c r="E20" s="22" t="s">
        <v>891</v>
      </c>
      <c r="F20" s="163"/>
      <c r="G20" s="22" t="s">
        <v>892</v>
      </c>
      <c r="H20" s="163"/>
    </row>
    <row r="21" customFormat="1" ht="17.25" spans="1:8">
      <c r="A21" s="22">
        <f t="shared" si="0"/>
        <v>11</v>
      </c>
      <c r="B21" s="163"/>
      <c r="C21" s="22" t="s">
        <v>893</v>
      </c>
      <c r="D21" s="87" t="s">
        <v>893</v>
      </c>
      <c r="E21" s="22" t="s">
        <v>894</v>
      </c>
      <c r="F21" s="163" t="s">
        <v>895</v>
      </c>
      <c r="G21" s="22" t="s">
        <v>359</v>
      </c>
      <c r="H21" s="163"/>
    </row>
    <row r="22" customFormat="1" ht="17.25" spans="1:8">
      <c r="A22" s="22">
        <f t="shared" si="0"/>
        <v>12</v>
      </c>
      <c r="B22" s="163"/>
      <c r="C22" s="22" t="s">
        <v>896</v>
      </c>
      <c r="D22" s="87" t="s">
        <v>896</v>
      </c>
      <c r="E22" s="22" t="s">
        <v>296</v>
      </c>
      <c r="F22" s="163"/>
      <c r="G22" s="22" t="s">
        <v>273</v>
      </c>
      <c r="H22" s="163"/>
    </row>
    <row r="23" customFormat="1" ht="34.5" spans="1:8">
      <c r="A23" s="22">
        <f t="shared" si="0"/>
        <v>13</v>
      </c>
      <c r="B23" s="163"/>
      <c r="C23" s="22" t="s">
        <v>897</v>
      </c>
      <c r="D23" s="87" t="s">
        <v>897</v>
      </c>
      <c r="E23" s="22" t="s">
        <v>898</v>
      </c>
      <c r="F23" s="163"/>
      <c r="G23" s="22" t="s">
        <v>273</v>
      </c>
      <c r="H23" s="163"/>
    </row>
    <row r="24" customFormat="1" ht="34.5" spans="1:8">
      <c r="A24" s="22">
        <f t="shared" si="0"/>
        <v>14</v>
      </c>
      <c r="B24" s="163"/>
      <c r="C24" s="22" t="s">
        <v>899</v>
      </c>
      <c r="D24" s="87" t="s">
        <v>899</v>
      </c>
      <c r="E24" s="22" t="s">
        <v>900</v>
      </c>
      <c r="F24" s="163"/>
      <c r="G24" s="22" t="s">
        <v>901</v>
      </c>
      <c r="H24"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24"/>
  <sheetViews>
    <sheetView zoomScale="85" zoomScaleNormal="85" topLeftCell="A13" workbookViewId="0">
      <selection activeCell="F21" sqref="F2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1.1666666666667" style="24" customWidth="1"/>
    <col min="6" max="6" width="53.3333333333333" style="23" customWidth="1"/>
    <col min="7" max="7" width="16.5" style="23" customWidth="1"/>
    <col min="8" max="8" width="42.1666666666667" style="23" customWidth="1"/>
    <col min="9" max="9" width="20.4416666666667" style="23" customWidth="1"/>
    <col min="10" max="10" width="10.8333333333333" style="23"/>
    <col min="11" max="11" width="22.2" style="23" customWidth="1"/>
    <col min="12" max="16384" width="10.8333333333333" style="23"/>
  </cols>
  <sheetData>
    <row r="1" customHeight="1" spans="1:8">
      <c r="A1" s="5" t="s">
        <v>223</v>
      </c>
      <c r="B1" s="2" t="s">
        <v>902</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903</v>
      </c>
      <c r="F4" s="221"/>
      <c r="G4" s="221"/>
      <c r="H4" s="222"/>
    </row>
    <row r="5" customFormat="1" ht="17.25" spans="1:8">
      <c r="A5" s="22">
        <v>2</v>
      </c>
      <c r="B5" s="218" t="s">
        <v>228</v>
      </c>
      <c r="C5" s="219"/>
      <c r="D5" s="220"/>
      <c r="E5" s="31" t="s">
        <v>904</v>
      </c>
      <c r="F5" s="221"/>
      <c r="G5" s="221"/>
      <c r="H5" s="222"/>
    </row>
    <row r="6" customFormat="1" ht="17.25" spans="1:8">
      <c r="A6" s="22">
        <v>3</v>
      </c>
      <c r="B6" s="218" t="s">
        <v>229</v>
      </c>
      <c r="C6" s="219"/>
      <c r="D6" s="220"/>
      <c r="E6" s="31" t="s">
        <v>905</v>
      </c>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845</v>
      </c>
      <c r="G11" s="22" t="s">
        <v>866</v>
      </c>
      <c r="H11" s="163"/>
    </row>
    <row r="12" customFormat="1" ht="27.75" spans="1:8">
      <c r="A12" s="22">
        <v>2</v>
      </c>
      <c r="B12" s="18" t="s">
        <v>242</v>
      </c>
      <c r="C12" s="22" t="s">
        <v>906</v>
      </c>
      <c r="D12" s="87" t="s">
        <v>907</v>
      </c>
      <c r="E12" s="22" t="s">
        <v>908</v>
      </c>
      <c r="F12" s="163" t="s">
        <v>909</v>
      </c>
      <c r="G12" s="22" t="s">
        <v>867</v>
      </c>
      <c r="H12" s="163"/>
    </row>
    <row r="13" customFormat="1" ht="94.5" spans="1:11">
      <c r="A13" s="22">
        <v>3</v>
      </c>
      <c r="B13" s="245" t="s">
        <v>242</v>
      </c>
      <c r="C13" s="227" t="s">
        <v>910</v>
      </c>
      <c r="D13" s="227" t="s">
        <v>911</v>
      </c>
      <c r="E13" s="227" t="s">
        <v>912</v>
      </c>
      <c r="F13" s="228" t="s">
        <v>913</v>
      </c>
      <c r="G13" s="227" t="s">
        <v>867</v>
      </c>
      <c r="H13" s="228"/>
      <c r="I13" s="243" t="s">
        <v>914</v>
      </c>
      <c r="J13" s="229" t="s">
        <v>915</v>
      </c>
      <c r="K13" t="s">
        <v>365</v>
      </c>
    </row>
    <row r="14" customFormat="1" ht="86.25" spans="1:10">
      <c r="A14" s="22">
        <v>4</v>
      </c>
      <c r="B14" s="18" t="s">
        <v>242</v>
      </c>
      <c r="C14" s="22" t="s">
        <v>916</v>
      </c>
      <c r="D14" s="87" t="s">
        <v>917</v>
      </c>
      <c r="E14" s="22" t="s">
        <v>918</v>
      </c>
      <c r="F14" s="22" t="s">
        <v>919</v>
      </c>
      <c r="G14" s="22" t="s">
        <v>874</v>
      </c>
      <c r="H14" s="163" t="s">
        <v>920</v>
      </c>
      <c r="I14" t="s">
        <v>921</v>
      </c>
      <c r="J14" s="166" t="s">
        <v>243</v>
      </c>
    </row>
    <row r="15" customFormat="1" ht="27.75" spans="1:8">
      <c r="A15" s="22">
        <v>5</v>
      </c>
      <c r="B15" s="18" t="s">
        <v>242</v>
      </c>
      <c r="C15" s="22" t="s">
        <v>922</v>
      </c>
      <c r="D15" s="87" t="s">
        <v>922</v>
      </c>
      <c r="E15" s="22" t="s">
        <v>527</v>
      </c>
      <c r="F15" s="163" t="s">
        <v>923</v>
      </c>
      <c r="G15" s="22" t="s">
        <v>867</v>
      </c>
      <c r="H15" s="163"/>
    </row>
    <row r="16" customFormat="1" ht="27.75" spans="1:8">
      <c r="A16" s="22">
        <v>6</v>
      </c>
      <c r="B16" s="18"/>
      <c r="C16" s="22" t="s">
        <v>924</v>
      </c>
      <c r="D16" s="87" t="s">
        <v>924</v>
      </c>
      <c r="E16" s="22" t="s">
        <v>925</v>
      </c>
      <c r="F16" s="163"/>
      <c r="G16" s="22" t="s">
        <v>880</v>
      </c>
      <c r="H16" s="163"/>
    </row>
    <row r="17" customFormat="1" ht="27.75" spans="1:8">
      <c r="A17" s="22">
        <v>7</v>
      </c>
      <c r="B17" s="18" t="s">
        <v>242</v>
      </c>
      <c r="C17" s="22" t="s">
        <v>926</v>
      </c>
      <c r="D17" s="87" t="s">
        <v>926</v>
      </c>
      <c r="E17" s="22" t="s">
        <v>927</v>
      </c>
      <c r="F17" s="163" t="s">
        <v>928</v>
      </c>
      <c r="G17" s="87" t="s">
        <v>929</v>
      </c>
      <c r="H17" s="163"/>
    </row>
    <row r="18" customFormat="1" ht="27.75" spans="1:8">
      <c r="A18" s="22">
        <v>8</v>
      </c>
      <c r="B18" s="18" t="s">
        <v>242</v>
      </c>
      <c r="C18" s="22" t="s">
        <v>557</v>
      </c>
      <c r="D18" s="87" t="s">
        <v>557</v>
      </c>
      <c r="E18" s="22" t="s">
        <v>416</v>
      </c>
      <c r="F18" s="163" t="s">
        <v>930</v>
      </c>
      <c r="G18" s="87" t="s">
        <v>359</v>
      </c>
      <c r="H18" s="163"/>
    </row>
    <row r="19" customHeight="1" spans="1:8">
      <c r="A19" s="22">
        <v>9</v>
      </c>
      <c r="B19" s="18" t="s">
        <v>242</v>
      </c>
      <c r="C19" s="10" t="s">
        <v>931</v>
      </c>
      <c r="D19" s="186" t="s">
        <v>931</v>
      </c>
      <c r="E19" s="25" t="s">
        <v>932</v>
      </c>
      <c r="F19" s="10" t="s">
        <v>933</v>
      </c>
      <c r="G19" s="10" t="s">
        <v>866</v>
      </c>
      <c r="H19" s="10"/>
    </row>
    <row r="20" customHeight="1" spans="1:8">
      <c r="A20" s="22">
        <v>10</v>
      </c>
      <c r="B20" s="18" t="s">
        <v>242</v>
      </c>
      <c r="C20" s="10" t="s">
        <v>934</v>
      </c>
      <c r="D20" s="186" t="s">
        <v>934</v>
      </c>
      <c r="E20" s="25" t="s">
        <v>935</v>
      </c>
      <c r="F20" s="10" t="s">
        <v>936</v>
      </c>
      <c r="G20" s="10" t="s">
        <v>866</v>
      </c>
      <c r="H20" s="10"/>
    </row>
    <row r="21" customHeight="1" spans="1:11">
      <c r="A21" s="22">
        <v>11</v>
      </c>
      <c r="B21" s="10"/>
      <c r="C21" s="10" t="s">
        <v>937</v>
      </c>
      <c r="D21" s="10"/>
      <c r="E21" s="25" t="s">
        <v>938</v>
      </c>
      <c r="F21" s="25" t="s">
        <v>939</v>
      </c>
      <c r="G21" s="10" t="s">
        <v>901</v>
      </c>
      <c r="H21" s="10"/>
      <c r="I21" s="159" t="s">
        <v>264</v>
      </c>
      <c r="J21" s="159" t="s">
        <v>265</v>
      </c>
      <c r="K21" s="159" t="s">
        <v>938</v>
      </c>
    </row>
    <row r="22" customHeight="1" spans="1:8">
      <c r="A22" s="22">
        <v>12</v>
      </c>
      <c r="B22" s="10"/>
      <c r="C22" s="10" t="s">
        <v>940</v>
      </c>
      <c r="D22" s="10"/>
      <c r="E22" s="25" t="s">
        <v>941</v>
      </c>
      <c r="F22" s="10"/>
      <c r="G22" s="10" t="s">
        <v>929</v>
      </c>
      <c r="H22" s="10"/>
    </row>
    <row r="23" customHeight="1" spans="1:8">
      <c r="A23" s="22">
        <v>13</v>
      </c>
      <c r="B23" s="10"/>
      <c r="C23" s="10" t="s">
        <v>942</v>
      </c>
      <c r="D23" s="10"/>
      <c r="E23" s="25" t="s">
        <v>943</v>
      </c>
      <c r="F23" s="10"/>
      <c r="G23" s="10" t="s">
        <v>929</v>
      </c>
      <c r="H23" s="10"/>
    </row>
    <row r="24" customHeight="1" spans="1:8">
      <c r="A24" s="22">
        <v>14</v>
      </c>
      <c r="B24" s="10"/>
      <c r="C24" s="10" t="s">
        <v>944</v>
      </c>
      <c r="D24" s="10"/>
      <c r="E24" s="25" t="s">
        <v>945</v>
      </c>
      <c r="F24" s="10"/>
      <c r="G24" s="10" t="s">
        <v>929</v>
      </c>
      <c r="H24"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E4" sqref="E4:H4"/>
    </sheetView>
  </sheetViews>
  <sheetFormatPr defaultColWidth="10.8333333333333" defaultRowHeight="35" customHeight="1" outlineLevelCol="7"/>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20.8333333333333" style="23" customWidth="1"/>
    <col min="9" max="16384" width="10.8333333333333" style="23"/>
  </cols>
  <sheetData>
    <row r="1" customHeight="1" spans="1:8">
      <c r="A1" s="5" t="s">
        <v>223</v>
      </c>
      <c r="B1" s="2" t="s">
        <v>946</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921</v>
      </c>
      <c r="F4" s="221"/>
      <c r="G4" s="221"/>
      <c r="H4" s="222"/>
    </row>
    <row r="5" customFormat="1" ht="17.25" spans="1:8">
      <c r="A5" s="22">
        <v>2</v>
      </c>
      <c r="B5" s="218" t="s">
        <v>228</v>
      </c>
      <c r="C5" s="219"/>
      <c r="D5" s="220"/>
      <c r="E5" s="31" t="s">
        <v>947</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152" t="s">
        <v>237</v>
      </c>
      <c r="E10" s="152" t="s">
        <v>238</v>
      </c>
      <c r="F10" s="223" t="s">
        <v>239</v>
      </c>
      <c r="G10" s="152" t="s">
        <v>240</v>
      </c>
      <c r="H10" s="223" t="s">
        <v>241</v>
      </c>
    </row>
    <row r="11" customFormat="1" ht="27.75" spans="1:8">
      <c r="A11" s="22">
        <v>1</v>
      </c>
      <c r="B11" s="18" t="s">
        <v>242</v>
      </c>
      <c r="C11" s="22" t="s">
        <v>243</v>
      </c>
      <c r="D11" s="22" t="s">
        <v>243</v>
      </c>
      <c r="E11" s="22" t="s">
        <v>243</v>
      </c>
      <c r="F11" s="163" t="s">
        <v>948</v>
      </c>
      <c r="G11" s="22" t="s">
        <v>248</v>
      </c>
      <c r="H11" s="163"/>
    </row>
    <row r="12" customFormat="1" ht="27.75" spans="1:8">
      <c r="A12" s="22">
        <v>2</v>
      </c>
      <c r="B12" s="18" t="s">
        <v>242</v>
      </c>
      <c r="C12" s="22" t="s">
        <v>949</v>
      </c>
      <c r="D12" s="22" t="s">
        <v>949</v>
      </c>
      <c r="E12" s="22" t="s">
        <v>265</v>
      </c>
      <c r="F12" s="22" t="s">
        <v>949</v>
      </c>
      <c r="G12" s="22" t="s">
        <v>248</v>
      </c>
      <c r="H12" s="163"/>
    </row>
    <row r="13" customFormat="1" ht="27.75" spans="1:8">
      <c r="A13" s="22">
        <v>3</v>
      </c>
      <c r="B13" s="18" t="s">
        <v>242</v>
      </c>
      <c r="C13" s="22" t="s">
        <v>950</v>
      </c>
      <c r="D13" s="22" t="s">
        <v>950</v>
      </c>
      <c r="E13" s="22" t="s">
        <v>365</v>
      </c>
      <c r="F13" s="22" t="s">
        <v>950</v>
      </c>
      <c r="G13" s="22" t="s">
        <v>303</v>
      </c>
      <c r="H13" s="163"/>
    </row>
    <row r="14" customFormat="1" ht="27.75" spans="1:8">
      <c r="A14" s="22">
        <v>4</v>
      </c>
      <c r="B14" s="18" t="s">
        <v>242</v>
      </c>
      <c r="C14" s="22" t="s">
        <v>951</v>
      </c>
      <c r="D14" s="22" t="s">
        <v>951</v>
      </c>
      <c r="E14" s="22" t="s">
        <v>952</v>
      </c>
      <c r="F14" s="163" t="s">
        <v>951</v>
      </c>
      <c r="G14" s="22" t="s">
        <v>248</v>
      </c>
      <c r="H14" s="163"/>
    </row>
    <row r="15" customFormat="1" ht="27.75" spans="1:8">
      <c r="A15" s="22">
        <v>5</v>
      </c>
      <c r="B15" s="18"/>
      <c r="C15" s="22" t="s">
        <v>953</v>
      </c>
      <c r="D15" s="22" t="s">
        <v>953</v>
      </c>
      <c r="E15" s="22" t="s">
        <v>954</v>
      </c>
      <c r="F15" s="163"/>
      <c r="G15" s="22" t="s">
        <v>320</v>
      </c>
      <c r="H15" s="163"/>
    </row>
    <row r="16" customFormat="1" ht="27.75" spans="1:8">
      <c r="A16" s="22">
        <v>6</v>
      </c>
      <c r="B16" s="18" t="s">
        <v>242</v>
      </c>
      <c r="C16" s="22" t="s">
        <v>955</v>
      </c>
      <c r="D16" s="22" t="s">
        <v>955</v>
      </c>
      <c r="E16" s="22" t="s">
        <v>956</v>
      </c>
      <c r="F16" s="163" t="s">
        <v>957</v>
      </c>
      <c r="G16" s="22" t="s">
        <v>958</v>
      </c>
      <c r="H16" s="163"/>
    </row>
    <row r="17" customFormat="1" ht="27.75" spans="1:8">
      <c r="A17" s="22">
        <v>7</v>
      </c>
      <c r="B17" s="18"/>
      <c r="C17" s="22" t="s">
        <v>959</v>
      </c>
      <c r="D17" s="22" t="s">
        <v>959</v>
      </c>
      <c r="E17" s="22" t="s">
        <v>960</v>
      </c>
      <c r="F17" s="163"/>
      <c r="G17" s="22" t="s">
        <v>263</v>
      </c>
      <c r="H17" s="163"/>
    </row>
    <row r="18" customFormat="1" ht="27.75" spans="1:8">
      <c r="A18" s="22">
        <v>8</v>
      </c>
      <c r="B18" s="18" t="s">
        <v>242</v>
      </c>
      <c r="C18" s="22" t="s">
        <v>556</v>
      </c>
      <c r="D18" s="22" t="s">
        <v>556</v>
      </c>
      <c r="E18" s="22" t="s">
        <v>416</v>
      </c>
      <c r="F18" s="163" t="s">
        <v>961</v>
      </c>
      <c r="G18" s="22" t="s">
        <v>359</v>
      </c>
      <c r="H18" s="163"/>
    </row>
    <row r="19" customHeight="1" spans="1:8">
      <c r="A19" s="22">
        <v>9</v>
      </c>
      <c r="B19" s="18"/>
      <c r="C19" s="22" t="s">
        <v>558</v>
      </c>
      <c r="D19" s="22"/>
      <c r="E19" s="22" t="s">
        <v>560</v>
      </c>
      <c r="F19" s="163"/>
      <c r="G19" s="22" t="s">
        <v>421</v>
      </c>
      <c r="H19" s="163"/>
    </row>
    <row r="20" customHeight="1" spans="1:8">
      <c r="A20" s="22">
        <v>10</v>
      </c>
      <c r="B20" s="18"/>
      <c r="C20" s="22" t="s">
        <v>962</v>
      </c>
      <c r="D20" s="22"/>
      <c r="E20" s="22" t="s">
        <v>963</v>
      </c>
      <c r="F20" s="163"/>
      <c r="G20" s="22" t="s">
        <v>248</v>
      </c>
      <c r="H20" s="163"/>
    </row>
    <row r="21" customHeight="1" spans="1:8">
      <c r="A21" s="22">
        <v>11</v>
      </c>
      <c r="B21" s="18"/>
      <c r="C21" s="22" t="s">
        <v>964</v>
      </c>
      <c r="D21" s="22"/>
      <c r="E21" s="22" t="s">
        <v>965</v>
      </c>
      <c r="F21" s="163"/>
      <c r="G21" s="22" t="s">
        <v>248</v>
      </c>
      <c r="H21" s="163"/>
    </row>
    <row r="22" customHeight="1" spans="1:8">
      <c r="A22" s="22">
        <v>12</v>
      </c>
      <c r="B22" s="18"/>
      <c r="C22" s="22" t="s">
        <v>966</v>
      </c>
      <c r="D22" s="22"/>
      <c r="E22" s="22" t="s">
        <v>967</v>
      </c>
      <c r="F22" s="163"/>
      <c r="G22" s="22" t="s">
        <v>248</v>
      </c>
      <c r="H22"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opLeftCell="A7" workbookViewId="0">
      <selection activeCell="I14" sqref="I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20.8333333333333" style="23" customWidth="1"/>
    <col min="9" max="9" width="19.5" style="23" customWidth="1"/>
    <col min="10" max="16384" width="10.8333333333333" style="23"/>
  </cols>
  <sheetData>
    <row r="1" customHeight="1" spans="1:8">
      <c r="A1" s="5" t="s">
        <v>223</v>
      </c>
      <c r="B1" s="2" t="s">
        <v>968</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969</v>
      </c>
      <c r="F4" s="221"/>
      <c r="G4" s="221"/>
      <c r="H4" s="222"/>
    </row>
    <row r="5" customFormat="1" ht="17.25" spans="1:8">
      <c r="A5" s="22">
        <v>2</v>
      </c>
      <c r="B5" s="218" t="s">
        <v>228</v>
      </c>
      <c r="C5" s="219"/>
      <c r="D5" s="220"/>
      <c r="E5" s="31" t="s">
        <v>970</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948</v>
      </c>
      <c r="G11" s="22" t="s">
        <v>248</v>
      </c>
      <c r="H11" s="163"/>
    </row>
    <row r="12" customFormat="1" ht="27.75" spans="1:8">
      <c r="A12" s="22">
        <v>2</v>
      </c>
      <c r="B12" s="18" t="s">
        <v>242</v>
      </c>
      <c r="C12" s="22" t="s">
        <v>971</v>
      </c>
      <c r="D12" s="87" t="s">
        <v>972</v>
      </c>
      <c r="E12" s="22" t="s">
        <v>265</v>
      </c>
      <c r="F12" s="163" t="s">
        <v>973</v>
      </c>
      <c r="G12" s="22" t="s">
        <v>248</v>
      </c>
      <c r="H12" s="163"/>
    </row>
    <row r="13" customFormat="1" ht="27.75" spans="1:8">
      <c r="A13" s="22">
        <v>3</v>
      </c>
      <c r="B13" s="18" t="s">
        <v>242</v>
      </c>
      <c r="C13" s="22" t="s">
        <v>974</v>
      </c>
      <c r="D13" s="87" t="s">
        <v>975</v>
      </c>
      <c r="E13" s="22" t="s">
        <v>365</v>
      </c>
      <c r="F13" s="163" t="s">
        <v>975</v>
      </c>
      <c r="G13" s="22" t="s">
        <v>303</v>
      </c>
      <c r="H13" s="163"/>
    </row>
    <row r="14" customFormat="1" ht="27.75" spans="1:10">
      <c r="A14" s="22">
        <v>4</v>
      </c>
      <c r="B14" s="18" t="s">
        <v>242</v>
      </c>
      <c r="C14" s="22" t="s">
        <v>951</v>
      </c>
      <c r="D14" s="87" t="s">
        <v>976</v>
      </c>
      <c r="E14" s="22" t="s">
        <v>952</v>
      </c>
      <c r="F14" s="163" t="s">
        <v>951</v>
      </c>
      <c r="G14" s="22" t="s">
        <v>248</v>
      </c>
      <c r="H14" s="163"/>
      <c r="I14" t="s">
        <v>969</v>
      </c>
      <c r="J14" s="226" t="s">
        <v>243</v>
      </c>
    </row>
    <row r="15" customFormat="1" ht="27.75" spans="1:8">
      <c r="A15" s="22">
        <v>5</v>
      </c>
      <c r="B15" s="18"/>
      <c r="C15" s="22" t="s">
        <v>953</v>
      </c>
      <c r="D15" s="87" t="s">
        <v>977</v>
      </c>
      <c r="E15" s="22" t="s">
        <v>954</v>
      </c>
      <c r="F15" s="163"/>
      <c r="G15" s="22" t="s">
        <v>320</v>
      </c>
      <c r="H15" s="163"/>
    </row>
    <row r="16" customFormat="1" ht="27.75" spans="1:8">
      <c r="A16" s="22">
        <v>6</v>
      </c>
      <c r="B16" s="18" t="s">
        <v>242</v>
      </c>
      <c r="C16" s="22" t="s">
        <v>955</v>
      </c>
      <c r="D16" s="87" t="s">
        <v>955</v>
      </c>
      <c r="E16" s="22" t="s">
        <v>956</v>
      </c>
      <c r="F16" s="163" t="s">
        <v>957</v>
      </c>
      <c r="G16" s="22" t="s">
        <v>958</v>
      </c>
      <c r="H16" s="163"/>
    </row>
    <row r="17" customFormat="1" ht="27.75" spans="1:8">
      <c r="A17" s="22">
        <v>7</v>
      </c>
      <c r="B17" s="18"/>
      <c r="C17" s="22" t="s">
        <v>959</v>
      </c>
      <c r="D17" s="87" t="s">
        <v>959</v>
      </c>
      <c r="E17" s="22" t="s">
        <v>960</v>
      </c>
      <c r="F17" s="163"/>
      <c r="G17" s="22" t="s">
        <v>263</v>
      </c>
      <c r="H17" s="163"/>
    </row>
    <row r="18" customFormat="1" ht="27.75" spans="1:8">
      <c r="A18" s="22">
        <v>8</v>
      </c>
      <c r="B18" s="18" t="s">
        <v>242</v>
      </c>
      <c r="C18" s="22" t="s">
        <v>556</v>
      </c>
      <c r="D18" s="87" t="s">
        <v>556</v>
      </c>
      <c r="E18" s="22" t="s">
        <v>416</v>
      </c>
      <c r="F18" s="163" t="s">
        <v>961</v>
      </c>
      <c r="G18" s="22" t="s">
        <v>359</v>
      </c>
      <c r="H18" s="163"/>
    </row>
    <row r="19" customFormat="1" ht="27.75" spans="1:8">
      <c r="A19" s="22">
        <v>9</v>
      </c>
      <c r="B19" s="18"/>
      <c r="C19" s="22" t="s">
        <v>558</v>
      </c>
      <c r="D19" s="22"/>
      <c r="E19" s="22" t="s">
        <v>560</v>
      </c>
      <c r="F19" s="163"/>
      <c r="G19" s="22" t="s">
        <v>421</v>
      </c>
      <c r="H19" s="163"/>
    </row>
    <row r="20" customFormat="1" ht="27.75" spans="1:8">
      <c r="A20" s="22">
        <v>10</v>
      </c>
      <c r="B20" s="18"/>
      <c r="C20" s="22" t="s">
        <v>962</v>
      </c>
      <c r="D20" s="22"/>
      <c r="E20" s="22" t="s">
        <v>963</v>
      </c>
      <c r="F20" s="163"/>
      <c r="G20" s="22" t="s">
        <v>248</v>
      </c>
      <c r="H20" s="163"/>
    </row>
    <row r="21" customFormat="1" ht="27.75" spans="1:8">
      <c r="A21" s="22">
        <v>11</v>
      </c>
      <c r="B21" s="18"/>
      <c r="C21" s="22" t="s">
        <v>964</v>
      </c>
      <c r="D21" s="22"/>
      <c r="E21" s="22" t="s">
        <v>965</v>
      </c>
      <c r="F21" s="163"/>
      <c r="G21" s="22" t="s">
        <v>248</v>
      </c>
      <c r="H21" s="163"/>
    </row>
    <row r="22" customFormat="1" ht="27.75" spans="1:8">
      <c r="A22" s="22">
        <v>12</v>
      </c>
      <c r="B22" s="18"/>
      <c r="C22" s="22" t="s">
        <v>966</v>
      </c>
      <c r="D22" s="22"/>
      <c r="E22" s="22" t="s">
        <v>967</v>
      </c>
      <c r="F22" s="163"/>
      <c r="G22" s="22" t="s">
        <v>248</v>
      </c>
      <c r="H22"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E5" sqref="E5:H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20.8333333333333" style="23" customWidth="1"/>
    <col min="9" max="9" width="23.1666666666667" style="23" customWidth="1"/>
    <col min="10" max="16384" width="10.8333333333333" style="23"/>
  </cols>
  <sheetData>
    <row r="1" customHeight="1" spans="1:8">
      <c r="A1" s="5" t="s">
        <v>223</v>
      </c>
      <c r="B1" s="2" t="s">
        <v>978</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979</v>
      </c>
      <c r="F4" s="221"/>
      <c r="G4" s="221"/>
      <c r="H4" s="222"/>
    </row>
    <row r="5" customFormat="1" ht="17.25" spans="1:8">
      <c r="A5" s="22">
        <v>2</v>
      </c>
      <c r="B5" s="218" t="s">
        <v>228</v>
      </c>
      <c r="C5" s="219"/>
      <c r="D5" s="220"/>
      <c r="E5" s="31" t="s">
        <v>980</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948</v>
      </c>
      <c r="G11" s="22" t="s">
        <v>248</v>
      </c>
      <c r="H11" s="163"/>
    </row>
    <row r="12" customFormat="1" ht="27.75" spans="1:8">
      <c r="A12" s="22">
        <v>2</v>
      </c>
      <c r="B12" s="18" t="s">
        <v>242</v>
      </c>
      <c r="C12" s="22" t="s">
        <v>981</v>
      </c>
      <c r="D12" s="87" t="s">
        <v>982</v>
      </c>
      <c r="E12" s="22" t="s">
        <v>983</v>
      </c>
      <c r="F12" s="22" t="s">
        <v>984</v>
      </c>
      <c r="G12" s="22" t="s">
        <v>248</v>
      </c>
      <c r="H12" s="163"/>
    </row>
    <row r="13" customFormat="1" ht="27.75" spans="1:8">
      <c r="A13" s="22">
        <v>3</v>
      </c>
      <c r="B13" s="18" t="s">
        <v>242</v>
      </c>
      <c r="C13" s="22" t="s">
        <v>985</v>
      </c>
      <c r="D13" s="87" t="s">
        <v>986</v>
      </c>
      <c r="E13" s="22" t="s">
        <v>365</v>
      </c>
      <c r="F13" s="22" t="s">
        <v>985</v>
      </c>
      <c r="G13" s="22" t="s">
        <v>303</v>
      </c>
      <c r="H13" s="163"/>
    </row>
    <row r="14" customFormat="1" ht="27.75" spans="1:8">
      <c r="A14" s="22">
        <v>4</v>
      </c>
      <c r="B14" s="18"/>
      <c r="C14" s="22" t="s">
        <v>987</v>
      </c>
      <c r="D14" s="87" t="s">
        <v>988</v>
      </c>
      <c r="E14" s="22" t="s">
        <v>265</v>
      </c>
      <c r="F14" s="22" t="s">
        <v>989</v>
      </c>
      <c r="G14" s="22" t="s">
        <v>248</v>
      </c>
      <c r="H14" s="163"/>
    </row>
    <row r="15" customFormat="1" ht="27.75" spans="1:8">
      <c r="A15" s="22">
        <v>5</v>
      </c>
      <c r="B15" s="18" t="s">
        <v>242</v>
      </c>
      <c r="C15" s="22" t="s">
        <v>556</v>
      </c>
      <c r="D15" s="87" t="s">
        <v>557</v>
      </c>
      <c r="E15" s="22" t="s">
        <v>416</v>
      </c>
      <c r="F15" s="163" t="s">
        <v>961</v>
      </c>
      <c r="G15" s="22" t="s">
        <v>359</v>
      </c>
      <c r="H15" s="163"/>
    </row>
    <row r="16" customHeight="1" spans="1:10">
      <c r="A16" s="22">
        <v>6</v>
      </c>
      <c r="B16" s="10"/>
      <c r="C16" s="183" t="s">
        <v>990</v>
      </c>
      <c r="D16" s="186" t="s">
        <v>991</v>
      </c>
      <c r="E16" s="13" t="s">
        <v>992</v>
      </c>
      <c r="F16" s="13" t="s">
        <v>993</v>
      </c>
      <c r="G16" s="10" t="s">
        <v>248</v>
      </c>
      <c r="H16" s="10"/>
      <c r="I16" s="23" t="s">
        <v>969</v>
      </c>
      <c r="J16" s="23" t="s">
        <v>265</v>
      </c>
    </row>
    <row r="17" customHeight="1" spans="1:10">
      <c r="A17" s="22">
        <v>7</v>
      </c>
      <c r="B17" s="10"/>
      <c r="C17" s="183" t="s">
        <v>994</v>
      </c>
      <c r="D17" s="186" t="s">
        <v>994</v>
      </c>
      <c r="E17" s="13" t="s">
        <v>995</v>
      </c>
      <c r="F17" s="183" t="s">
        <v>996</v>
      </c>
      <c r="G17" s="10" t="s">
        <v>248</v>
      </c>
      <c r="H17" s="10"/>
      <c r="I17" s="23" t="s">
        <v>997</v>
      </c>
      <c r="J17" s="23" t="s">
        <v>265</v>
      </c>
    </row>
    <row r="18" customHeight="1" spans="1:8">
      <c r="A18" s="22">
        <v>8</v>
      </c>
      <c r="B18" s="10"/>
      <c r="C18" s="183" t="s">
        <v>409</v>
      </c>
      <c r="D18" s="186" t="s">
        <v>998</v>
      </c>
      <c r="E18" s="13" t="s">
        <v>999</v>
      </c>
      <c r="F18" s="10"/>
      <c r="G18" s="10" t="s">
        <v>390</v>
      </c>
      <c r="H18"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20.8333333333333" style="23" customWidth="1"/>
    <col min="9" max="9" width="22.375" style="23" customWidth="1"/>
    <col min="10" max="16384" width="10.8333333333333" style="23"/>
  </cols>
  <sheetData>
    <row r="1" customHeight="1" spans="1:8">
      <c r="A1" s="5" t="s">
        <v>223</v>
      </c>
      <c r="B1" s="2" t="s">
        <v>1000</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997</v>
      </c>
      <c r="F4" s="221"/>
      <c r="G4" s="221"/>
      <c r="H4" s="222"/>
    </row>
    <row r="5" customFormat="1" ht="17.25" spans="1:8">
      <c r="A5" s="22">
        <v>2</v>
      </c>
      <c r="B5" s="218" t="s">
        <v>228</v>
      </c>
      <c r="C5" s="219"/>
      <c r="D5" s="220"/>
      <c r="E5" s="31" t="s">
        <v>1001</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948</v>
      </c>
      <c r="G11" s="22" t="s">
        <v>248</v>
      </c>
      <c r="H11" s="163"/>
    </row>
    <row r="12" customFormat="1" ht="27.75" spans="1:8">
      <c r="A12" s="22">
        <v>2</v>
      </c>
      <c r="B12" s="18" t="s">
        <v>242</v>
      </c>
      <c r="C12" s="22" t="s">
        <v>949</v>
      </c>
      <c r="D12" s="87" t="s">
        <v>949</v>
      </c>
      <c r="E12" s="22" t="s">
        <v>265</v>
      </c>
      <c r="F12" s="22" t="s">
        <v>949</v>
      </c>
      <c r="G12" s="22" t="s">
        <v>248</v>
      </c>
      <c r="H12" s="163"/>
    </row>
    <row r="13" customFormat="1" ht="27.75" spans="1:8">
      <c r="A13" s="22">
        <v>3</v>
      </c>
      <c r="B13" s="18" t="s">
        <v>242</v>
      </c>
      <c r="C13" s="22" t="s">
        <v>950</v>
      </c>
      <c r="D13" s="87" t="s">
        <v>950</v>
      </c>
      <c r="E13" s="22" t="s">
        <v>365</v>
      </c>
      <c r="F13" s="22" t="s">
        <v>950</v>
      </c>
      <c r="G13" s="22" t="s">
        <v>303</v>
      </c>
      <c r="H13" s="163"/>
    </row>
    <row r="14" customFormat="1" ht="27.75" spans="1:10">
      <c r="A14" s="22">
        <v>4</v>
      </c>
      <c r="B14" s="18" t="s">
        <v>242</v>
      </c>
      <c r="C14" s="22" t="s">
        <v>951</v>
      </c>
      <c r="D14" s="87" t="s">
        <v>951</v>
      </c>
      <c r="E14" s="22" t="s">
        <v>952</v>
      </c>
      <c r="F14" s="163" t="s">
        <v>951</v>
      </c>
      <c r="G14" s="22" t="s">
        <v>248</v>
      </c>
      <c r="H14" s="163"/>
      <c r="I14" t="s">
        <v>997</v>
      </c>
      <c r="J14" s="226" t="s">
        <v>243</v>
      </c>
    </row>
    <row r="15" customFormat="1" ht="27.75" spans="1:8">
      <c r="A15" s="22">
        <v>5</v>
      </c>
      <c r="B15" s="18"/>
      <c r="C15" s="22" t="s">
        <v>953</v>
      </c>
      <c r="D15" s="87" t="s">
        <v>953</v>
      </c>
      <c r="E15" s="22" t="s">
        <v>954</v>
      </c>
      <c r="F15" s="163"/>
      <c r="G15" s="22" t="s">
        <v>320</v>
      </c>
      <c r="H15" s="163"/>
    </row>
    <row r="16" customFormat="1" ht="27.75" spans="1:8">
      <c r="A16" s="22">
        <v>6</v>
      </c>
      <c r="B16" s="18" t="s">
        <v>242</v>
      </c>
      <c r="C16" s="22" t="s">
        <v>955</v>
      </c>
      <c r="D16" s="87" t="s">
        <v>955</v>
      </c>
      <c r="E16" s="22" t="s">
        <v>956</v>
      </c>
      <c r="F16" s="163" t="s">
        <v>957</v>
      </c>
      <c r="G16" s="22" t="s">
        <v>958</v>
      </c>
      <c r="H16" s="163"/>
    </row>
    <row r="17" customFormat="1" ht="27.75" spans="1:8">
      <c r="A17" s="22">
        <v>7</v>
      </c>
      <c r="B17" s="18"/>
      <c r="C17" s="22" t="s">
        <v>959</v>
      </c>
      <c r="D17" s="87" t="s">
        <v>959</v>
      </c>
      <c r="E17" s="22" t="s">
        <v>960</v>
      </c>
      <c r="F17" s="163"/>
      <c r="G17" s="22" t="s">
        <v>263</v>
      </c>
      <c r="H17" s="163"/>
    </row>
    <row r="18" customFormat="1" ht="27.75" spans="1:8">
      <c r="A18" s="22">
        <v>8</v>
      </c>
      <c r="B18" s="18" t="s">
        <v>242</v>
      </c>
      <c r="C18" s="22" t="s">
        <v>556</v>
      </c>
      <c r="D18" s="87" t="s">
        <v>556</v>
      </c>
      <c r="E18" s="22" t="s">
        <v>416</v>
      </c>
      <c r="F18" s="163" t="s">
        <v>961</v>
      </c>
      <c r="G18" s="22" t="s">
        <v>359</v>
      </c>
      <c r="H18" s="163"/>
    </row>
    <row r="19" customFormat="1" ht="27.75" spans="1:8">
      <c r="A19" s="22">
        <v>9</v>
      </c>
      <c r="B19" s="18"/>
      <c r="C19" s="22" t="s">
        <v>558</v>
      </c>
      <c r="D19" s="87" t="s">
        <v>558</v>
      </c>
      <c r="E19" s="22" t="s">
        <v>560</v>
      </c>
      <c r="F19" s="163"/>
      <c r="G19" s="22" t="s">
        <v>421</v>
      </c>
      <c r="H19"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20"/>
  <sheetViews>
    <sheetView topLeftCell="A5" workbookViewId="0">
      <selection activeCell="E18" sqref="E18"/>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36.8333333333333" style="23" customWidth="1"/>
    <col min="9" max="9" width="21.875" style="23" customWidth="1"/>
    <col min="10" max="10" width="12.8333333333333" style="23" customWidth="1"/>
    <col min="11" max="16384" width="10.8333333333333" style="23"/>
  </cols>
  <sheetData>
    <row r="1" customHeight="1" spans="1:8">
      <c r="A1" s="5" t="s">
        <v>223</v>
      </c>
      <c r="B1" s="2" t="s">
        <v>1002</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1003</v>
      </c>
      <c r="F4" s="221"/>
      <c r="G4" s="221"/>
      <c r="H4" s="222"/>
    </row>
    <row r="5" customFormat="1" ht="17.25" spans="1:8">
      <c r="A5" s="22">
        <v>2</v>
      </c>
      <c r="B5" s="218" t="s">
        <v>228</v>
      </c>
      <c r="C5" s="219"/>
      <c r="D5" s="220"/>
      <c r="E5" s="31" t="s">
        <v>1004</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948</v>
      </c>
      <c r="G11" s="22" t="s">
        <v>248</v>
      </c>
      <c r="H11" s="163"/>
    </row>
    <row r="12" customFormat="1" ht="27.75" spans="1:10">
      <c r="A12" s="22">
        <v>2</v>
      </c>
      <c r="B12" s="18" t="s">
        <v>242</v>
      </c>
      <c r="C12" s="22" t="s">
        <v>906</v>
      </c>
      <c r="D12" s="87" t="s">
        <v>907</v>
      </c>
      <c r="E12" s="22" t="s">
        <v>908</v>
      </c>
      <c r="F12" s="163" t="s">
        <v>1005</v>
      </c>
      <c r="G12" s="22" t="s">
        <v>248</v>
      </c>
      <c r="H12" s="163"/>
      <c r="I12" t="s">
        <v>903</v>
      </c>
      <c r="J12" s="226" t="s">
        <v>243</v>
      </c>
    </row>
    <row r="13" customFormat="1" ht="27.75" spans="1:8">
      <c r="A13" s="22">
        <v>3</v>
      </c>
      <c r="B13" s="18" t="s">
        <v>242</v>
      </c>
      <c r="C13" s="227" t="s">
        <v>910</v>
      </c>
      <c r="D13" s="227" t="s">
        <v>1006</v>
      </c>
      <c r="E13" s="227" t="s">
        <v>912</v>
      </c>
      <c r="F13" s="228" t="s">
        <v>913</v>
      </c>
      <c r="G13" s="227" t="s">
        <v>303</v>
      </c>
      <c r="H13" s="228"/>
    </row>
    <row r="14" customFormat="1" ht="27.75" spans="1:8">
      <c r="A14" s="22">
        <v>4</v>
      </c>
      <c r="B14" s="18" t="s">
        <v>242</v>
      </c>
      <c r="C14" s="22" t="s">
        <v>1007</v>
      </c>
      <c r="D14" s="87" t="s">
        <v>1007</v>
      </c>
      <c r="E14" s="22" t="s">
        <v>1008</v>
      </c>
      <c r="F14" s="163" t="s">
        <v>928</v>
      </c>
      <c r="G14" s="87" t="s">
        <v>929</v>
      </c>
      <c r="H14" s="163"/>
    </row>
    <row r="15" customFormat="1" ht="27.75" spans="1:8">
      <c r="A15" s="22">
        <v>5</v>
      </c>
      <c r="B15" s="18" t="s">
        <v>242</v>
      </c>
      <c r="C15" s="22" t="s">
        <v>926</v>
      </c>
      <c r="D15" s="87" t="s">
        <v>926</v>
      </c>
      <c r="E15" s="22" t="s">
        <v>927</v>
      </c>
      <c r="F15" s="163" t="s">
        <v>928</v>
      </c>
      <c r="G15" s="87" t="s">
        <v>929</v>
      </c>
      <c r="H15" s="163"/>
    </row>
    <row r="16" customFormat="1" ht="27.75" spans="1:8">
      <c r="A16" s="22">
        <v>6</v>
      </c>
      <c r="B16" s="18" t="s">
        <v>242</v>
      </c>
      <c r="C16" s="22" t="s">
        <v>1009</v>
      </c>
      <c r="D16" s="87" t="s">
        <v>1009</v>
      </c>
      <c r="E16" s="22" t="s">
        <v>1010</v>
      </c>
      <c r="F16" s="22" t="s">
        <v>1009</v>
      </c>
      <c r="G16" s="22" t="s">
        <v>303</v>
      </c>
      <c r="H16" s="163"/>
    </row>
    <row r="17" customFormat="1" ht="27.75" spans="1:10">
      <c r="A17" s="22">
        <v>7</v>
      </c>
      <c r="B17" s="18" t="s">
        <v>242</v>
      </c>
      <c r="C17" s="22" t="s">
        <v>1011</v>
      </c>
      <c r="D17" s="87" t="s">
        <v>1011</v>
      </c>
      <c r="E17" s="22" t="s">
        <v>1012</v>
      </c>
      <c r="F17" s="22"/>
      <c r="G17" s="22" t="s">
        <v>303</v>
      </c>
      <c r="H17" s="218" t="s">
        <v>1013</v>
      </c>
      <c r="I17" s="164" t="s">
        <v>979</v>
      </c>
      <c r="J17" s="159" t="s">
        <v>243</v>
      </c>
    </row>
    <row r="18" customFormat="1" ht="27.75" spans="1:10">
      <c r="A18" s="22">
        <v>8</v>
      </c>
      <c r="B18" s="18" t="s">
        <v>242</v>
      </c>
      <c r="C18" s="22" t="s">
        <v>1014</v>
      </c>
      <c r="D18" s="87" t="s">
        <v>1014</v>
      </c>
      <c r="E18" s="22" t="s">
        <v>995</v>
      </c>
      <c r="F18" s="22"/>
      <c r="G18" s="22" t="s">
        <v>303</v>
      </c>
      <c r="H18" s="218" t="s">
        <v>1015</v>
      </c>
      <c r="I18" s="164" t="s">
        <v>997</v>
      </c>
      <c r="J18" s="159" t="s">
        <v>243</v>
      </c>
    </row>
    <row r="19" customFormat="1" ht="34.5" spans="1:10">
      <c r="A19" s="22">
        <v>9</v>
      </c>
      <c r="B19" s="18" t="s">
        <v>242</v>
      </c>
      <c r="C19" s="22" t="s">
        <v>1016</v>
      </c>
      <c r="D19" s="87" t="s">
        <v>1016</v>
      </c>
      <c r="E19" s="22" t="s">
        <v>1017</v>
      </c>
      <c r="F19" s="22" t="s">
        <v>1018</v>
      </c>
      <c r="G19" s="22" t="s">
        <v>1019</v>
      </c>
      <c r="H19" s="218"/>
      <c r="I19" s="164"/>
      <c r="J19" s="164"/>
    </row>
    <row r="20" customHeight="1" spans="1:10">
      <c r="A20" s="10">
        <v>10</v>
      </c>
      <c r="B20" s="10"/>
      <c r="C20" s="183" t="s">
        <v>931</v>
      </c>
      <c r="D20" s="186" t="s">
        <v>1020</v>
      </c>
      <c r="E20" s="25" t="s">
        <v>932</v>
      </c>
      <c r="F20" s="10"/>
      <c r="G20" s="10" t="s">
        <v>248</v>
      </c>
      <c r="H20" s="250"/>
      <c r="I20" s="206" t="s">
        <v>903</v>
      </c>
      <c r="J20" s="80" t="s">
        <v>932</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A9" sqref="A9:H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37.8333333333333" style="23" customWidth="1"/>
    <col min="9" max="9" width="18.6666666666667" style="23" customWidth="1"/>
    <col min="10" max="16384" width="10.8333333333333" style="23"/>
  </cols>
  <sheetData>
    <row r="1" customHeight="1" spans="1:8">
      <c r="A1" s="5" t="s">
        <v>223</v>
      </c>
      <c r="B1" s="2" t="s">
        <v>1021</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1022</v>
      </c>
      <c r="F4" s="221"/>
      <c r="G4" s="221"/>
      <c r="H4" s="222"/>
    </row>
    <row r="5" customFormat="1" ht="17.25" spans="1:8">
      <c r="A5" s="22">
        <v>2</v>
      </c>
      <c r="B5" s="218" t="s">
        <v>228</v>
      </c>
      <c r="C5" s="219"/>
      <c r="D5" s="220"/>
      <c r="E5" s="31" t="s">
        <v>1023</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152"/>
      <c r="E10" s="152" t="s">
        <v>238</v>
      </c>
      <c r="F10" s="223" t="s">
        <v>239</v>
      </c>
      <c r="G10" s="152" t="s">
        <v>240</v>
      </c>
      <c r="H10" s="223" t="s">
        <v>241</v>
      </c>
    </row>
    <row r="11" customFormat="1" ht="27.75" spans="1:8">
      <c r="A11" s="22">
        <v>1</v>
      </c>
      <c r="B11" s="18" t="s">
        <v>242</v>
      </c>
      <c r="C11" s="22" t="s">
        <v>243</v>
      </c>
      <c r="D11" s="22" t="s">
        <v>243</v>
      </c>
      <c r="E11" s="22" t="s">
        <v>243</v>
      </c>
      <c r="F11" s="163"/>
      <c r="G11" s="22" t="s">
        <v>248</v>
      </c>
      <c r="H11" s="163"/>
    </row>
    <row r="12" customFormat="1" ht="27.75" spans="1:10">
      <c r="A12" s="22">
        <v>2</v>
      </c>
      <c r="B12" s="18" t="s">
        <v>242</v>
      </c>
      <c r="C12" s="22" t="s">
        <v>906</v>
      </c>
      <c r="D12" s="22" t="s">
        <v>907</v>
      </c>
      <c r="E12" s="22" t="s">
        <v>908</v>
      </c>
      <c r="F12" s="163" t="s">
        <v>1005</v>
      </c>
      <c r="G12" s="22" t="s">
        <v>248</v>
      </c>
      <c r="H12" s="163"/>
      <c r="I12" t="s">
        <v>903</v>
      </c>
      <c r="J12" s="226" t="s">
        <v>243</v>
      </c>
    </row>
    <row r="13" customFormat="1" ht="27.75" spans="1:8">
      <c r="A13" s="22">
        <v>3</v>
      </c>
      <c r="B13" s="18" t="s">
        <v>242</v>
      </c>
      <c r="C13" s="22" t="s">
        <v>1024</v>
      </c>
      <c r="D13" s="22" t="s">
        <v>1024</v>
      </c>
      <c r="E13" s="22" t="s">
        <v>1025</v>
      </c>
      <c r="F13" s="163" t="s">
        <v>928</v>
      </c>
      <c r="G13" s="87" t="s">
        <v>929</v>
      </c>
      <c r="H13" s="163"/>
    </row>
    <row r="14" customFormat="1" ht="27.75" spans="1:8">
      <c r="A14" s="22">
        <v>4</v>
      </c>
      <c r="B14" s="18" t="s">
        <v>242</v>
      </c>
      <c r="C14" s="22" t="s">
        <v>1026</v>
      </c>
      <c r="D14" s="22" t="s">
        <v>1026</v>
      </c>
      <c r="E14" s="22" t="s">
        <v>1027</v>
      </c>
      <c r="F14" s="163" t="s">
        <v>928</v>
      </c>
      <c r="G14" s="87" t="s">
        <v>929</v>
      </c>
      <c r="H14" s="163"/>
    </row>
    <row r="15" customFormat="1" ht="27.75" spans="1:8">
      <c r="A15" s="22">
        <v>5</v>
      </c>
      <c r="B15" s="18" t="s">
        <v>242</v>
      </c>
      <c r="C15" s="22" t="s">
        <v>1028</v>
      </c>
      <c r="D15" s="22" t="s">
        <v>1028</v>
      </c>
      <c r="E15" s="22" t="s">
        <v>1029</v>
      </c>
      <c r="F15" s="163"/>
      <c r="G15" s="22" t="s">
        <v>1030</v>
      </c>
      <c r="H15" s="163"/>
    </row>
    <row r="16" customFormat="1" ht="27.75" spans="1:10">
      <c r="A16" s="22">
        <v>6</v>
      </c>
      <c r="B16" s="18" t="s">
        <v>242</v>
      </c>
      <c r="C16" s="22" t="s">
        <v>1031</v>
      </c>
      <c r="D16" s="22" t="s">
        <v>1031</v>
      </c>
      <c r="E16" s="22" t="s">
        <v>1032</v>
      </c>
      <c r="F16" s="22" t="s">
        <v>1033</v>
      </c>
      <c r="G16" s="22" t="s">
        <v>1030</v>
      </c>
      <c r="H16" s="163"/>
      <c r="I16" t="s">
        <v>997</v>
      </c>
      <c r="J16" s="166" t="s">
        <v>243</v>
      </c>
    </row>
    <row r="17" customFormat="1" ht="27.75" spans="1:11">
      <c r="A17" s="22">
        <v>7</v>
      </c>
      <c r="B17" s="18" t="s">
        <v>242</v>
      </c>
      <c r="C17" s="22" t="s">
        <v>1016</v>
      </c>
      <c r="D17" s="22" t="s">
        <v>1016</v>
      </c>
      <c r="E17" s="22" t="s">
        <v>1017</v>
      </c>
      <c r="F17" s="22"/>
      <c r="G17" s="22" t="s">
        <v>1019</v>
      </c>
      <c r="H17" s="163"/>
      <c r="I17" t="s">
        <v>264</v>
      </c>
      <c r="J17" t="s">
        <v>265</v>
      </c>
      <c r="K17" t="s">
        <v>1017</v>
      </c>
    </row>
    <row r="18" customFormat="1" ht="27.75" spans="1:8">
      <c r="A18" s="22">
        <v>8</v>
      </c>
      <c r="B18" s="18" t="s">
        <v>242</v>
      </c>
      <c r="C18" s="22" t="s">
        <v>926</v>
      </c>
      <c r="D18" s="22" t="s">
        <v>926</v>
      </c>
      <c r="E18" s="22" t="s">
        <v>927</v>
      </c>
      <c r="F18" s="163"/>
      <c r="G18" s="22" t="s">
        <v>929</v>
      </c>
      <c r="H18" s="163"/>
    </row>
    <row r="19" customFormat="1" ht="27.75" spans="1:10">
      <c r="A19" s="22">
        <v>9</v>
      </c>
      <c r="B19" s="18"/>
      <c r="C19" s="22" t="s">
        <v>1034</v>
      </c>
      <c r="D19" s="22" t="s">
        <v>1034</v>
      </c>
      <c r="E19" s="22" t="s">
        <v>1012</v>
      </c>
      <c r="F19" s="22"/>
      <c r="G19" s="22" t="s">
        <v>248</v>
      </c>
      <c r="H19" s="163" t="s">
        <v>1013</v>
      </c>
      <c r="I19" t="s">
        <v>979</v>
      </c>
      <c r="J19" s="166" t="s">
        <v>243</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19"/>
  <sheetViews>
    <sheetView workbookViewId="0">
      <selection activeCell="A12" sqref="A12:A1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37.8333333333333" style="23" customWidth="1"/>
    <col min="9" max="9" width="22" style="23" customWidth="1"/>
    <col min="10" max="16384" width="10.8333333333333" style="23"/>
  </cols>
  <sheetData>
    <row r="1" customHeight="1" spans="1:8">
      <c r="A1" s="5" t="s">
        <v>223</v>
      </c>
      <c r="B1" s="2" t="s">
        <v>139</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1035</v>
      </c>
      <c r="F4" s="221"/>
      <c r="G4" s="221"/>
      <c r="H4" s="222"/>
    </row>
    <row r="5" customFormat="1" ht="17.25" spans="1:8">
      <c r="A5" s="22">
        <v>2</v>
      </c>
      <c r="B5" s="218" t="s">
        <v>228</v>
      </c>
      <c r="C5" s="219"/>
      <c r="D5" s="220"/>
      <c r="E5" s="31" t="s">
        <v>139</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152" t="s">
        <v>237</v>
      </c>
      <c r="E10" s="152" t="s">
        <v>238</v>
      </c>
      <c r="F10" s="223" t="s">
        <v>239</v>
      </c>
      <c r="G10" s="152" t="s">
        <v>240</v>
      </c>
      <c r="H10" s="223" t="s">
        <v>241</v>
      </c>
    </row>
    <row r="11" customFormat="1" ht="27.75" spans="1:8">
      <c r="A11" s="22">
        <v>1</v>
      </c>
      <c r="B11" s="18" t="s">
        <v>242</v>
      </c>
      <c r="C11" s="22" t="s">
        <v>243</v>
      </c>
      <c r="D11" s="87" t="s">
        <v>243</v>
      </c>
      <c r="E11" s="22" t="s">
        <v>243</v>
      </c>
      <c r="F11" s="163" t="s">
        <v>948</v>
      </c>
      <c r="G11" s="22" t="s">
        <v>248</v>
      </c>
      <c r="H11" s="163"/>
    </row>
    <row r="12" customFormat="1" ht="27.75" spans="1:10">
      <c r="A12" s="22">
        <v>2</v>
      </c>
      <c r="B12" s="18" t="s">
        <v>242</v>
      </c>
      <c r="C12" s="22" t="s">
        <v>906</v>
      </c>
      <c r="D12" s="87" t="s">
        <v>1036</v>
      </c>
      <c r="E12" s="22" t="s">
        <v>908</v>
      </c>
      <c r="F12" s="163" t="s">
        <v>1005</v>
      </c>
      <c r="G12" s="22" t="s">
        <v>248</v>
      </c>
      <c r="H12" s="163"/>
      <c r="I12" t="s">
        <v>903</v>
      </c>
      <c r="J12" s="226" t="s">
        <v>243</v>
      </c>
    </row>
    <row r="13" s="229" customFormat="1" ht="94.5" spans="1:11">
      <c r="A13" s="22">
        <v>3</v>
      </c>
      <c r="B13" s="245" t="s">
        <v>242</v>
      </c>
      <c r="C13" s="227" t="s">
        <v>910</v>
      </c>
      <c r="D13" s="227" t="s">
        <v>911</v>
      </c>
      <c r="E13" s="227" t="s">
        <v>912</v>
      </c>
      <c r="F13" s="228" t="s">
        <v>913</v>
      </c>
      <c r="G13" s="227" t="s">
        <v>303</v>
      </c>
      <c r="H13" s="228"/>
      <c r="I13" s="243" t="s">
        <v>914</v>
      </c>
      <c r="J13" s="229" t="s">
        <v>915</v>
      </c>
      <c r="K13" s="229" t="s">
        <v>365</v>
      </c>
    </row>
    <row r="14" customFormat="1" ht="27.75" spans="1:8">
      <c r="A14" s="22">
        <v>4</v>
      </c>
      <c r="B14" s="18" t="s">
        <v>242</v>
      </c>
      <c r="C14" s="22" t="s">
        <v>1037</v>
      </c>
      <c r="D14" s="87" t="s">
        <v>1037</v>
      </c>
      <c r="E14" s="22" t="s">
        <v>1038</v>
      </c>
      <c r="F14" s="22"/>
      <c r="G14" s="22" t="s">
        <v>303</v>
      </c>
      <c r="H14" s="163"/>
    </row>
    <row r="15" customFormat="1" ht="27.75" spans="1:8">
      <c r="A15" s="22">
        <v>5</v>
      </c>
      <c r="B15" s="18" t="s">
        <v>242</v>
      </c>
      <c r="C15" s="22" t="s">
        <v>1039</v>
      </c>
      <c r="D15" s="87" t="s">
        <v>1039</v>
      </c>
      <c r="E15" s="22" t="s">
        <v>1040</v>
      </c>
      <c r="F15" s="22"/>
      <c r="G15" s="22" t="s">
        <v>303</v>
      </c>
      <c r="H15" s="163"/>
    </row>
    <row r="16" customFormat="1" ht="27.75" spans="1:10">
      <c r="A16" s="22">
        <v>6</v>
      </c>
      <c r="B16" s="246" t="s">
        <v>242</v>
      </c>
      <c r="C16" s="247" t="s">
        <v>1041</v>
      </c>
      <c r="D16" s="87" t="s">
        <v>1041</v>
      </c>
      <c r="E16" s="247" t="s">
        <v>1042</v>
      </c>
      <c r="F16" s="247" t="s">
        <v>1043</v>
      </c>
      <c r="G16" s="247" t="s">
        <v>303</v>
      </c>
      <c r="H16" s="248"/>
      <c r="I16" t="s">
        <v>1044</v>
      </c>
      <c r="J16" s="249" t="s">
        <v>243</v>
      </c>
    </row>
    <row r="17" customFormat="1" ht="27.75" spans="1:10">
      <c r="A17" s="22">
        <v>7</v>
      </c>
      <c r="B17" s="18" t="s">
        <v>242</v>
      </c>
      <c r="C17" s="22" t="s">
        <v>1045</v>
      </c>
      <c r="D17" s="87" t="s">
        <v>1045</v>
      </c>
      <c r="E17" s="22" t="s">
        <v>1012</v>
      </c>
      <c r="F17" s="22"/>
      <c r="G17" s="22" t="s">
        <v>248</v>
      </c>
      <c r="H17" s="163" t="s">
        <v>1013</v>
      </c>
      <c r="I17" t="s">
        <v>979</v>
      </c>
      <c r="J17" s="166" t="s">
        <v>243</v>
      </c>
    </row>
    <row r="18" customFormat="1" ht="27.75" spans="1:8">
      <c r="A18" s="22">
        <v>8</v>
      </c>
      <c r="B18" s="18"/>
      <c r="C18" s="22" t="s">
        <v>931</v>
      </c>
      <c r="D18" s="87" t="s">
        <v>931</v>
      </c>
      <c r="E18" s="22" t="s">
        <v>932</v>
      </c>
      <c r="F18" s="22"/>
      <c r="G18" s="22" t="s">
        <v>248</v>
      </c>
      <c r="H18" s="163"/>
    </row>
    <row r="19" customFormat="1" ht="27.75" spans="1:8">
      <c r="A19" s="22">
        <v>9</v>
      </c>
      <c r="B19" s="18"/>
      <c r="C19" s="22" t="s">
        <v>1046</v>
      </c>
      <c r="D19" s="87" t="s">
        <v>1046</v>
      </c>
      <c r="E19" s="22" t="s">
        <v>1047</v>
      </c>
      <c r="F19" s="22" t="s">
        <v>1048</v>
      </c>
      <c r="G19" s="22" t="s">
        <v>282</v>
      </c>
      <c r="H19"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20.8333333333333" style="23" customWidth="1"/>
    <col min="9" max="9" width="28.375" style="23" customWidth="1"/>
    <col min="10" max="10" width="10.8333333333333" style="23"/>
    <col min="11" max="11" width="19.125" style="23" customWidth="1"/>
    <col min="12" max="16384" width="10.8333333333333" style="23"/>
  </cols>
  <sheetData>
    <row r="1" customHeight="1" spans="1:8">
      <c r="A1" s="5" t="s">
        <v>223</v>
      </c>
      <c r="B1" s="2" t="s">
        <v>1049</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1050</v>
      </c>
      <c r="F4" s="221"/>
      <c r="G4" s="221"/>
      <c r="H4" s="222"/>
    </row>
    <row r="5" customFormat="1" ht="17.25" spans="1:8">
      <c r="A5" s="22">
        <v>2</v>
      </c>
      <c r="B5" s="218" t="s">
        <v>228</v>
      </c>
      <c r="C5" s="219"/>
      <c r="D5" s="220"/>
      <c r="E5" s="31" t="s">
        <v>139</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845</v>
      </c>
      <c r="G11" s="22" t="s">
        <v>866</v>
      </c>
      <c r="H11" s="163"/>
    </row>
    <row r="12" customFormat="1" ht="27.75" spans="1:10">
      <c r="A12" s="22">
        <v>2</v>
      </c>
      <c r="B12" s="18" t="s">
        <v>242</v>
      </c>
      <c r="C12" s="22" t="s">
        <v>906</v>
      </c>
      <c r="D12" s="87" t="s">
        <v>1051</v>
      </c>
      <c r="E12" s="22" t="s">
        <v>908</v>
      </c>
      <c r="F12" s="163" t="s">
        <v>909</v>
      </c>
      <c r="G12" s="22" t="s">
        <v>867</v>
      </c>
      <c r="H12" s="163"/>
      <c r="I12" t="s">
        <v>903</v>
      </c>
      <c r="J12" s="226" t="s">
        <v>243</v>
      </c>
    </row>
    <row r="13" customFormat="1" ht="67.5" spans="1:11">
      <c r="A13" s="22">
        <v>3</v>
      </c>
      <c r="B13" s="18" t="s">
        <v>242</v>
      </c>
      <c r="C13" s="227" t="s">
        <v>910</v>
      </c>
      <c r="D13" s="227" t="s">
        <v>911</v>
      </c>
      <c r="E13" s="227" t="s">
        <v>912</v>
      </c>
      <c r="F13" s="228" t="s">
        <v>913</v>
      </c>
      <c r="G13" s="227" t="s">
        <v>867</v>
      </c>
      <c r="H13" s="228"/>
      <c r="I13" s="243" t="s">
        <v>914</v>
      </c>
      <c r="J13" s="229" t="s">
        <v>915</v>
      </c>
      <c r="K13" s="229" t="s">
        <v>365</v>
      </c>
    </row>
    <row r="14" customFormat="1" ht="86.25" spans="1:10">
      <c r="A14" s="22">
        <v>4</v>
      </c>
      <c r="B14" s="18" t="s">
        <v>242</v>
      </c>
      <c r="C14" s="22" t="s">
        <v>916</v>
      </c>
      <c r="D14" s="87" t="s">
        <v>1052</v>
      </c>
      <c r="E14" s="22" t="s">
        <v>918</v>
      </c>
      <c r="F14" s="22" t="s">
        <v>919</v>
      </c>
      <c r="G14" s="22" t="s">
        <v>874</v>
      </c>
      <c r="H14" s="163" t="s">
        <v>1053</v>
      </c>
      <c r="I14" s="244" t="s">
        <v>921</v>
      </c>
      <c r="J14" s="230" t="s">
        <v>243</v>
      </c>
    </row>
    <row r="15" customFormat="1" ht="27.75" spans="1:8">
      <c r="A15" s="22">
        <v>5</v>
      </c>
      <c r="B15" s="18" t="s">
        <v>242</v>
      </c>
      <c r="C15" s="22" t="s">
        <v>1054</v>
      </c>
      <c r="D15" s="87" t="s">
        <v>1054</v>
      </c>
      <c r="E15" s="22" t="s">
        <v>527</v>
      </c>
      <c r="F15" s="163"/>
      <c r="G15" s="22" t="s">
        <v>867</v>
      </c>
      <c r="H15" s="163"/>
    </row>
    <row r="16" customFormat="1" ht="27.75" spans="1:8">
      <c r="A16" s="22">
        <v>6</v>
      </c>
      <c r="B16" s="18"/>
      <c r="C16" s="22" t="s">
        <v>924</v>
      </c>
      <c r="D16" s="87" t="s">
        <v>924</v>
      </c>
      <c r="E16" s="22" t="s">
        <v>925</v>
      </c>
      <c r="F16" s="163"/>
      <c r="G16" s="22" t="s">
        <v>880</v>
      </c>
      <c r="H16" s="163"/>
    </row>
    <row r="17" customFormat="1" ht="27.75" spans="1:8">
      <c r="A17" s="22">
        <v>7</v>
      </c>
      <c r="B17" s="18" t="s">
        <v>242</v>
      </c>
      <c r="C17" s="22" t="s">
        <v>557</v>
      </c>
      <c r="D17" s="87" t="s">
        <v>557</v>
      </c>
      <c r="E17" s="22" t="s">
        <v>1055</v>
      </c>
      <c r="F17" s="225" t="s">
        <v>1056</v>
      </c>
      <c r="G17" s="22" t="s">
        <v>874</v>
      </c>
      <c r="H17"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16"/>
  <sheetViews>
    <sheetView zoomScale="85" zoomScaleNormal="85" workbookViewId="0">
      <selection activeCell="C14" sqref="C14:C16"/>
    </sheetView>
  </sheetViews>
  <sheetFormatPr defaultColWidth="9" defaultRowHeight="14.25"/>
  <cols>
    <col min="1" max="1" width="9" style="230"/>
    <col min="2" max="2" width="8.83333333333333" style="230" customWidth="1"/>
    <col min="3" max="4" width="23.3333333333333" style="230" customWidth="1"/>
    <col min="5" max="5" width="20" style="230" customWidth="1"/>
    <col min="6" max="7" width="28.1666666666667" style="230" customWidth="1"/>
    <col min="8" max="8" width="35.8333333333333" style="230" customWidth="1"/>
    <col min="9" max="9" width="27.6666666666667" style="230" customWidth="1"/>
    <col min="10" max="16384" width="9" style="230"/>
  </cols>
  <sheetData>
    <row r="1" spans="1:8">
      <c r="A1" s="5" t="s">
        <v>223</v>
      </c>
      <c r="B1" s="231" t="s">
        <v>140</v>
      </c>
      <c r="C1" s="232"/>
      <c r="D1" s="232"/>
      <c r="E1" s="232"/>
      <c r="F1" s="232"/>
      <c r="G1" s="232"/>
      <c r="H1" s="232"/>
    </row>
    <row r="2" spans="1:8">
      <c r="A2" s="5"/>
      <c r="B2" s="232"/>
      <c r="C2" s="232"/>
      <c r="D2" s="232"/>
      <c r="E2" s="232"/>
      <c r="F2" s="232"/>
      <c r="G2" s="232"/>
      <c r="H2" s="232"/>
    </row>
    <row r="3" ht="17.25" spans="1:8">
      <c r="A3" s="143" t="s">
        <v>225</v>
      </c>
      <c r="B3" s="144"/>
      <c r="C3" s="144"/>
      <c r="D3" s="144"/>
      <c r="E3" s="144"/>
      <c r="F3" s="144"/>
      <c r="G3" s="144"/>
      <c r="H3" s="145"/>
    </row>
    <row r="4" ht="17.25" spans="1:8">
      <c r="A4" s="139">
        <v>1</v>
      </c>
      <c r="B4" s="146" t="s">
        <v>226</v>
      </c>
      <c r="C4" s="147"/>
      <c r="D4" s="148"/>
      <c r="E4" s="149" t="s">
        <v>1057</v>
      </c>
      <c r="F4" s="150"/>
      <c r="G4" s="150"/>
      <c r="H4" s="151"/>
    </row>
    <row r="5" ht="17.25" spans="1:8">
      <c r="A5" s="139">
        <v>2</v>
      </c>
      <c r="B5" s="146" t="s">
        <v>228</v>
      </c>
      <c r="C5" s="147"/>
      <c r="D5" s="148"/>
      <c r="E5" s="149" t="s">
        <v>140</v>
      </c>
      <c r="F5" s="150"/>
      <c r="G5" s="150"/>
      <c r="H5" s="151"/>
    </row>
    <row r="6" ht="17.25" spans="1:8">
      <c r="A6" s="139">
        <v>3</v>
      </c>
      <c r="B6" s="146" t="s">
        <v>229</v>
      </c>
      <c r="C6" s="147"/>
      <c r="D6" s="148"/>
      <c r="E6" s="149"/>
      <c r="F6" s="150"/>
      <c r="G6" s="150"/>
      <c r="H6" s="151"/>
    </row>
    <row r="7" ht="17.25" spans="1:8">
      <c r="A7" s="139">
        <v>4</v>
      </c>
      <c r="B7" s="146" t="s">
        <v>231</v>
      </c>
      <c r="C7" s="147"/>
      <c r="D7" s="148"/>
      <c r="E7" s="149"/>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7.75" spans="1:8">
      <c r="A11" s="139">
        <v>1</v>
      </c>
      <c r="B11" s="234" t="s">
        <v>242</v>
      </c>
      <c r="C11" s="139" t="s">
        <v>243</v>
      </c>
      <c r="D11" s="87" t="s">
        <v>243</v>
      </c>
      <c r="E11" s="139" t="s">
        <v>243</v>
      </c>
      <c r="F11" s="157" t="s">
        <v>845</v>
      </c>
      <c r="G11" s="139" t="s">
        <v>248</v>
      </c>
      <c r="H11" s="157"/>
    </row>
    <row r="12" ht="67.5" spans="1:11">
      <c r="A12" s="139">
        <v>2</v>
      </c>
      <c r="B12" s="234" t="s">
        <v>242</v>
      </c>
      <c r="C12" s="227" t="s">
        <v>910</v>
      </c>
      <c r="D12" s="227" t="s">
        <v>911</v>
      </c>
      <c r="E12" s="227" t="s">
        <v>912</v>
      </c>
      <c r="F12" s="235" t="s">
        <v>913</v>
      </c>
      <c r="G12" s="227" t="s">
        <v>1058</v>
      </c>
      <c r="H12" s="235"/>
      <c r="I12" s="243" t="s">
        <v>914</v>
      </c>
      <c r="J12" s="229" t="s">
        <v>915</v>
      </c>
      <c r="K12" s="229" t="s">
        <v>365</v>
      </c>
    </row>
    <row r="13" ht="86.25" spans="1:10">
      <c r="A13" s="139">
        <v>3</v>
      </c>
      <c r="B13" s="234" t="s">
        <v>242</v>
      </c>
      <c r="C13" s="139" t="s">
        <v>916</v>
      </c>
      <c r="D13" s="87" t="s">
        <v>1052</v>
      </c>
      <c r="E13" s="139" t="s">
        <v>918</v>
      </c>
      <c r="F13" s="139" t="s">
        <v>919</v>
      </c>
      <c r="G13" s="139" t="s">
        <v>1059</v>
      </c>
      <c r="H13" s="157" t="s">
        <v>921</v>
      </c>
      <c r="I13" s="244" t="s">
        <v>921</v>
      </c>
      <c r="J13" s="230" t="s">
        <v>243</v>
      </c>
    </row>
    <row r="14" ht="27.75" spans="1:8">
      <c r="A14" s="139">
        <v>4</v>
      </c>
      <c r="B14" s="234" t="s">
        <v>242</v>
      </c>
      <c r="C14" s="139" t="s">
        <v>1054</v>
      </c>
      <c r="D14" s="87" t="s">
        <v>1054</v>
      </c>
      <c r="E14" s="139" t="s">
        <v>527</v>
      </c>
      <c r="F14" s="157"/>
      <c r="G14" s="139" t="s">
        <v>1058</v>
      </c>
      <c r="H14" s="157"/>
    </row>
    <row r="15" ht="27.75" spans="1:8">
      <c r="A15" s="139">
        <v>5</v>
      </c>
      <c r="B15" s="234"/>
      <c r="C15" s="139" t="s">
        <v>924</v>
      </c>
      <c r="D15" s="87" t="s">
        <v>924</v>
      </c>
      <c r="E15" s="139" t="s">
        <v>925</v>
      </c>
      <c r="F15" s="157"/>
      <c r="G15" s="139" t="s">
        <v>306</v>
      </c>
      <c r="H15" s="157"/>
    </row>
    <row r="16" ht="27.75" spans="1:8">
      <c r="A16" s="139">
        <v>6</v>
      </c>
      <c r="B16" s="234" t="s">
        <v>242</v>
      </c>
      <c r="C16" s="139" t="s">
        <v>557</v>
      </c>
      <c r="D16" s="87" t="s">
        <v>557</v>
      </c>
      <c r="E16" s="139" t="s">
        <v>416</v>
      </c>
      <c r="F16" s="242" t="s">
        <v>1056</v>
      </c>
      <c r="G16" s="139" t="s">
        <v>359</v>
      </c>
      <c r="H16" s="15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selection activeCell="E14" sqref="E14"/>
    </sheetView>
  </sheetViews>
  <sheetFormatPr defaultColWidth="9" defaultRowHeight="14.25"/>
  <cols>
    <col min="1" max="2" width="6" style="230" customWidth="1"/>
    <col min="3" max="4" width="18.3333333333333" style="230" customWidth="1"/>
    <col min="5" max="5" width="19.8333333333333" style="230" customWidth="1"/>
    <col min="6" max="6" width="22.8333333333333" style="230" customWidth="1"/>
    <col min="7" max="7" width="24.8333333333333" style="230" customWidth="1"/>
    <col min="8" max="8" width="26.3333333333333" style="230" customWidth="1"/>
    <col min="9" max="9" width="15" style="230" customWidth="1"/>
    <col min="10" max="16384" width="9" style="230"/>
  </cols>
  <sheetData>
    <row r="1" spans="1:8">
      <c r="A1" s="5" t="s">
        <v>223</v>
      </c>
      <c r="B1" s="231" t="s">
        <v>141</v>
      </c>
      <c r="C1" s="232"/>
      <c r="D1" s="232"/>
      <c r="E1" s="232"/>
      <c r="F1" s="232"/>
      <c r="G1" s="232"/>
      <c r="H1" s="232"/>
    </row>
    <row r="2" spans="1:8">
      <c r="A2" s="5"/>
      <c r="B2" s="232"/>
      <c r="C2" s="232"/>
      <c r="D2" s="232"/>
      <c r="E2" s="232"/>
      <c r="F2" s="232"/>
      <c r="G2" s="232"/>
      <c r="H2" s="232"/>
    </row>
    <row r="3" ht="17.25" spans="1:8">
      <c r="A3" s="143" t="s">
        <v>225</v>
      </c>
      <c r="B3" s="144"/>
      <c r="C3" s="144"/>
      <c r="D3" s="144"/>
      <c r="E3" s="144"/>
      <c r="F3" s="144"/>
      <c r="G3" s="144"/>
      <c r="H3" s="145"/>
    </row>
    <row r="4" ht="17.25" spans="1:8">
      <c r="A4" s="139">
        <v>1</v>
      </c>
      <c r="B4" s="146" t="s">
        <v>226</v>
      </c>
      <c r="C4" s="147"/>
      <c r="D4" s="148"/>
      <c r="E4" s="149" t="s">
        <v>1044</v>
      </c>
      <c r="F4" s="150"/>
      <c r="G4" s="150"/>
      <c r="H4" s="151"/>
    </row>
    <row r="5" ht="17.25" spans="1:8">
      <c r="A5" s="139">
        <v>2</v>
      </c>
      <c r="B5" s="146" t="s">
        <v>228</v>
      </c>
      <c r="C5" s="147"/>
      <c r="D5" s="148"/>
      <c r="E5" s="149" t="s">
        <v>1060</v>
      </c>
      <c r="F5" s="150"/>
      <c r="G5" s="150"/>
      <c r="H5" s="151"/>
    </row>
    <row r="6" ht="17.25" spans="1:8">
      <c r="A6" s="139">
        <v>3</v>
      </c>
      <c r="B6" s="146" t="s">
        <v>229</v>
      </c>
      <c r="C6" s="147"/>
      <c r="D6" s="148"/>
      <c r="E6" s="149"/>
      <c r="F6" s="150"/>
      <c r="G6" s="150"/>
      <c r="H6" s="151"/>
    </row>
    <row r="7" ht="17.25" spans="1:8">
      <c r="A7" s="139">
        <v>4</v>
      </c>
      <c r="B7" s="146" t="s">
        <v>231</v>
      </c>
      <c r="C7" s="147"/>
      <c r="D7" s="148"/>
      <c r="E7" s="149"/>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7.75" spans="1:8">
      <c r="A11" s="139">
        <v>1</v>
      </c>
      <c r="B11" s="234" t="s">
        <v>242</v>
      </c>
      <c r="C11" s="139" t="s">
        <v>243</v>
      </c>
      <c r="D11" s="87" t="s">
        <v>243</v>
      </c>
      <c r="E11" s="139" t="s">
        <v>243</v>
      </c>
      <c r="F11" s="157" t="s">
        <v>948</v>
      </c>
      <c r="G11" s="139" t="s">
        <v>248</v>
      </c>
      <c r="H11" s="157"/>
    </row>
    <row r="12" ht="27.75" spans="1:8">
      <c r="A12" s="139">
        <v>2</v>
      </c>
      <c r="B12" s="234" t="s">
        <v>242</v>
      </c>
      <c r="C12" s="139" t="s">
        <v>1061</v>
      </c>
      <c r="D12" s="87" t="s">
        <v>1062</v>
      </c>
      <c r="E12" s="139" t="s">
        <v>983</v>
      </c>
      <c r="F12" s="157" t="s">
        <v>1063</v>
      </c>
      <c r="G12" s="139" t="s">
        <v>248</v>
      </c>
      <c r="H12" s="157"/>
    </row>
    <row r="13" ht="27.75" spans="1:8">
      <c r="A13" s="139">
        <v>3</v>
      </c>
      <c r="B13" s="234" t="s">
        <v>242</v>
      </c>
      <c r="C13" s="139" t="s">
        <v>974</v>
      </c>
      <c r="D13" s="87" t="s">
        <v>1064</v>
      </c>
      <c r="E13" s="139" t="s">
        <v>365</v>
      </c>
      <c r="F13" s="157" t="s">
        <v>1065</v>
      </c>
      <c r="G13" s="139" t="s">
        <v>303</v>
      </c>
      <c r="H13" s="157"/>
    </row>
    <row r="14" ht="27.75" spans="1:8">
      <c r="A14" s="139">
        <v>4</v>
      </c>
      <c r="B14" s="234" t="s">
        <v>242</v>
      </c>
      <c r="C14" s="139" t="s">
        <v>1066</v>
      </c>
      <c r="D14" s="87" t="s">
        <v>1067</v>
      </c>
      <c r="E14" s="139" t="s">
        <v>1068</v>
      </c>
      <c r="F14" s="157" t="s">
        <v>1066</v>
      </c>
      <c r="G14" s="139" t="s">
        <v>303</v>
      </c>
      <c r="H14" s="157"/>
    </row>
    <row r="15" ht="27.75" spans="1:10">
      <c r="A15" s="139">
        <v>5</v>
      </c>
      <c r="B15" s="234"/>
      <c r="C15" s="139" t="s">
        <v>1069</v>
      </c>
      <c r="D15" s="87" t="s">
        <v>1070</v>
      </c>
      <c r="E15" s="139" t="s">
        <v>1071</v>
      </c>
      <c r="F15" s="157"/>
      <c r="G15" s="139" t="s">
        <v>564</v>
      </c>
      <c r="H15" s="157"/>
      <c r="I15" s="217" t="s">
        <v>535</v>
      </c>
      <c r="J15" s="230" t="s">
        <v>243</v>
      </c>
    </row>
    <row r="16" ht="27.75" spans="1:8">
      <c r="A16" s="139">
        <v>6</v>
      </c>
      <c r="B16" s="234" t="s">
        <v>242</v>
      </c>
      <c r="C16" s="139" t="s">
        <v>556</v>
      </c>
      <c r="D16" s="87" t="s">
        <v>557</v>
      </c>
      <c r="E16" s="139" t="s">
        <v>416</v>
      </c>
      <c r="F16" s="157" t="s">
        <v>961</v>
      </c>
      <c r="G16" s="139" t="s">
        <v>359</v>
      </c>
      <c r="H16" s="157"/>
    </row>
    <row r="17" ht="27.75" spans="1:8">
      <c r="A17" s="139">
        <v>7</v>
      </c>
      <c r="B17" s="234"/>
      <c r="C17" s="139" t="s">
        <v>558</v>
      </c>
      <c r="D17" s="87" t="s">
        <v>558</v>
      </c>
      <c r="E17" s="139" t="s">
        <v>560</v>
      </c>
      <c r="F17" s="157"/>
      <c r="G17" s="139" t="s">
        <v>421</v>
      </c>
      <c r="H17" s="15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I17" sqref="I17"/>
    </sheetView>
  </sheetViews>
  <sheetFormatPr defaultColWidth="9" defaultRowHeight="14.25"/>
  <cols>
    <col min="1" max="2" width="6" style="230" customWidth="1"/>
    <col min="3" max="4" width="21" style="230" customWidth="1"/>
    <col min="5" max="5" width="20.6666666666667" style="230" customWidth="1"/>
    <col min="6" max="6" width="21.3333333333333" style="230" customWidth="1"/>
    <col min="7" max="7" width="24" style="230" customWidth="1"/>
    <col min="8" max="8" width="39" style="230" customWidth="1"/>
    <col min="9" max="9" width="22" style="230" customWidth="1"/>
    <col min="10" max="16384" width="9" style="230"/>
  </cols>
  <sheetData>
    <row r="1" spans="1:8">
      <c r="A1" s="5" t="s">
        <v>223</v>
      </c>
      <c r="B1" s="231" t="s">
        <v>142</v>
      </c>
      <c r="C1" s="232"/>
      <c r="D1" s="232"/>
      <c r="E1" s="232"/>
      <c r="F1" s="232"/>
      <c r="G1" s="232"/>
      <c r="H1" s="232"/>
    </row>
    <row r="2" spans="1:8">
      <c r="A2" s="5"/>
      <c r="B2" s="232"/>
      <c r="C2" s="232"/>
      <c r="D2" s="232"/>
      <c r="E2" s="232"/>
      <c r="F2" s="232"/>
      <c r="G2" s="232"/>
      <c r="H2" s="232"/>
    </row>
    <row r="3" ht="17.25" spans="1:8">
      <c r="A3" s="143" t="s">
        <v>225</v>
      </c>
      <c r="B3" s="144"/>
      <c r="C3" s="144"/>
      <c r="D3" s="144"/>
      <c r="E3" s="144"/>
      <c r="F3" s="144"/>
      <c r="G3" s="144"/>
      <c r="H3" s="145"/>
    </row>
    <row r="4" ht="17.25" spans="1:8">
      <c r="A4" s="139">
        <v>1</v>
      </c>
      <c r="B4" s="146" t="s">
        <v>226</v>
      </c>
      <c r="C4" s="147"/>
      <c r="D4" s="148"/>
      <c r="E4" s="149" t="s">
        <v>1072</v>
      </c>
      <c r="F4" s="150"/>
      <c r="G4" s="150"/>
      <c r="H4" s="151"/>
    </row>
    <row r="5" ht="17.25" spans="1:8">
      <c r="A5" s="139">
        <v>2</v>
      </c>
      <c r="B5" s="146" t="s">
        <v>228</v>
      </c>
      <c r="C5" s="147"/>
      <c r="D5" s="148"/>
      <c r="E5" s="149" t="s">
        <v>142</v>
      </c>
      <c r="F5" s="150"/>
      <c r="G5" s="150"/>
      <c r="H5" s="151"/>
    </row>
    <row r="6" ht="17.25" spans="1:8">
      <c r="A6" s="139">
        <v>3</v>
      </c>
      <c r="B6" s="146" t="s">
        <v>229</v>
      </c>
      <c r="C6" s="147"/>
      <c r="D6" s="148"/>
      <c r="E6" s="149"/>
      <c r="F6" s="150"/>
      <c r="G6" s="150"/>
      <c r="H6" s="151"/>
    </row>
    <row r="7" ht="17.25" spans="1:8">
      <c r="A7" s="139">
        <v>4</v>
      </c>
      <c r="B7" s="146" t="s">
        <v>231</v>
      </c>
      <c r="C7" s="147"/>
      <c r="D7" s="148"/>
      <c r="E7" s="149"/>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7.75" spans="1:8">
      <c r="A11" s="139">
        <v>1</v>
      </c>
      <c r="B11" s="234" t="s">
        <v>242</v>
      </c>
      <c r="C11" s="139" t="s">
        <v>243</v>
      </c>
      <c r="D11" s="87" t="s">
        <v>243</v>
      </c>
      <c r="E11" s="139" t="s">
        <v>243</v>
      </c>
      <c r="F11" s="157" t="s">
        <v>845</v>
      </c>
      <c r="G11" s="139" t="s">
        <v>248</v>
      </c>
      <c r="H11" s="157"/>
    </row>
    <row r="12" ht="27.75" spans="1:8">
      <c r="A12" s="139">
        <v>2</v>
      </c>
      <c r="B12" s="234" t="s">
        <v>242</v>
      </c>
      <c r="C12" s="139" t="s">
        <v>1073</v>
      </c>
      <c r="D12" s="87" t="s">
        <v>1074</v>
      </c>
      <c r="E12" s="139" t="s">
        <v>983</v>
      </c>
      <c r="F12" s="157" t="s">
        <v>1074</v>
      </c>
      <c r="G12" s="139" t="s">
        <v>1058</v>
      </c>
      <c r="H12" s="157"/>
    </row>
    <row r="13" ht="27.75" spans="1:8">
      <c r="A13" s="139">
        <v>3</v>
      </c>
      <c r="B13" s="234" t="s">
        <v>242</v>
      </c>
      <c r="C13" s="139" t="s">
        <v>1075</v>
      </c>
      <c r="D13" s="87" t="s">
        <v>1076</v>
      </c>
      <c r="E13" s="139" t="s">
        <v>365</v>
      </c>
      <c r="F13" s="157" t="s">
        <v>1076</v>
      </c>
      <c r="G13" s="139" t="s">
        <v>1058</v>
      </c>
      <c r="H13" s="157"/>
    </row>
    <row r="14" ht="27.75" spans="1:8">
      <c r="A14" s="139">
        <v>4</v>
      </c>
      <c r="B14" s="234"/>
      <c r="C14" s="139" t="s">
        <v>1077</v>
      </c>
      <c r="D14" s="87" t="s">
        <v>1077</v>
      </c>
      <c r="E14" s="139" t="s">
        <v>1078</v>
      </c>
      <c r="F14" s="139" t="s">
        <v>1079</v>
      </c>
      <c r="G14" s="139" t="s">
        <v>1059</v>
      </c>
      <c r="H14" s="157"/>
    </row>
    <row r="15" ht="27.75" spans="1:8">
      <c r="A15" s="139">
        <v>5</v>
      </c>
      <c r="B15" s="234"/>
      <c r="C15" s="139" t="s">
        <v>1080</v>
      </c>
      <c r="D15" s="87" t="s">
        <v>1080</v>
      </c>
      <c r="E15" s="139" t="s">
        <v>1081</v>
      </c>
      <c r="F15" s="139" t="s">
        <v>1082</v>
      </c>
      <c r="G15" s="139" t="s">
        <v>1058</v>
      </c>
      <c r="H15" s="157"/>
    </row>
    <row r="16" ht="27.75" spans="1:8">
      <c r="A16" s="139">
        <v>6</v>
      </c>
      <c r="B16" s="234" t="s">
        <v>242</v>
      </c>
      <c r="C16" s="139" t="s">
        <v>1083</v>
      </c>
      <c r="D16" s="87" t="s">
        <v>1084</v>
      </c>
      <c r="E16" s="139" t="s">
        <v>999</v>
      </c>
      <c r="F16" s="242" t="s">
        <v>1085</v>
      </c>
      <c r="G16" s="139" t="s">
        <v>322</v>
      </c>
      <c r="H16" s="157"/>
    </row>
    <row r="17" ht="27.75" spans="1:10">
      <c r="A17" s="139">
        <v>7</v>
      </c>
      <c r="B17" s="234" t="s">
        <v>242</v>
      </c>
      <c r="C17" s="139" t="s">
        <v>1086</v>
      </c>
      <c r="D17" s="87" t="s">
        <v>1087</v>
      </c>
      <c r="E17" s="139" t="s">
        <v>1088</v>
      </c>
      <c r="F17" s="242" t="s">
        <v>1089</v>
      </c>
      <c r="G17" s="139" t="s">
        <v>322</v>
      </c>
      <c r="H17" s="157"/>
      <c r="I17" s="230" t="s">
        <v>1044</v>
      </c>
      <c r="J17" s="230" t="s">
        <v>243</v>
      </c>
    </row>
    <row r="18" ht="27.75" spans="1:8">
      <c r="A18" s="139">
        <v>8</v>
      </c>
      <c r="B18" s="234" t="s">
        <v>242</v>
      </c>
      <c r="C18" s="139" t="s">
        <v>556</v>
      </c>
      <c r="D18" s="87" t="s">
        <v>556</v>
      </c>
      <c r="E18" s="139" t="s">
        <v>416</v>
      </c>
      <c r="F18" s="157" t="s">
        <v>961</v>
      </c>
      <c r="G18" s="139" t="s">
        <v>359</v>
      </c>
      <c r="H18" s="15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workbookViewId="0">
      <selection activeCell="A17" sqref="$A17:$XFD267"/>
    </sheetView>
  </sheetViews>
  <sheetFormatPr defaultColWidth="9" defaultRowHeight="14.25"/>
  <cols>
    <col min="1" max="2" width="6" style="230" customWidth="1"/>
    <col min="3" max="4" width="19.8333333333333" style="230" customWidth="1"/>
    <col min="5" max="5" width="23.8333333333333" style="230" customWidth="1"/>
    <col min="6" max="6" width="30.3333333333333" style="230" customWidth="1"/>
    <col min="7" max="7" width="25.3333333333333" style="230" customWidth="1"/>
    <col min="8" max="8" width="40.5" style="230" customWidth="1"/>
    <col min="9" max="9" width="19.6666666666667" style="230" customWidth="1"/>
    <col min="10" max="10" width="9" style="230"/>
    <col min="11" max="11" width="16.625" style="230" customWidth="1"/>
    <col min="12" max="16384" width="9" style="230"/>
  </cols>
  <sheetData>
    <row r="1" spans="1:8">
      <c r="A1" s="5" t="s">
        <v>223</v>
      </c>
      <c r="B1" s="231" t="s">
        <v>143</v>
      </c>
      <c r="C1" s="232"/>
      <c r="D1" s="232"/>
      <c r="E1" s="232"/>
      <c r="F1" s="232"/>
      <c r="G1" s="232"/>
      <c r="H1" s="232"/>
    </row>
    <row r="2" spans="1:8">
      <c r="A2" s="5"/>
      <c r="B2" s="232"/>
      <c r="C2" s="232"/>
      <c r="D2" s="232"/>
      <c r="E2" s="232"/>
      <c r="F2" s="232"/>
      <c r="G2" s="232"/>
      <c r="H2" s="232"/>
    </row>
    <row r="3" ht="17.25" spans="1:8">
      <c r="A3" s="143" t="s">
        <v>225</v>
      </c>
      <c r="B3" s="144"/>
      <c r="C3" s="144"/>
      <c r="D3" s="144"/>
      <c r="E3" s="144"/>
      <c r="F3" s="144"/>
      <c r="G3" s="144"/>
      <c r="H3" s="145"/>
    </row>
    <row r="4" ht="17.25" spans="1:8">
      <c r="A4" s="139">
        <v>1</v>
      </c>
      <c r="B4" s="146" t="s">
        <v>226</v>
      </c>
      <c r="C4" s="147"/>
      <c r="D4" s="148"/>
      <c r="E4" s="149" t="s">
        <v>1090</v>
      </c>
      <c r="F4" s="150"/>
      <c r="G4" s="150"/>
      <c r="H4" s="151"/>
    </row>
    <row r="5" ht="17.25" spans="1:8">
      <c r="A5" s="139">
        <v>2</v>
      </c>
      <c r="B5" s="146" t="s">
        <v>228</v>
      </c>
      <c r="C5" s="147"/>
      <c r="D5" s="148"/>
      <c r="E5" s="149" t="s">
        <v>1091</v>
      </c>
      <c r="F5" s="150"/>
      <c r="G5" s="150"/>
      <c r="H5" s="151"/>
    </row>
    <row r="6" ht="17.25" spans="1:8">
      <c r="A6" s="139">
        <v>3</v>
      </c>
      <c r="B6" s="146" t="s">
        <v>229</v>
      </c>
      <c r="C6" s="147"/>
      <c r="D6" s="148"/>
      <c r="E6" s="149"/>
      <c r="F6" s="150"/>
      <c r="G6" s="150"/>
      <c r="H6" s="151"/>
    </row>
    <row r="7" ht="17.25" spans="1:8">
      <c r="A7" s="139">
        <v>4</v>
      </c>
      <c r="B7" s="146" t="s">
        <v>231</v>
      </c>
      <c r="C7" s="147"/>
      <c r="D7" s="148"/>
      <c r="E7" s="149"/>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7.75" spans="1:8">
      <c r="A11" s="139">
        <v>1</v>
      </c>
      <c r="B11" s="234" t="s">
        <v>242</v>
      </c>
      <c r="C11" s="139" t="s">
        <v>243</v>
      </c>
      <c r="D11" s="87" t="s">
        <v>243</v>
      </c>
      <c r="E11" s="139" t="s">
        <v>243</v>
      </c>
      <c r="F11" s="157" t="s">
        <v>948</v>
      </c>
      <c r="G11" s="139" t="s">
        <v>248</v>
      </c>
      <c r="H11" s="157"/>
    </row>
    <row r="12" ht="27.75" spans="1:8">
      <c r="A12" s="139">
        <v>2</v>
      </c>
      <c r="B12" s="234" t="s">
        <v>242</v>
      </c>
      <c r="C12" s="139" t="s">
        <v>1092</v>
      </c>
      <c r="D12" s="87" t="s">
        <v>1092</v>
      </c>
      <c r="E12" s="139" t="s">
        <v>983</v>
      </c>
      <c r="F12" s="139" t="s">
        <v>1093</v>
      </c>
      <c r="G12" s="139" t="s">
        <v>248</v>
      </c>
      <c r="H12" s="157"/>
    </row>
    <row r="13" ht="27.75" spans="1:8">
      <c r="A13" s="139">
        <v>3</v>
      </c>
      <c r="B13" s="234" t="s">
        <v>242</v>
      </c>
      <c r="C13" s="139" t="s">
        <v>1094</v>
      </c>
      <c r="D13" s="87" t="s">
        <v>1094</v>
      </c>
      <c r="E13" s="139" t="s">
        <v>365</v>
      </c>
      <c r="F13" s="139" t="s">
        <v>1094</v>
      </c>
      <c r="G13" s="139" t="s">
        <v>303</v>
      </c>
      <c r="H13" s="157"/>
    </row>
    <row r="14" ht="27.75" spans="1:10">
      <c r="A14" s="139">
        <v>4</v>
      </c>
      <c r="B14" s="234"/>
      <c r="C14" s="139" t="s">
        <v>1095</v>
      </c>
      <c r="D14" s="87" t="s">
        <v>1095</v>
      </c>
      <c r="E14" s="139" t="s">
        <v>1096</v>
      </c>
      <c r="F14" s="139" t="s">
        <v>1097</v>
      </c>
      <c r="G14" s="139" t="s">
        <v>248</v>
      </c>
      <c r="H14" s="157"/>
      <c r="I14" s="230" t="s">
        <v>1072</v>
      </c>
      <c r="J14" s="230" t="s">
        <v>243</v>
      </c>
    </row>
    <row r="15" ht="27.75" spans="1:8">
      <c r="A15" s="139">
        <v>5</v>
      </c>
      <c r="B15" s="234" t="s">
        <v>242</v>
      </c>
      <c r="C15" s="139" t="s">
        <v>556</v>
      </c>
      <c r="D15" s="87" t="s">
        <v>556</v>
      </c>
      <c r="E15" s="139" t="s">
        <v>416</v>
      </c>
      <c r="F15" s="157" t="s">
        <v>961</v>
      </c>
      <c r="G15" s="139" t="s">
        <v>359</v>
      </c>
      <c r="H15" s="157"/>
    </row>
    <row r="16" ht="27.75" spans="1:11">
      <c r="A16" s="139">
        <v>6</v>
      </c>
      <c r="B16" s="234"/>
      <c r="C16" s="139" t="s">
        <v>1098</v>
      </c>
      <c r="D16" s="87" t="s">
        <v>1098</v>
      </c>
      <c r="E16" s="139" t="s">
        <v>1099</v>
      </c>
      <c r="F16" s="157" t="s">
        <v>1100</v>
      </c>
      <c r="G16" s="139" t="s">
        <v>564</v>
      </c>
      <c r="H16" s="157"/>
      <c r="I16" s="230" t="s">
        <v>264</v>
      </c>
      <c r="J16" s="230" t="s">
        <v>265</v>
      </c>
      <c r="K16" s="230" t="s">
        <v>1099</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18"/>
  <sheetViews>
    <sheetView workbookViewId="0">
      <selection activeCell="H22" sqref="$A1:$XFD1048576"/>
    </sheetView>
  </sheetViews>
  <sheetFormatPr defaultColWidth="9" defaultRowHeight="14.25"/>
  <cols>
    <col min="1" max="1" width="9" style="230"/>
    <col min="2" max="2" width="6" style="230" customWidth="1"/>
    <col min="3" max="4" width="17.6666666666667" style="230" customWidth="1"/>
    <col min="5" max="5" width="19.1666666666667" style="230" customWidth="1"/>
    <col min="6" max="6" width="43.5" style="230" customWidth="1"/>
    <col min="7" max="7" width="22.1666666666667" style="230" customWidth="1"/>
    <col min="8" max="8" width="38.1666666666667" style="230" customWidth="1"/>
    <col min="9" max="9" width="19.6666666666667" style="230" customWidth="1"/>
    <col min="10" max="10" width="9" style="230"/>
    <col min="11" max="11" width="19.75" style="230" customWidth="1"/>
    <col min="12" max="16384" width="9" style="230"/>
  </cols>
  <sheetData>
    <row r="1" spans="1:8">
      <c r="A1" s="5" t="s">
        <v>223</v>
      </c>
      <c r="B1" s="231" t="s">
        <v>144</v>
      </c>
      <c r="C1" s="232"/>
      <c r="D1" s="232"/>
      <c r="E1" s="232"/>
      <c r="F1" s="232"/>
      <c r="G1" s="232"/>
      <c r="H1" s="232"/>
    </row>
    <row r="2" spans="1:8">
      <c r="A2" s="5"/>
      <c r="B2" s="232"/>
      <c r="C2" s="232"/>
      <c r="D2" s="232"/>
      <c r="E2" s="232"/>
      <c r="F2" s="232"/>
      <c r="G2" s="232"/>
      <c r="H2" s="232"/>
    </row>
    <row r="3" ht="17.25" spans="1:8">
      <c r="A3" s="143" t="s">
        <v>225</v>
      </c>
      <c r="B3" s="144"/>
      <c r="C3" s="144"/>
      <c r="D3" s="144"/>
      <c r="E3" s="144"/>
      <c r="F3" s="144"/>
      <c r="G3" s="144"/>
      <c r="H3" s="145"/>
    </row>
    <row r="4" ht="17.25" spans="1:8">
      <c r="A4" s="139">
        <v>1</v>
      </c>
      <c r="B4" s="146" t="s">
        <v>226</v>
      </c>
      <c r="C4" s="147"/>
      <c r="D4" s="148"/>
      <c r="E4" s="149" t="s">
        <v>1101</v>
      </c>
      <c r="F4" s="150"/>
      <c r="G4" s="150"/>
      <c r="H4" s="151"/>
    </row>
    <row r="5" ht="17.25" spans="1:8">
      <c r="A5" s="139">
        <v>2</v>
      </c>
      <c r="B5" s="146" t="s">
        <v>228</v>
      </c>
      <c r="C5" s="147"/>
      <c r="D5" s="148"/>
      <c r="E5" s="149" t="s">
        <v>144</v>
      </c>
      <c r="F5" s="150"/>
      <c r="G5" s="150"/>
      <c r="H5" s="151"/>
    </row>
    <row r="6" ht="17.25" spans="1:8">
      <c r="A6" s="139">
        <v>3</v>
      </c>
      <c r="B6" s="146" t="s">
        <v>229</v>
      </c>
      <c r="C6" s="147"/>
      <c r="D6" s="148"/>
      <c r="E6" s="149"/>
      <c r="F6" s="150"/>
      <c r="G6" s="150"/>
      <c r="H6" s="151"/>
    </row>
    <row r="7" ht="17.25" spans="1:8">
      <c r="A7" s="139">
        <v>4</v>
      </c>
      <c r="B7" s="146" t="s">
        <v>231</v>
      </c>
      <c r="C7" s="147"/>
      <c r="D7" s="148"/>
      <c r="E7" s="149"/>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152" t="s">
        <v>237</v>
      </c>
      <c r="E10" s="152" t="s">
        <v>238</v>
      </c>
      <c r="F10" s="153" t="s">
        <v>239</v>
      </c>
      <c r="G10" s="152" t="s">
        <v>240</v>
      </c>
      <c r="H10" s="153" t="s">
        <v>241</v>
      </c>
    </row>
    <row r="11" ht="27.75" spans="1:8">
      <c r="A11" s="139">
        <v>1</v>
      </c>
      <c r="B11" s="234" t="s">
        <v>242</v>
      </c>
      <c r="C11" s="139" t="s">
        <v>243</v>
      </c>
      <c r="D11" s="87" t="s">
        <v>243</v>
      </c>
      <c r="E11" s="139" t="s">
        <v>243</v>
      </c>
      <c r="F11" s="157" t="s">
        <v>948</v>
      </c>
      <c r="G11" s="139" t="s">
        <v>248</v>
      </c>
      <c r="H11" s="157"/>
    </row>
    <row r="12" ht="27.75" spans="1:9">
      <c r="A12" s="139">
        <v>2</v>
      </c>
      <c r="B12" s="234" t="s">
        <v>242</v>
      </c>
      <c r="C12" s="227" t="s">
        <v>910</v>
      </c>
      <c r="D12" s="227" t="s">
        <v>911</v>
      </c>
      <c r="E12" s="227" t="s">
        <v>912</v>
      </c>
      <c r="F12" s="235" t="s">
        <v>913</v>
      </c>
      <c r="G12" s="227" t="s">
        <v>303</v>
      </c>
      <c r="H12" s="235"/>
      <c r="I12" s="241"/>
    </row>
    <row r="13" ht="27.75" spans="1:8">
      <c r="A13" s="139">
        <v>3</v>
      </c>
      <c r="B13" s="234" t="s">
        <v>242</v>
      </c>
      <c r="C13" s="139" t="s">
        <v>1037</v>
      </c>
      <c r="D13" s="87" t="s">
        <v>1102</v>
      </c>
      <c r="E13" s="139" t="s">
        <v>1038</v>
      </c>
      <c r="F13" s="139"/>
      <c r="G13" s="139" t="s">
        <v>303</v>
      </c>
      <c r="H13" s="157"/>
    </row>
    <row r="14" ht="51.75" spans="1:8">
      <c r="A14" s="139">
        <v>4</v>
      </c>
      <c r="B14" s="234" t="s">
        <v>242</v>
      </c>
      <c r="C14" s="139" t="s">
        <v>1103</v>
      </c>
      <c r="D14" s="87" t="s">
        <v>1084</v>
      </c>
      <c r="E14" s="139" t="s">
        <v>1040</v>
      </c>
      <c r="F14" s="139" t="s">
        <v>1104</v>
      </c>
      <c r="G14" s="139" t="s">
        <v>303</v>
      </c>
      <c r="H14" s="157"/>
    </row>
    <row r="15" ht="27.75" spans="1:10">
      <c r="A15" s="139">
        <v>5</v>
      </c>
      <c r="B15" s="236" t="s">
        <v>242</v>
      </c>
      <c r="C15" s="237" t="s">
        <v>1105</v>
      </c>
      <c r="D15" s="87" t="s">
        <v>1074</v>
      </c>
      <c r="E15" s="237" t="s">
        <v>1096</v>
      </c>
      <c r="F15" s="237" t="s">
        <v>1106</v>
      </c>
      <c r="G15" s="237" t="s">
        <v>303</v>
      </c>
      <c r="H15" s="238"/>
      <c r="I15" s="230" t="s">
        <v>1072</v>
      </c>
      <c r="J15" s="230" t="s">
        <v>243</v>
      </c>
    </row>
    <row r="16" ht="27.75" spans="1:10">
      <c r="A16" s="139">
        <v>6</v>
      </c>
      <c r="B16" s="236"/>
      <c r="C16" s="139" t="s">
        <v>1069</v>
      </c>
      <c r="D16" s="87" t="s">
        <v>1069</v>
      </c>
      <c r="E16" s="139" t="s">
        <v>1071</v>
      </c>
      <c r="F16" s="139"/>
      <c r="G16" s="139" t="s">
        <v>248</v>
      </c>
      <c r="H16" s="157"/>
      <c r="I16" s="217" t="s">
        <v>535</v>
      </c>
      <c r="J16" s="230" t="s">
        <v>243</v>
      </c>
    </row>
    <row r="17" ht="27.75" spans="1:8">
      <c r="A17" s="139">
        <v>7</v>
      </c>
      <c r="B17" s="236"/>
      <c r="C17" s="139" t="s">
        <v>1046</v>
      </c>
      <c r="D17" s="87" t="s">
        <v>1046</v>
      </c>
      <c r="E17" s="139" t="s">
        <v>1047</v>
      </c>
      <c r="F17" s="139" t="s">
        <v>1048</v>
      </c>
      <c r="G17" s="139" t="s">
        <v>282</v>
      </c>
      <c r="H17" s="157"/>
    </row>
    <row r="18" ht="27.75" spans="1:11">
      <c r="A18" s="139">
        <v>8</v>
      </c>
      <c r="B18" s="236"/>
      <c r="C18" s="239" t="s">
        <v>1107</v>
      </c>
      <c r="D18" s="240" t="s">
        <v>1107</v>
      </c>
      <c r="E18" s="139" t="s">
        <v>1108</v>
      </c>
      <c r="F18" s="139" t="s">
        <v>1109</v>
      </c>
      <c r="G18" s="139" t="s">
        <v>282</v>
      </c>
      <c r="H18" s="157"/>
      <c r="I18" s="230" t="s">
        <v>264</v>
      </c>
      <c r="J18" s="230" t="s">
        <v>265</v>
      </c>
      <c r="K18" s="230" t="s">
        <v>1108</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24"/>
  <sheetViews>
    <sheetView zoomScale="70" zoomScaleNormal="70" workbookViewId="0">
      <selection activeCell="A25" sqref="$A25:$XFD87"/>
    </sheetView>
  </sheetViews>
  <sheetFormatPr defaultColWidth="9" defaultRowHeight="14.25"/>
  <cols>
    <col min="1" max="1" width="9" style="230"/>
    <col min="2" max="2" width="6" style="230" customWidth="1"/>
    <col min="3" max="3" width="18.575" style="230" customWidth="1"/>
    <col min="4" max="4" width="40.875" style="230" customWidth="1"/>
    <col min="5" max="5" width="25.75" style="230" customWidth="1"/>
    <col min="6" max="6" width="43.5" style="230" customWidth="1"/>
    <col min="7" max="7" width="22.1666666666667" style="230" customWidth="1"/>
    <col min="8" max="8" width="38.1666666666667" style="230" customWidth="1"/>
    <col min="9" max="9" width="19.6666666666667" style="230" customWidth="1"/>
    <col min="10" max="10" width="9" style="230"/>
    <col min="11" max="11" width="19.75" style="230" customWidth="1"/>
    <col min="12" max="16384" width="9" style="230"/>
  </cols>
  <sheetData>
    <row r="1" s="230" customFormat="1" spans="1:8">
      <c r="A1" s="5" t="s">
        <v>223</v>
      </c>
      <c r="B1" s="231" t="s">
        <v>1110</v>
      </c>
      <c r="C1" s="232"/>
      <c r="D1" s="232"/>
      <c r="E1" s="232"/>
      <c r="F1" s="232"/>
      <c r="G1" s="232"/>
      <c r="H1" s="232"/>
    </row>
    <row r="2" s="230" customFormat="1" spans="1:8">
      <c r="A2" s="5"/>
      <c r="B2" s="232"/>
      <c r="C2" s="232"/>
      <c r="D2" s="232"/>
      <c r="E2" s="232"/>
      <c r="F2" s="232"/>
      <c r="G2" s="232"/>
      <c r="H2" s="232"/>
    </row>
    <row r="3" s="230" customFormat="1" ht="17.25" spans="1:8">
      <c r="A3" s="143" t="s">
        <v>225</v>
      </c>
      <c r="B3" s="144"/>
      <c r="C3" s="144"/>
      <c r="D3" s="144"/>
      <c r="E3" s="144"/>
      <c r="F3" s="144"/>
      <c r="G3" s="144"/>
      <c r="H3" s="145"/>
    </row>
    <row r="4" s="230" customFormat="1" ht="17.25" spans="1:8">
      <c r="A4" s="139">
        <v>1</v>
      </c>
      <c r="B4" s="146" t="s">
        <v>226</v>
      </c>
      <c r="C4" s="147"/>
      <c r="D4" s="148"/>
      <c r="E4" s="149" t="s">
        <v>1111</v>
      </c>
      <c r="F4" s="150"/>
      <c r="G4" s="150"/>
      <c r="H4" s="151"/>
    </row>
    <row r="5" s="230" customFormat="1" ht="17.25" spans="1:8">
      <c r="A5" s="139">
        <v>2</v>
      </c>
      <c r="B5" s="146" t="s">
        <v>228</v>
      </c>
      <c r="C5" s="147"/>
      <c r="D5" s="148"/>
      <c r="E5" s="149" t="s">
        <v>1112</v>
      </c>
      <c r="F5" s="150"/>
      <c r="G5" s="150"/>
      <c r="H5" s="151"/>
    </row>
    <row r="6" s="230" customFormat="1" ht="17.25" spans="1:8">
      <c r="A6" s="139">
        <v>3</v>
      </c>
      <c r="B6" s="146" t="s">
        <v>229</v>
      </c>
      <c r="C6" s="147"/>
      <c r="D6" s="148"/>
      <c r="E6" s="149"/>
      <c r="F6" s="150"/>
      <c r="G6" s="150"/>
      <c r="H6" s="151"/>
    </row>
    <row r="7" s="230" customFormat="1" ht="17.25" spans="1:8">
      <c r="A7" s="139">
        <v>4</v>
      </c>
      <c r="B7" s="146" t="s">
        <v>231</v>
      </c>
      <c r="C7" s="147"/>
      <c r="D7" s="148"/>
      <c r="E7" s="149"/>
      <c r="F7" s="150"/>
      <c r="G7" s="150"/>
      <c r="H7" s="151"/>
    </row>
    <row r="8" s="230" customFormat="1" ht="17.25" spans="1:8">
      <c r="A8" s="139">
        <v>5</v>
      </c>
      <c r="B8" s="146" t="s">
        <v>627</v>
      </c>
      <c r="C8" s="147"/>
      <c r="D8" s="148"/>
      <c r="E8" s="149"/>
      <c r="F8" s="150"/>
      <c r="G8" s="150"/>
      <c r="H8" s="151"/>
    </row>
    <row r="9" s="230" customFormat="1" ht="17.25" spans="1:8">
      <c r="A9" s="143" t="s">
        <v>234</v>
      </c>
      <c r="B9" s="144"/>
      <c r="C9" s="144"/>
      <c r="D9" s="144"/>
      <c r="E9" s="144"/>
      <c r="F9" s="144"/>
      <c r="G9" s="144"/>
      <c r="H9" s="145"/>
    </row>
    <row r="10" s="230" customFormat="1" ht="17.25" spans="1:8">
      <c r="A10" s="152"/>
      <c r="B10" s="153" t="s">
        <v>235</v>
      </c>
      <c r="C10" s="152" t="s">
        <v>236</v>
      </c>
      <c r="D10" s="152" t="s">
        <v>237</v>
      </c>
      <c r="E10" s="152" t="s">
        <v>238</v>
      </c>
      <c r="F10" s="153" t="s">
        <v>239</v>
      </c>
      <c r="G10" s="152" t="s">
        <v>240</v>
      </c>
      <c r="H10" s="153" t="s">
        <v>241</v>
      </c>
    </row>
    <row r="11" s="230" customFormat="1" ht="35" customHeight="1" spans="1:8">
      <c r="A11" s="139">
        <v>1</v>
      </c>
      <c r="B11" s="233" t="s">
        <v>242</v>
      </c>
      <c r="C11" s="139" t="s">
        <v>243</v>
      </c>
      <c r="D11" s="139" t="s">
        <v>243</v>
      </c>
      <c r="E11" s="139" t="s">
        <v>243</v>
      </c>
      <c r="F11" s="139" t="s">
        <v>948</v>
      </c>
      <c r="G11" s="139" t="s">
        <v>248</v>
      </c>
      <c r="H11" s="139"/>
    </row>
    <row r="12" s="230" customFormat="1" ht="35" customHeight="1" spans="1:8">
      <c r="A12" s="139">
        <v>2</v>
      </c>
      <c r="B12" s="139"/>
      <c r="C12" s="139" t="s">
        <v>934</v>
      </c>
      <c r="D12" s="139" t="s">
        <v>934</v>
      </c>
      <c r="E12" s="139" t="s">
        <v>908</v>
      </c>
      <c r="F12" s="139"/>
      <c r="G12" s="139" t="s">
        <v>1058</v>
      </c>
      <c r="H12" s="139"/>
    </row>
    <row r="13" s="230" customFormat="1" ht="35" customHeight="1" spans="1:8">
      <c r="A13" s="139">
        <v>3</v>
      </c>
      <c r="B13" s="139"/>
      <c r="C13" s="227" t="s">
        <v>910</v>
      </c>
      <c r="D13" s="227" t="s">
        <v>911</v>
      </c>
      <c r="E13" s="227" t="s">
        <v>912</v>
      </c>
      <c r="F13" s="139" t="s">
        <v>913</v>
      </c>
      <c r="G13" s="227" t="s">
        <v>1058</v>
      </c>
      <c r="H13" s="227"/>
    </row>
    <row r="14" s="230" customFormat="1" ht="35" customHeight="1" spans="1:8">
      <c r="A14" s="139">
        <v>4</v>
      </c>
      <c r="B14" s="139"/>
      <c r="C14" s="139" t="s">
        <v>916</v>
      </c>
      <c r="D14" s="139" t="s">
        <v>917</v>
      </c>
      <c r="E14" s="139" t="s">
        <v>918</v>
      </c>
      <c r="F14" s="139" t="s">
        <v>919</v>
      </c>
      <c r="G14" s="139" t="s">
        <v>1059</v>
      </c>
      <c r="H14" s="139"/>
    </row>
    <row r="15" s="230" customFormat="1" ht="35" customHeight="1" spans="1:8">
      <c r="A15" s="139">
        <v>5</v>
      </c>
      <c r="B15" s="139"/>
      <c r="C15" s="139" t="s">
        <v>922</v>
      </c>
      <c r="D15" s="139" t="s">
        <v>922</v>
      </c>
      <c r="E15" s="139" t="s">
        <v>527</v>
      </c>
      <c r="F15" s="139" t="s">
        <v>922</v>
      </c>
      <c r="G15" s="139" t="s">
        <v>248</v>
      </c>
      <c r="H15" s="139"/>
    </row>
    <row r="16" s="230" customFormat="1" ht="35" customHeight="1" spans="1:9">
      <c r="A16" s="139">
        <v>6</v>
      </c>
      <c r="B16" s="139"/>
      <c r="C16" s="139" t="s">
        <v>924</v>
      </c>
      <c r="D16" s="139" t="s">
        <v>924</v>
      </c>
      <c r="E16" s="139" t="s">
        <v>925</v>
      </c>
      <c r="F16" s="139" t="s">
        <v>924</v>
      </c>
      <c r="G16" s="139" t="s">
        <v>248</v>
      </c>
      <c r="H16" s="139"/>
      <c r="I16" s="217"/>
    </row>
    <row r="17" s="230" customFormat="1" ht="35" customHeight="1" spans="1:8">
      <c r="A17" s="139">
        <v>7</v>
      </c>
      <c r="B17" s="139"/>
      <c r="C17" s="139" t="s">
        <v>937</v>
      </c>
      <c r="D17" s="139" t="s">
        <v>937</v>
      </c>
      <c r="E17" s="139" t="s">
        <v>938</v>
      </c>
      <c r="F17" s="139" t="s">
        <v>1113</v>
      </c>
      <c r="G17" s="139" t="s">
        <v>263</v>
      </c>
      <c r="H17" s="139"/>
    </row>
    <row r="18" s="230" customFormat="1" ht="35" customHeight="1" spans="1:8">
      <c r="A18" s="139">
        <v>8</v>
      </c>
      <c r="B18" s="139"/>
      <c r="C18" s="139" t="s">
        <v>557</v>
      </c>
      <c r="D18" s="139" t="s">
        <v>557</v>
      </c>
      <c r="E18" s="139" t="s">
        <v>416</v>
      </c>
      <c r="F18" s="139" t="s">
        <v>557</v>
      </c>
      <c r="G18" s="139" t="s">
        <v>359</v>
      </c>
      <c r="H18" s="139"/>
    </row>
    <row r="19" ht="35" customHeight="1" spans="1:8">
      <c r="A19" s="139">
        <v>9</v>
      </c>
      <c r="B19" s="139"/>
      <c r="C19" s="139" t="s">
        <v>1114</v>
      </c>
      <c r="D19" s="139" t="s">
        <v>1114</v>
      </c>
      <c r="E19" s="139" t="s">
        <v>927</v>
      </c>
      <c r="F19" s="139" t="s">
        <v>1114</v>
      </c>
      <c r="G19" s="139" t="s">
        <v>929</v>
      </c>
      <c r="H19" s="139"/>
    </row>
    <row r="20" ht="35" customHeight="1" spans="1:8">
      <c r="A20" s="139">
        <v>10</v>
      </c>
      <c r="B20" s="139"/>
      <c r="C20" s="139" t="s">
        <v>940</v>
      </c>
      <c r="D20" s="139" t="s">
        <v>940</v>
      </c>
      <c r="E20" s="139" t="s">
        <v>941</v>
      </c>
      <c r="F20" s="139"/>
      <c r="G20" s="139" t="s">
        <v>929</v>
      </c>
      <c r="H20" s="139"/>
    </row>
    <row r="21" ht="35" customHeight="1" spans="1:8">
      <c r="A21" s="139">
        <v>11</v>
      </c>
      <c r="B21" s="139"/>
      <c r="C21" s="139" t="s">
        <v>942</v>
      </c>
      <c r="D21" s="139" t="s">
        <v>942</v>
      </c>
      <c r="E21" s="139" t="s">
        <v>943</v>
      </c>
      <c r="F21" s="139"/>
      <c r="G21" s="139" t="s">
        <v>929</v>
      </c>
      <c r="H21" s="139"/>
    </row>
    <row r="22" ht="35" customHeight="1" spans="1:8">
      <c r="A22" s="139">
        <v>12</v>
      </c>
      <c r="B22" s="139"/>
      <c r="C22" s="139" t="s">
        <v>944</v>
      </c>
      <c r="D22" s="139" t="s">
        <v>944</v>
      </c>
      <c r="E22" s="139" t="s">
        <v>945</v>
      </c>
      <c r="F22" s="139"/>
      <c r="G22" s="139" t="s">
        <v>929</v>
      </c>
      <c r="H22" s="139"/>
    </row>
    <row r="23" ht="35" customHeight="1" spans="1:8">
      <c r="A23" s="139">
        <v>13</v>
      </c>
      <c r="B23" s="139"/>
      <c r="C23" s="139" t="s">
        <v>931</v>
      </c>
      <c r="D23" s="139" t="s">
        <v>931</v>
      </c>
      <c r="E23" s="139" t="s">
        <v>932</v>
      </c>
      <c r="F23" s="139" t="s">
        <v>933</v>
      </c>
      <c r="G23" s="139" t="s">
        <v>248</v>
      </c>
      <c r="H23" s="139"/>
    </row>
    <row r="24" ht="35" customHeight="1" spans="1:8">
      <c r="A24" s="139">
        <v>14</v>
      </c>
      <c r="B24" s="139"/>
      <c r="C24" s="139" t="s">
        <v>934</v>
      </c>
      <c r="D24" s="139" t="s">
        <v>934</v>
      </c>
      <c r="E24" s="139" t="s">
        <v>935</v>
      </c>
      <c r="F24" s="139" t="s">
        <v>936</v>
      </c>
      <c r="G24" s="139" t="s">
        <v>248</v>
      </c>
      <c r="H24"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18"/>
  <sheetViews>
    <sheetView topLeftCell="A3" workbookViewId="0">
      <selection activeCell="A15" sqref="A15:A18"/>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3.3333333333333" style="23" customWidth="1"/>
    <col min="7" max="7" width="16.5" style="23" customWidth="1"/>
    <col min="8" max="8" width="20.8333333333333" style="23" customWidth="1"/>
    <col min="9" max="9" width="18.6666666666667" style="23" customWidth="1"/>
    <col min="10" max="16384" width="10.8333333333333" style="23"/>
  </cols>
  <sheetData>
    <row r="1" customHeight="1" spans="1:8">
      <c r="A1" s="5" t="s">
        <v>223</v>
      </c>
      <c r="B1" s="2" t="s">
        <v>1115</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1116</v>
      </c>
      <c r="F4" s="221"/>
      <c r="G4" s="221"/>
      <c r="H4" s="222"/>
    </row>
    <row r="5" customFormat="1" ht="17.25" spans="1:8">
      <c r="A5" s="22">
        <v>2</v>
      </c>
      <c r="B5" s="218" t="s">
        <v>228</v>
      </c>
      <c r="C5" s="219"/>
      <c r="D5" s="220"/>
      <c r="E5" s="31" t="s">
        <v>1115</v>
      </c>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948</v>
      </c>
      <c r="G11" s="22" t="s">
        <v>248</v>
      </c>
      <c r="H11" s="163"/>
    </row>
    <row r="12" customFormat="1" ht="27.75" spans="1:10">
      <c r="A12" s="22">
        <v>2</v>
      </c>
      <c r="B12" s="18" t="s">
        <v>242</v>
      </c>
      <c r="C12" s="22" t="s">
        <v>906</v>
      </c>
      <c r="D12" s="87" t="s">
        <v>907</v>
      </c>
      <c r="E12" s="22" t="s">
        <v>908</v>
      </c>
      <c r="F12" s="163" t="s">
        <v>1005</v>
      </c>
      <c r="G12" s="22" t="s">
        <v>248</v>
      </c>
      <c r="H12" s="163"/>
      <c r="I12" t="s">
        <v>903</v>
      </c>
      <c r="J12" s="226" t="s">
        <v>243</v>
      </c>
    </row>
    <row r="13" customFormat="1" ht="27.75" spans="1:10">
      <c r="A13" s="22">
        <v>3</v>
      </c>
      <c r="B13" s="18" t="s">
        <v>242</v>
      </c>
      <c r="C13" s="227" t="s">
        <v>910</v>
      </c>
      <c r="D13" s="227" t="s">
        <v>911</v>
      </c>
      <c r="E13" s="227" t="s">
        <v>912</v>
      </c>
      <c r="F13" s="228" t="s">
        <v>913</v>
      </c>
      <c r="G13" s="227" t="s">
        <v>303</v>
      </c>
      <c r="H13" s="228"/>
      <c r="I13" s="229"/>
      <c r="J13" s="229"/>
    </row>
    <row r="14" customFormat="1" ht="27.75" spans="1:8">
      <c r="A14" s="22">
        <v>4</v>
      </c>
      <c r="B14" s="18" t="s">
        <v>242</v>
      </c>
      <c r="C14" s="22" t="s">
        <v>1037</v>
      </c>
      <c r="D14" s="87" t="s">
        <v>1037</v>
      </c>
      <c r="E14" s="22" t="s">
        <v>1038</v>
      </c>
      <c r="F14" s="22"/>
      <c r="G14" s="22" t="s">
        <v>303</v>
      </c>
      <c r="H14" s="163"/>
    </row>
    <row r="15" customFormat="1" ht="27.75" spans="1:8">
      <c r="A15" s="22">
        <v>5</v>
      </c>
      <c r="B15" s="18" t="s">
        <v>242</v>
      </c>
      <c r="C15" s="22" t="s">
        <v>1039</v>
      </c>
      <c r="D15" s="87" t="s">
        <v>1039</v>
      </c>
      <c r="E15" s="22" t="s">
        <v>1040</v>
      </c>
      <c r="F15" s="22"/>
      <c r="G15" s="22" t="s">
        <v>303</v>
      </c>
      <c r="H15" s="163"/>
    </row>
    <row r="16" customFormat="1" ht="27.75" spans="1:10">
      <c r="A16" s="22">
        <v>6</v>
      </c>
      <c r="B16" s="18" t="s">
        <v>242</v>
      </c>
      <c r="C16" s="22" t="s">
        <v>1045</v>
      </c>
      <c r="D16" s="87" t="s">
        <v>1045</v>
      </c>
      <c r="E16" s="22" t="s">
        <v>1012</v>
      </c>
      <c r="F16" s="22"/>
      <c r="G16" s="22" t="s">
        <v>248</v>
      </c>
      <c r="H16" s="163"/>
      <c r="I16" t="s">
        <v>979</v>
      </c>
      <c r="J16" s="166" t="s">
        <v>243</v>
      </c>
    </row>
    <row r="17" customFormat="1" ht="27.75" spans="1:8">
      <c r="A17" s="22">
        <v>7</v>
      </c>
      <c r="B17" s="18"/>
      <c r="C17" s="22" t="s">
        <v>931</v>
      </c>
      <c r="D17" s="87" t="s">
        <v>931</v>
      </c>
      <c r="E17" s="22" t="s">
        <v>932</v>
      </c>
      <c r="F17" s="22"/>
      <c r="G17" s="22" t="s">
        <v>248</v>
      </c>
      <c r="H17" s="163"/>
    </row>
    <row r="18" customFormat="1" ht="27.75" spans="1:8">
      <c r="A18" s="22">
        <v>8</v>
      </c>
      <c r="B18" s="18"/>
      <c r="C18" s="22" t="s">
        <v>1046</v>
      </c>
      <c r="D18" s="87" t="s">
        <v>1046</v>
      </c>
      <c r="E18" s="22" t="s">
        <v>1047</v>
      </c>
      <c r="F18" s="22" t="s">
        <v>1048</v>
      </c>
      <c r="G18" s="22" t="s">
        <v>282</v>
      </c>
      <c r="H18"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zoomScale="85" zoomScaleNormal="85" topLeftCell="A21" workbookViewId="0">
      <selection activeCell="K24" sqref="K2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9.1083333333333" style="23" customWidth="1"/>
    <col min="7" max="7" width="16.5" style="23" customWidth="1"/>
    <col min="8" max="8" width="42.5" style="23" customWidth="1"/>
    <col min="9" max="10" width="10.8333333333333" style="23"/>
    <col min="11" max="11" width="26.5" style="23" customWidth="1"/>
    <col min="12" max="16384" width="10.8333333333333" style="23"/>
  </cols>
  <sheetData>
    <row r="1" customHeight="1" spans="1:8">
      <c r="A1" s="5" t="s">
        <v>223</v>
      </c>
      <c r="B1" s="2" t="s">
        <v>1117</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1118</v>
      </c>
      <c r="F4" s="221"/>
      <c r="G4" s="221"/>
      <c r="H4" s="222"/>
    </row>
    <row r="5" customFormat="1" ht="17.25" spans="1:8">
      <c r="A5" s="22">
        <v>2</v>
      </c>
      <c r="B5" s="218" t="s">
        <v>228</v>
      </c>
      <c r="C5" s="219"/>
      <c r="D5" s="220"/>
      <c r="E5" s="31"/>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c r="G11" s="22" t="s">
        <v>248</v>
      </c>
      <c r="H11" s="163"/>
    </row>
    <row r="12" customFormat="1" ht="27.75" spans="1:8">
      <c r="A12" s="22">
        <v>2</v>
      </c>
      <c r="B12" s="18" t="s">
        <v>242</v>
      </c>
      <c r="C12" s="22" t="s">
        <v>1119</v>
      </c>
      <c r="D12" s="87" t="s">
        <v>1119</v>
      </c>
      <c r="E12" s="22" t="s">
        <v>983</v>
      </c>
      <c r="F12" s="163"/>
      <c r="G12" s="22" t="s">
        <v>1059</v>
      </c>
      <c r="H12" s="163"/>
    </row>
    <row r="13" customFormat="1" ht="27.75" spans="1:8">
      <c r="A13" s="22">
        <v>3</v>
      </c>
      <c r="B13" s="18" t="s">
        <v>242</v>
      </c>
      <c r="C13" s="22" t="s">
        <v>1120</v>
      </c>
      <c r="D13" s="87" t="s">
        <v>1120</v>
      </c>
      <c r="E13" s="22" t="s">
        <v>365</v>
      </c>
      <c r="F13" s="163"/>
      <c r="G13" s="22" t="s">
        <v>306</v>
      </c>
      <c r="H13" s="163"/>
    </row>
    <row r="14" customFormat="1" ht="27.75" spans="1:8">
      <c r="A14" s="22">
        <v>4</v>
      </c>
      <c r="B14" s="18"/>
      <c r="C14" s="22" t="s">
        <v>1121</v>
      </c>
      <c r="D14" s="87" t="s">
        <v>1121</v>
      </c>
      <c r="E14" s="22" t="s">
        <v>1121</v>
      </c>
      <c r="F14" s="163"/>
      <c r="G14" s="22" t="s">
        <v>1058</v>
      </c>
      <c r="H14" s="163"/>
    </row>
    <row r="15" customFormat="1" ht="27.75" spans="1:8">
      <c r="A15" s="22">
        <v>5</v>
      </c>
      <c r="B15" s="18"/>
      <c r="C15" s="22" t="s">
        <v>1122</v>
      </c>
      <c r="D15" s="87" t="s">
        <v>1122</v>
      </c>
      <c r="E15" s="22" t="s">
        <v>1123</v>
      </c>
      <c r="F15" s="163"/>
      <c r="G15" s="22" t="s">
        <v>306</v>
      </c>
      <c r="H15" s="163"/>
    </row>
    <row r="16" customFormat="1" ht="27.75" spans="1:8">
      <c r="A16" s="22">
        <v>6</v>
      </c>
      <c r="B16" s="18"/>
      <c r="C16" s="22" t="s">
        <v>1124</v>
      </c>
      <c r="D16" s="87" t="s">
        <v>1124</v>
      </c>
      <c r="E16" s="22" t="s">
        <v>1125</v>
      </c>
      <c r="F16" s="163"/>
      <c r="G16" s="22" t="s">
        <v>1059</v>
      </c>
      <c r="H16" s="163"/>
    </row>
    <row r="17" customFormat="1" ht="27.75" spans="1:8">
      <c r="A17" s="22">
        <v>7</v>
      </c>
      <c r="B17" s="18"/>
      <c r="C17" s="22" t="s">
        <v>1126</v>
      </c>
      <c r="D17" s="87" t="s">
        <v>1126</v>
      </c>
      <c r="E17" s="22" t="s">
        <v>1127</v>
      </c>
      <c r="F17" s="163"/>
      <c r="G17" s="22" t="s">
        <v>306</v>
      </c>
      <c r="H17" s="163"/>
    </row>
    <row r="18" customFormat="1" ht="27.75" spans="1:8">
      <c r="A18" s="22">
        <v>8</v>
      </c>
      <c r="B18" s="18" t="s">
        <v>242</v>
      </c>
      <c r="C18" s="22" t="s">
        <v>1128</v>
      </c>
      <c r="D18" s="87" t="s">
        <v>1128</v>
      </c>
      <c r="E18" s="22" t="s">
        <v>1129</v>
      </c>
      <c r="F18" s="163"/>
      <c r="G18" s="22" t="s">
        <v>1130</v>
      </c>
      <c r="H18" s="163"/>
    </row>
    <row r="19" customFormat="1" ht="27.75" spans="1:11">
      <c r="A19" s="22">
        <v>9</v>
      </c>
      <c r="B19" s="18" t="s">
        <v>242</v>
      </c>
      <c r="C19" s="22" t="s">
        <v>1131</v>
      </c>
      <c r="D19" s="87" t="s">
        <v>1132</v>
      </c>
      <c r="E19" s="22" t="s">
        <v>1133</v>
      </c>
      <c r="F19" s="163" t="s">
        <v>1134</v>
      </c>
      <c r="G19" s="22" t="s">
        <v>1030</v>
      </c>
      <c r="H19" s="163" t="s">
        <v>1135</v>
      </c>
      <c r="I19" t="s">
        <v>264</v>
      </c>
      <c r="J19" s="226" t="s">
        <v>265</v>
      </c>
      <c r="K19" t="s">
        <v>1133</v>
      </c>
    </row>
    <row r="20" customFormat="1" ht="51.75" spans="1:11">
      <c r="A20" s="22">
        <v>10</v>
      </c>
      <c r="B20" s="18" t="s">
        <v>242</v>
      </c>
      <c r="C20" s="22" t="s">
        <v>1136</v>
      </c>
      <c r="D20" s="87" t="s">
        <v>1137</v>
      </c>
      <c r="E20" s="22" t="s">
        <v>1138</v>
      </c>
      <c r="F20" s="22" t="s">
        <v>1139</v>
      </c>
      <c r="G20" s="22" t="s">
        <v>1030</v>
      </c>
      <c r="H20" s="22" t="s">
        <v>1140</v>
      </c>
      <c r="I20" t="s">
        <v>264</v>
      </c>
      <c r="J20" s="226" t="s">
        <v>265</v>
      </c>
      <c r="K20" t="s">
        <v>1138</v>
      </c>
    </row>
    <row r="21" customFormat="1" ht="409.5" spans="1:11">
      <c r="A21" s="22">
        <v>11</v>
      </c>
      <c r="B21" s="18" t="s">
        <v>242</v>
      </c>
      <c r="C21" s="22" t="s">
        <v>1141</v>
      </c>
      <c r="D21" s="87" t="s">
        <v>1142</v>
      </c>
      <c r="E21" s="22" t="s">
        <v>1143</v>
      </c>
      <c r="F21" s="22" t="s">
        <v>1144</v>
      </c>
      <c r="G21" s="22" t="s">
        <v>1030</v>
      </c>
      <c r="H21" s="22" t="s">
        <v>1145</v>
      </c>
      <c r="I21" t="s">
        <v>264</v>
      </c>
      <c r="J21" s="226" t="s">
        <v>265</v>
      </c>
      <c r="K21" t="s">
        <v>1143</v>
      </c>
    </row>
    <row r="22" customFormat="1" ht="86.25" spans="1:11">
      <c r="A22" s="22">
        <v>12</v>
      </c>
      <c r="B22" s="18" t="s">
        <v>242</v>
      </c>
      <c r="C22" s="22" t="s">
        <v>1146</v>
      </c>
      <c r="D22" s="87" t="s">
        <v>1147</v>
      </c>
      <c r="E22" s="22" t="s">
        <v>1148</v>
      </c>
      <c r="F22" s="22" t="s">
        <v>1149</v>
      </c>
      <c r="G22" s="22" t="s">
        <v>306</v>
      </c>
      <c r="H22" s="22" t="s">
        <v>1150</v>
      </c>
      <c r="I22" t="s">
        <v>264</v>
      </c>
      <c r="J22" s="226" t="s">
        <v>265</v>
      </c>
      <c r="K22" t="s">
        <v>1148</v>
      </c>
    </row>
    <row r="23" customFormat="1" ht="27.75" spans="1:8">
      <c r="A23" s="22">
        <v>13</v>
      </c>
      <c r="B23" s="18" t="s">
        <v>242</v>
      </c>
      <c r="C23" s="22" t="s">
        <v>1151</v>
      </c>
      <c r="D23" s="87" t="s">
        <v>1151</v>
      </c>
      <c r="E23" s="22" t="s">
        <v>1152</v>
      </c>
      <c r="F23" s="22" t="s">
        <v>1153</v>
      </c>
      <c r="G23" s="22" t="s">
        <v>1154</v>
      </c>
      <c r="H23" s="22"/>
    </row>
    <row r="24" customFormat="1" ht="51.75" spans="1:11">
      <c r="A24" s="22">
        <v>13</v>
      </c>
      <c r="B24" s="18" t="s">
        <v>242</v>
      </c>
      <c r="C24" s="22" t="s">
        <v>1155</v>
      </c>
      <c r="D24" s="87" t="s">
        <v>1156</v>
      </c>
      <c r="E24" s="22" t="s">
        <v>1157</v>
      </c>
      <c r="F24" s="22" t="s">
        <v>1158</v>
      </c>
      <c r="G24" s="22" t="s">
        <v>1030</v>
      </c>
      <c r="H24" s="22" t="s">
        <v>1159</v>
      </c>
      <c r="I24" t="s">
        <v>264</v>
      </c>
      <c r="J24" s="226" t="s">
        <v>265</v>
      </c>
      <c r="K24" t="s">
        <v>1157</v>
      </c>
    </row>
    <row r="25" customFormat="1" ht="27.75" spans="1:8">
      <c r="A25" s="22">
        <v>14</v>
      </c>
      <c r="B25" s="18" t="s">
        <v>242</v>
      </c>
      <c r="C25" s="22" t="s">
        <v>1160</v>
      </c>
      <c r="D25" s="87" t="s">
        <v>1160</v>
      </c>
      <c r="E25" s="22" t="s">
        <v>1161</v>
      </c>
      <c r="F25" s="163"/>
      <c r="G25" s="22" t="s">
        <v>1030</v>
      </c>
      <c r="H25" s="163"/>
    </row>
    <row r="26" customFormat="1" ht="27.75" spans="1:8">
      <c r="A26" s="22">
        <v>15</v>
      </c>
      <c r="B26" s="18" t="s">
        <v>242</v>
      </c>
      <c r="C26" s="22" t="s">
        <v>1162</v>
      </c>
      <c r="D26" s="87" t="s">
        <v>1162</v>
      </c>
      <c r="E26" s="22" t="s">
        <v>1163</v>
      </c>
      <c r="F26" s="163" t="s">
        <v>1164</v>
      </c>
      <c r="G26" s="22" t="s">
        <v>1165</v>
      </c>
      <c r="H26"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E7" sqref="E7:H7"/>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0.1666666666667" style="24" customWidth="1"/>
    <col min="6" max="6" width="53.3333333333333" style="23" customWidth="1"/>
    <col min="7" max="7" width="16.5" style="23" customWidth="1"/>
    <col min="8" max="8" width="20.8333333333333" style="23" customWidth="1"/>
    <col min="9" max="9" width="19.875" style="23" customWidth="1"/>
    <col min="10" max="16384" width="10.8333333333333" style="23"/>
  </cols>
  <sheetData>
    <row r="1" customHeight="1" spans="1:8">
      <c r="A1" s="5" t="s">
        <v>223</v>
      </c>
      <c r="B1" s="2" t="s">
        <v>1166</v>
      </c>
      <c r="C1" s="3"/>
      <c r="D1" s="3"/>
      <c r="E1" s="3"/>
      <c r="F1" s="3"/>
      <c r="G1" s="3"/>
      <c r="H1" s="3"/>
    </row>
    <row r="2" customHeight="1" spans="1:8">
      <c r="A2" s="5"/>
      <c r="B2" s="3"/>
      <c r="C2" s="3"/>
      <c r="D2" s="3"/>
      <c r="E2" s="3"/>
      <c r="F2" s="3"/>
      <c r="G2" s="3"/>
      <c r="H2" s="3"/>
    </row>
    <row r="3" customFormat="1" ht="17.25" spans="1:8">
      <c r="A3" s="143" t="s">
        <v>225</v>
      </c>
      <c r="B3" s="144"/>
      <c r="C3" s="144"/>
      <c r="D3" s="144"/>
      <c r="E3" s="144"/>
      <c r="F3" s="144"/>
      <c r="G3" s="144"/>
      <c r="H3" s="145"/>
    </row>
    <row r="4" customFormat="1" ht="17.25" spans="1:8">
      <c r="A4" s="22">
        <v>1</v>
      </c>
      <c r="B4" s="218" t="s">
        <v>226</v>
      </c>
      <c r="C4" s="219"/>
      <c r="D4" s="220"/>
      <c r="E4" s="31" t="s">
        <v>1167</v>
      </c>
      <c r="F4" s="221"/>
      <c r="G4" s="221"/>
      <c r="H4" s="222"/>
    </row>
    <row r="5" customFormat="1" ht="17.25" spans="1:8">
      <c r="A5" s="22">
        <v>2</v>
      </c>
      <c r="B5" s="218" t="s">
        <v>228</v>
      </c>
      <c r="C5" s="219"/>
      <c r="D5" s="220"/>
      <c r="E5" s="31"/>
      <c r="F5" s="221"/>
      <c r="G5" s="221"/>
      <c r="H5" s="222"/>
    </row>
    <row r="6" customFormat="1" ht="17.25" spans="1:8">
      <c r="A6" s="22">
        <v>3</v>
      </c>
      <c r="B6" s="218" t="s">
        <v>229</v>
      </c>
      <c r="C6" s="219"/>
      <c r="D6" s="220"/>
      <c r="E6" s="31"/>
      <c r="F6" s="221"/>
      <c r="G6" s="221"/>
      <c r="H6" s="222"/>
    </row>
    <row r="7" customFormat="1" ht="17.25" spans="1:8">
      <c r="A7" s="22">
        <v>4</v>
      </c>
      <c r="B7" s="218" t="s">
        <v>231</v>
      </c>
      <c r="C7" s="219"/>
      <c r="D7" s="220"/>
      <c r="E7" s="31"/>
      <c r="F7" s="221"/>
      <c r="G7" s="221"/>
      <c r="H7" s="222"/>
    </row>
    <row r="8" customFormat="1" ht="17.25" spans="1:8">
      <c r="A8" s="22">
        <v>5</v>
      </c>
      <c r="B8" s="218" t="s">
        <v>627</v>
      </c>
      <c r="C8" s="219"/>
      <c r="D8" s="220"/>
      <c r="E8" s="31"/>
      <c r="F8" s="221"/>
      <c r="G8" s="221"/>
      <c r="H8" s="222"/>
    </row>
    <row r="9" customFormat="1" ht="17.25" spans="1:8">
      <c r="A9" s="143" t="s">
        <v>234</v>
      </c>
      <c r="B9" s="144"/>
      <c r="C9" s="144"/>
      <c r="D9" s="144"/>
      <c r="E9" s="144"/>
      <c r="F9" s="144"/>
      <c r="G9" s="144"/>
      <c r="H9" s="145"/>
    </row>
    <row r="10" customFormat="1" ht="17.25" spans="1:8">
      <c r="A10" s="152"/>
      <c r="B10" s="223" t="s">
        <v>235</v>
      </c>
      <c r="C10" s="152" t="s">
        <v>236</v>
      </c>
      <c r="D10" s="87" t="s">
        <v>237</v>
      </c>
      <c r="E10" s="152" t="s">
        <v>238</v>
      </c>
      <c r="F10" s="223" t="s">
        <v>239</v>
      </c>
      <c r="G10" s="152" t="s">
        <v>240</v>
      </c>
      <c r="H10" s="223" t="s">
        <v>241</v>
      </c>
    </row>
    <row r="11" customFormat="1" ht="27.75" spans="1:8">
      <c r="A11" s="22">
        <v>1</v>
      </c>
      <c r="B11" s="18" t="s">
        <v>242</v>
      </c>
      <c r="C11" s="22" t="s">
        <v>243</v>
      </c>
      <c r="D11" s="87" t="s">
        <v>243</v>
      </c>
      <c r="E11" s="22" t="s">
        <v>243</v>
      </c>
      <c r="F11" s="163" t="s">
        <v>845</v>
      </c>
      <c r="G11" s="22" t="s">
        <v>866</v>
      </c>
      <c r="H11" s="163"/>
    </row>
    <row r="12" customFormat="1" ht="27.75" spans="1:10">
      <c r="A12" s="22">
        <v>2</v>
      </c>
      <c r="B12" s="18" t="s">
        <v>242</v>
      </c>
      <c r="C12" s="22" t="s">
        <v>1168</v>
      </c>
      <c r="D12" s="87" t="s">
        <v>1168</v>
      </c>
      <c r="E12" s="22" t="s">
        <v>1169</v>
      </c>
      <c r="F12" s="163"/>
      <c r="G12" s="22" t="s">
        <v>867</v>
      </c>
      <c r="H12" s="163"/>
      <c r="I12" t="s">
        <v>1118</v>
      </c>
      <c r="J12" s="226" t="s">
        <v>243</v>
      </c>
    </row>
    <row r="13" customFormat="1" ht="27.75" spans="1:11">
      <c r="A13" s="22">
        <v>3</v>
      </c>
      <c r="B13" s="18" t="s">
        <v>242</v>
      </c>
      <c r="C13" s="22" t="s">
        <v>1170</v>
      </c>
      <c r="D13" s="224" t="s">
        <v>1170</v>
      </c>
      <c r="E13" s="22" t="s">
        <v>1171</v>
      </c>
      <c r="F13" s="163"/>
      <c r="G13" s="22" t="s">
        <v>867</v>
      </c>
      <c r="H13" s="163"/>
      <c r="I13" t="s">
        <v>1172</v>
      </c>
      <c r="J13" t="s">
        <v>243</v>
      </c>
      <c r="K13" t="s">
        <v>983</v>
      </c>
    </row>
    <row r="14" customFormat="1" ht="27.75" spans="1:8">
      <c r="A14" s="22">
        <v>4</v>
      </c>
      <c r="B14" s="18" t="s">
        <v>242</v>
      </c>
      <c r="C14" s="22" t="s">
        <v>1173</v>
      </c>
      <c r="D14" s="87" t="s">
        <v>1173</v>
      </c>
      <c r="E14" s="22" t="s">
        <v>1174</v>
      </c>
      <c r="F14" s="22"/>
      <c r="G14" s="22" t="s">
        <v>874</v>
      </c>
      <c r="H14" s="163"/>
    </row>
    <row r="15" customFormat="1" ht="27.75" spans="1:8">
      <c r="A15" s="22">
        <v>5</v>
      </c>
      <c r="B15" s="18" t="s">
        <v>242</v>
      </c>
      <c r="C15" s="22" t="s">
        <v>1175</v>
      </c>
      <c r="D15" s="87" t="s">
        <v>1175</v>
      </c>
      <c r="E15" s="22" t="s">
        <v>1176</v>
      </c>
      <c r="F15" s="163"/>
      <c r="G15" s="22" t="s">
        <v>867</v>
      </c>
      <c r="H15" s="163"/>
    </row>
    <row r="16" customFormat="1" ht="27.75" spans="1:8">
      <c r="A16" s="22">
        <v>6</v>
      </c>
      <c r="B16" s="18" t="s">
        <v>242</v>
      </c>
      <c r="C16" s="22" t="s">
        <v>1177</v>
      </c>
      <c r="D16" s="87" t="s">
        <v>1177</v>
      </c>
      <c r="E16" s="22" t="s">
        <v>1178</v>
      </c>
      <c r="F16" s="163"/>
      <c r="G16" s="22" t="s">
        <v>867</v>
      </c>
      <c r="H16" s="163"/>
    </row>
    <row r="17" customFormat="1" ht="27.75" spans="1:8">
      <c r="A17" s="22">
        <v>7</v>
      </c>
      <c r="B17" s="18"/>
      <c r="C17" s="22" t="s">
        <v>1179</v>
      </c>
      <c r="D17" s="87" t="s">
        <v>1179</v>
      </c>
      <c r="E17" s="22" t="s">
        <v>1180</v>
      </c>
      <c r="F17" s="163"/>
      <c r="G17" s="22" t="s">
        <v>880</v>
      </c>
      <c r="H17" s="163"/>
    </row>
    <row r="18" customFormat="1" ht="27.75" spans="1:8">
      <c r="A18" s="22">
        <v>8</v>
      </c>
      <c r="B18" s="18"/>
      <c r="C18" s="22" t="s">
        <v>1181</v>
      </c>
      <c r="D18" s="87" t="s">
        <v>1181</v>
      </c>
      <c r="E18" s="22" t="s">
        <v>1182</v>
      </c>
      <c r="F18" s="225"/>
      <c r="G18" s="22" t="s">
        <v>874</v>
      </c>
      <c r="H18" s="163"/>
    </row>
    <row r="19" customFormat="1" ht="27.75" spans="1:8">
      <c r="A19" s="22">
        <v>9</v>
      </c>
      <c r="B19" s="18"/>
      <c r="C19" s="22" t="s">
        <v>1183</v>
      </c>
      <c r="D19" s="87" t="s">
        <v>1183</v>
      </c>
      <c r="E19" s="22" t="s">
        <v>1184</v>
      </c>
      <c r="F19" s="225"/>
      <c r="G19" s="22" t="s">
        <v>874</v>
      </c>
      <c r="H19"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85" zoomScaleNormal="85" topLeftCell="G1"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15" style="23" customWidth="1"/>
    <col min="10" max="16384" width="10.8333333333333" style="23"/>
  </cols>
  <sheetData>
    <row r="1" customHeight="1" spans="1:8">
      <c r="A1" s="1" t="s">
        <v>223</v>
      </c>
      <c r="B1" s="2" t="s">
        <v>1185</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1186</v>
      </c>
      <c r="F4" s="11"/>
      <c r="G4" s="11"/>
      <c r="H4" s="11"/>
    </row>
    <row r="5" customHeight="1" spans="1:8">
      <c r="A5" s="10">
        <v>2</v>
      </c>
      <c r="B5" s="10" t="s">
        <v>228</v>
      </c>
      <c r="C5" s="10"/>
      <c r="D5" s="10"/>
      <c r="E5" s="11" t="s">
        <v>41</v>
      </c>
      <c r="F5" s="11"/>
      <c r="G5" s="11"/>
      <c r="H5" s="11"/>
    </row>
    <row r="6" customHeight="1" spans="1:8">
      <c r="A6" s="10">
        <v>3</v>
      </c>
      <c r="B6" s="10" t="s">
        <v>229</v>
      </c>
      <c r="C6" s="10"/>
      <c r="D6" s="10"/>
      <c r="E6" s="11"/>
      <c r="F6" s="11"/>
      <c r="G6" s="11"/>
      <c r="H6" s="11"/>
    </row>
    <row r="7" customHeight="1" spans="1:8">
      <c r="A7" s="10">
        <v>4</v>
      </c>
      <c r="B7" s="10" t="s">
        <v>231</v>
      </c>
      <c r="C7" s="10"/>
      <c r="D7" s="10"/>
      <c r="E7" s="11" t="s">
        <v>1187</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236</v>
      </c>
      <c r="E10" s="17" t="s">
        <v>238</v>
      </c>
      <c r="F10" s="14" t="s">
        <v>239</v>
      </c>
      <c r="G10" s="14" t="s">
        <v>240</v>
      </c>
      <c r="H10" s="14" t="s">
        <v>241</v>
      </c>
    </row>
    <row r="11" customHeight="1" spans="1:8">
      <c r="A11" s="10">
        <f>ROW(A11)-10</f>
        <v>1</v>
      </c>
      <c r="B11" s="18" t="s">
        <v>242</v>
      </c>
      <c r="C11" s="25" t="s">
        <v>243</v>
      </c>
      <c r="D11" s="113" t="s">
        <v>243</v>
      </c>
      <c r="E11" s="25" t="s">
        <v>243</v>
      </c>
      <c r="F11" s="11" t="s">
        <v>244</v>
      </c>
      <c r="G11" s="170" t="s">
        <v>248</v>
      </c>
      <c r="H11" s="11"/>
    </row>
    <row r="12" customHeight="1" spans="1:8">
      <c r="A12" s="10">
        <f t="shared" ref="A12:A25" si="0">ROW(A12)-10</f>
        <v>2</v>
      </c>
      <c r="B12" s="171" t="s">
        <v>242</v>
      </c>
      <c r="C12" s="25" t="s">
        <v>1188</v>
      </c>
      <c r="D12" s="113" t="s">
        <v>1188</v>
      </c>
      <c r="E12" s="39" t="s">
        <v>265</v>
      </c>
      <c r="F12" s="11"/>
      <c r="G12" s="170" t="s">
        <v>248</v>
      </c>
      <c r="H12" s="11"/>
    </row>
    <row r="13" customHeight="1" spans="1:8">
      <c r="A13" s="10">
        <f t="shared" si="0"/>
        <v>3</v>
      </c>
      <c r="B13" s="171" t="s">
        <v>242</v>
      </c>
      <c r="C13" s="25" t="s">
        <v>1189</v>
      </c>
      <c r="D13" s="113" t="s">
        <v>1189</v>
      </c>
      <c r="E13" s="39" t="s">
        <v>365</v>
      </c>
      <c r="F13" s="11"/>
      <c r="G13" s="170" t="s">
        <v>303</v>
      </c>
      <c r="H13" s="11"/>
    </row>
    <row r="14" customHeight="1" spans="1:10">
      <c r="A14" s="10">
        <f t="shared" si="0"/>
        <v>4</v>
      </c>
      <c r="B14" s="171" t="s">
        <v>242</v>
      </c>
      <c r="C14" s="25" t="s">
        <v>539</v>
      </c>
      <c r="D14" s="113" t="s">
        <v>1190</v>
      </c>
      <c r="E14" s="39" t="s">
        <v>1071</v>
      </c>
      <c r="F14" s="11"/>
      <c r="G14" s="170" t="s">
        <v>248</v>
      </c>
      <c r="H14" s="11"/>
      <c r="I14" s="217" t="s">
        <v>535</v>
      </c>
      <c r="J14" s="23" t="s">
        <v>243</v>
      </c>
    </row>
    <row r="15" customHeight="1" spans="1:8">
      <c r="A15" s="10">
        <f t="shared" si="0"/>
        <v>5</v>
      </c>
      <c r="B15" s="171" t="s">
        <v>242</v>
      </c>
      <c r="C15" s="25" t="s">
        <v>1191</v>
      </c>
      <c r="D15" s="113" t="s">
        <v>1191</v>
      </c>
      <c r="E15" s="39" t="s">
        <v>1192</v>
      </c>
      <c r="F15" s="11" t="s">
        <v>1193</v>
      </c>
      <c r="G15" s="102" t="s">
        <v>1194</v>
      </c>
      <c r="H15" s="11"/>
    </row>
    <row r="16" customHeight="1" spans="1:8">
      <c r="A16" s="10">
        <f t="shared" si="0"/>
        <v>6</v>
      </c>
      <c r="B16" s="171" t="s">
        <v>242</v>
      </c>
      <c r="C16" s="25" t="s">
        <v>556</v>
      </c>
      <c r="D16" s="113" t="s">
        <v>557</v>
      </c>
      <c r="E16" s="39" t="s">
        <v>416</v>
      </c>
      <c r="F16" s="97"/>
      <c r="G16" s="170" t="s">
        <v>359</v>
      </c>
      <c r="H16" s="97"/>
    </row>
    <row r="17" customHeight="1" spans="1:8">
      <c r="A17" s="10">
        <f t="shared" si="0"/>
        <v>7</v>
      </c>
      <c r="B17" s="171" t="s">
        <v>242</v>
      </c>
      <c r="C17" s="25" t="s">
        <v>558</v>
      </c>
      <c r="D17" s="113" t="s">
        <v>558</v>
      </c>
      <c r="E17" s="39" t="s">
        <v>560</v>
      </c>
      <c r="F17" s="98"/>
      <c r="G17" s="170" t="s">
        <v>421</v>
      </c>
      <c r="H17" s="216"/>
    </row>
    <row r="18" ht="27.75" spans="1:8">
      <c r="A18" s="10">
        <f t="shared" si="0"/>
        <v>8</v>
      </c>
      <c r="B18" s="171" t="s">
        <v>242</v>
      </c>
      <c r="C18" s="25" t="s">
        <v>1195</v>
      </c>
      <c r="D18" s="113" t="s">
        <v>1195</v>
      </c>
      <c r="E18" s="39" t="s">
        <v>1196</v>
      </c>
      <c r="F18" s="98" t="s">
        <v>1197</v>
      </c>
      <c r="G18" s="170" t="s">
        <v>1198</v>
      </c>
      <c r="H18" s="97"/>
    </row>
    <row r="19" customHeight="1" spans="1:8">
      <c r="A19" s="10">
        <f t="shared" si="0"/>
        <v>9</v>
      </c>
      <c r="B19" s="171" t="s">
        <v>242</v>
      </c>
      <c r="C19" s="25" t="s">
        <v>1199</v>
      </c>
      <c r="D19" s="113" t="s">
        <v>1199</v>
      </c>
      <c r="E19" s="39" t="s">
        <v>1200</v>
      </c>
      <c r="F19" s="98" t="s">
        <v>1201</v>
      </c>
      <c r="G19" s="170" t="s">
        <v>1202</v>
      </c>
      <c r="H19" s="97"/>
    </row>
    <row r="20" customHeight="1" spans="1:8">
      <c r="A20" s="10">
        <f t="shared" si="0"/>
        <v>10</v>
      </c>
      <c r="B20" s="171" t="s">
        <v>242</v>
      </c>
      <c r="C20" s="25" t="s">
        <v>1203</v>
      </c>
      <c r="D20" s="113" t="s">
        <v>1203</v>
      </c>
      <c r="E20" s="39" t="s">
        <v>1204</v>
      </c>
      <c r="F20" s="98" t="s">
        <v>1205</v>
      </c>
      <c r="G20" s="170" t="s">
        <v>359</v>
      </c>
      <c r="H20" s="97"/>
    </row>
    <row r="21" customHeight="1" spans="1:8">
      <c r="A21" s="10">
        <f t="shared" si="0"/>
        <v>11</v>
      </c>
      <c r="B21" s="171"/>
      <c r="C21" s="25" t="s">
        <v>569</v>
      </c>
      <c r="D21" s="39"/>
      <c r="E21" s="39" t="s">
        <v>570</v>
      </c>
      <c r="F21" s="98"/>
      <c r="G21" s="170" t="s">
        <v>320</v>
      </c>
      <c r="H21" s="97"/>
    </row>
    <row r="22" customHeight="1" spans="1:8">
      <c r="A22" s="10">
        <f t="shared" si="0"/>
        <v>12</v>
      </c>
      <c r="B22" s="171"/>
      <c r="C22" s="25" t="s">
        <v>572</v>
      </c>
      <c r="D22" s="39"/>
      <c r="E22" s="39" t="s">
        <v>573</v>
      </c>
      <c r="F22" s="98"/>
      <c r="G22" s="170" t="s">
        <v>248</v>
      </c>
      <c r="H22" s="97"/>
    </row>
    <row r="23" customHeight="1" spans="1:8">
      <c r="A23" s="10">
        <f t="shared" si="0"/>
        <v>13</v>
      </c>
      <c r="B23" s="18"/>
      <c r="C23" s="25" t="s">
        <v>574</v>
      </c>
      <c r="D23" s="25"/>
      <c r="E23" s="25" t="s">
        <v>575</v>
      </c>
      <c r="F23" s="97"/>
      <c r="G23" s="102" t="s">
        <v>576</v>
      </c>
      <c r="H23" s="97"/>
    </row>
    <row r="24" customHeight="1" spans="1:8">
      <c r="A24" s="10">
        <f t="shared" si="0"/>
        <v>14</v>
      </c>
      <c r="B24" s="18"/>
      <c r="C24" s="25" t="s">
        <v>577</v>
      </c>
      <c r="D24" s="25"/>
      <c r="E24" s="25" t="s">
        <v>578</v>
      </c>
      <c r="F24" s="97"/>
      <c r="G24" s="102" t="s">
        <v>248</v>
      </c>
      <c r="H24" s="97"/>
    </row>
    <row r="25" customHeight="1" spans="1:8">
      <c r="A25" s="10">
        <f t="shared" si="0"/>
        <v>15</v>
      </c>
      <c r="B25" s="18"/>
      <c r="C25" s="25" t="s">
        <v>579</v>
      </c>
      <c r="D25" s="25"/>
      <c r="E25" s="25" t="s">
        <v>580</v>
      </c>
      <c r="F25" s="97"/>
      <c r="G25" s="102" t="s">
        <v>576</v>
      </c>
      <c r="H25"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85" zoomScaleNormal="85" topLeftCell="E4"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5.1666666666667" style="23" customWidth="1"/>
    <col min="10" max="16384" width="10.8333333333333" style="23"/>
  </cols>
  <sheetData>
    <row r="1" customHeight="1" spans="1:8">
      <c r="A1" s="1" t="s">
        <v>223</v>
      </c>
      <c r="B1" s="2" t="s">
        <v>1206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1207</v>
      </c>
      <c r="F4" s="11"/>
      <c r="G4" s="11"/>
      <c r="H4" s="11"/>
    </row>
    <row r="5" customHeight="1" spans="1:8">
      <c r="A5" s="10">
        <v>2</v>
      </c>
      <c r="B5" s="10" t="s">
        <v>228</v>
      </c>
      <c r="C5" s="10"/>
      <c r="D5" s="10"/>
      <c r="E5" s="11" t="s">
        <v>1208</v>
      </c>
      <c r="F5" s="11"/>
      <c r="G5" s="11"/>
      <c r="H5" s="11"/>
    </row>
    <row r="6" customHeight="1" spans="1:8">
      <c r="A6" s="10">
        <v>3</v>
      </c>
      <c r="B6" s="10" t="s">
        <v>229</v>
      </c>
      <c r="C6" s="10"/>
      <c r="D6" s="10"/>
      <c r="E6" s="11"/>
      <c r="F6" s="11"/>
      <c r="G6" s="11"/>
      <c r="H6" s="11"/>
    </row>
    <row r="7" customHeight="1" spans="1:8">
      <c r="A7" s="10">
        <v>4</v>
      </c>
      <c r="B7" s="10" t="s">
        <v>231</v>
      </c>
      <c r="C7" s="10"/>
      <c r="D7" s="10"/>
      <c r="E7" s="11" t="s">
        <v>1187</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70" t="s">
        <v>248</v>
      </c>
      <c r="H11" s="11"/>
    </row>
    <row r="12" customHeight="1" spans="1:10">
      <c r="A12" s="10">
        <f t="shared" ref="A12:A20" si="0">ROW(A12)-10</f>
        <v>2</v>
      </c>
      <c r="B12" s="171" t="s">
        <v>242</v>
      </c>
      <c r="C12" s="25" t="s">
        <v>1209</v>
      </c>
      <c r="D12" s="113" t="s">
        <v>1210</v>
      </c>
      <c r="E12" s="39" t="s">
        <v>1211</v>
      </c>
      <c r="F12" s="11"/>
      <c r="G12" s="170" t="s">
        <v>248</v>
      </c>
      <c r="H12" s="11"/>
      <c r="I12" s="217" t="s">
        <v>1186</v>
      </c>
      <c r="J12" s="23" t="s">
        <v>243</v>
      </c>
    </row>
    <row r="13" customHeight="1" spans="1:8">
      <c r="A13" s="10">
        <f t="shared" si="0"/>
        <v>3</v>
      </c>
      <c r="B13" s="171" t="s">
        <v>242</v>
      </c>
      <c r="C13" s="25" t="s">
        <v>1212</v>
      </c>
      <c r="D13" s="113" t="s">
        <v>1212</v>
      </c>
      <c r="E13" s="39" t="s">
        <v>1213</v>
      </c>
      <c r="F13" s="98"/>
      <c r="G13" s="170" t="s">
        <v>248</v>
      </c>
      <c r="H13" s="97"/>
    </row>
    <row r="14" customHeight="1" spans="1:10">
      <c r="A14" s="10">
        <f t="shared" si="0"/>
        <v>4</v>
      </c>
      <c r="B14" s="171"/>
      <c r="C14" s="25" t="s">
        <v>1214</v>
      </c>
      <c r="D14" s="113" t="s">
        <v>1214</v>
      </c>
      <c r="E14" s="39" t="s">
        <v>1215</v>
      </c>
      <c r="F14" s="98"/>
      <c r="G14" s="170" t="s">
        <v>248</v>
      </c>
      <c r="H14" s="97"/>
      <c r="I14" s="23" t="s">
        <v>352</v>
      </c>
      <c r="J14" s="23" t="s">
        <v>353</v>
      </c>
    </row>
    <row r="15" customHeight="1" spans="1:8">
      <c r="A15" s="10">
        <f t="shared" si="0"/>
        <v>5</v>
      </c>
      <c r="B15" s="171" t="s">
        <v>242</v>
      </c>
      <c r="C15" s="25" t="s">
        <v>558</v>
      </c>
      <c r="D15" s="113" t="s">
        <v>558</v>
      </c>
      <c r="E15" s="39" t="s">
        <v>560</v>
      </c>
      <c r="F15" s="98"/>
      <c r="G15" s="170" t="s">
        <v>421</v>
      </c>
      <c r="H15" s="216"/>
    </row>
    <row r="16" customHeight="1" spans="1:8">
      <c r="A16" s="10">
        <f t="shared" si="0"/>
        <v>6</v>
      </c>
      <c r="B16" s="171"/>
      <c r="C16" s="25" t="s">
        <v>569</v>
      </c>
      <c r="D16" s="39"/>
      <c r="E16" s="39" t="s">
        <v>570</v>
      </c>
      <c r="F16" s="98"/>
      <c r="G16" s="170" t="s">
        <v>320</v>
      </c>
      <c r="H16" s="97"/>
    </row>
    <row r="17" customHeight="1" spans="1:8">
      <c r="A17" s="10">
        <f t="shared" si="0"/>
        <v>7</v>
      </c>
      <c r="B17" s="171"/>
      <c r="C17" s="25" t="s">
        <v>572</v>
      </c>
      <c r="D17" s="39"/>
      <c r="E17" s="39" t="s">
        <v>594</v>
      </c>
      <c r="F17" s="98"/>
      <c r="G17" s="170" t="s">
        <v>248</v>
      </c>
      <c r="H17" s="97"/>
    </row>
    <row r="18" customHeight="1" spans="1:8">
      <c r="A18" s="10">
        <f t="shared" si="0"/>
        <v>8</v>
      </c>
      <c r="B18" s="18"/>
      <c r="C18" s="25" t="s">
        <v>574</v>
      </c>
      <c r="D18" s="25"/>
      <c r="E18" s="25" t="s">
        <v>575</v>
      </c>
      <c r="F18" s="97"/>
      <c r="G18" s="102" t="s">
        <v>576</v>
      </c>
      <c r="H18" s="97"/>
    </row>
    <row r="19" customHeight="1" spans="1:8">
      <c r="A19" s="10">
        <f t="shared" si="0"/>
        <v>9</v>
      </c>
      <c r="B19" s="18"/>
      <c r="C19" s="25" t="s">
        <v>577</v>
      </c>
      <c r="D19" s="25"/>
      <c r="E19" s="25" t="s">
        <v>596</v>
      </c>
      <c r="F19" s="97"/>
      <c r="G19" s="102" t="s">
        <v>248</v>
      </c>
      <c r="H19" s="97"/>
    </row>
    <row r="20" customHeight="1" spans="1:8">
      <c r="A20" s="10">
        <f t="shared" si="0"/>
        <v>10</v>
      </c>
      <c r="B20" s="18"/>
      <c r="C20" s="25" t="s">
        <v>579</v>
      </c>
      <c r="D20" s="25"/>
      <c r="E20" s="25" t="s">
        <v>580</v>
      </c>
      <c r="F20" s="97"/>
      <c r="G20" s="102" t="s">
        <v>576</v>
      </c>
      <c r="H20"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zoomScale="85" zoomScaleNormal="85" topLeftCell="E1" workbookViewId="0">
      <selection activeCell="I14" sqref="I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16.425" style="23" customWidth="1"/>
    <col min="7" max="7" width="21.1666666666667" style="23" customWidth="1"/>
    <col min="8" max="8" width="26.9666666666667" style="23" customWidth="1"/>
    <col min="9" max="9" width="25.1666666666667" style="23" customWidth="1"/>
    <col min="10" max="16384" width="10.8333333333333" style="23"/>
  </cols>
  <sheetData>
    <row r="1" customHeight="1" spans="1:8">
      <c r="A1" s="1" t="s">
        <v>223</v>
      </c>
      <c r="B1" s="2" t="s">
        <v>1216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1217</v>
      </c>
      <c r="F4" s="11"/>
      <c r="G4" s="11"/>
      <c r="H4" s="11"/>
    </row>
    <row r="5" customHeight="1" spans="1:8">
      <c r="A5" s="10">
        <v>2</v>
      </c>
      <c r="B5" s="10" t="s">
        <v>228</v>
      </c>
      <c r="C5" s="10"/>
      <c r="D5" s="10"/>
      <c r="E5" s="11" t="s">
        <v>1218</v>
      </c>
      <c r="F5" s="11"/>
      <c r="G5" s="11"/>
      <c r="H5" s="11"/>
    </row>
    <row r="6" customHeight="1" spans="1:8">
      <c r="A6" s="10">
        <v>3</v>
      </c>
      <c r="B6" s="10" t="s">
        <v>229</v>
      </c>
      <c r="C6" s="10"/>
      <c r="D6" s="10"/>
      <c r="E6" s="11"/>
      <c r="F6" s="11"/>
      <c r="G6" s="11"/>
      <c r="H6" s="11"/>
    </row>
    <row r="7" customHeight="1" spans="1:8">
      <c r="A7" s="10">
        <v>4</v>
      </c>
      <c r="B7" s="10" t="s">
        <v>231</v>
      </c>
      <c r="C7" s="10"/>
      <c r="D7" s="10"/>
      <c r="E7" s="11" t="s">
        <v>1187</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25" t="s">
        <v>243</v>
      </c>
      <c r="D11" s="113" t="s">
        <v>243</v>
      </c>
      <c r="E11" s="25" t="s">
        <v>243</v>
      </c>
      <c r="F11" s="11"/>
      <c r="G11" s="10" t="s">
        <v>248</v>
      </c>
      <c r="H11" s="11"/>
    </row>
    <row r="12" customHeight="1" spans="1:8">
      <c r="A12" s="10">
        <v>2</v>
      </c>
      <c r="B12" s="171" t="s">
        <v>242</v>
      </c>
      <c r="C12" s="39" t="s">
        <v>1219</v>
      </c>
      <c r="D12" s="179" t="s">
        <v>1219</v>
      </c>
      <c r="E12" s="39" t="s">
        <v>265</v>
      </c>
      <c r="F12" s="11"/>
      <c r="G12" s="10" t="s">
        <v>248</v>
      </c>
      <c r="H12" s="11"/>
    </row>
    <row r="13" customHeight="1" spans="1:8">
      <c r="A13" s="10">
        <v>3</v>
      </c>
      <c r="B13" s="171" t="s">
        <v>242</v>
      </c>
      <c r="C13" s="39" t="s">
        <v>1220</v>
      </c>
      <c r="D13" s="179" t="s">
        <v>1220</v>
      </c>
      <c r="E13" s="39" t="s">
        <v>365</v>
      </c>
      <c r="F13" s="11"/>
      <c r="G13" s="10" t="s">
        <v>303</v>
      </c>
      <c r="H13" s="11"/>
    </row>
    <row r="14" customHeight="1" spans="1:10">
      <c r="A14" s="10">
        <v>4</v>
      </c>
      <c r="B14" s="171" t="s">
        <v>242</v>
      </c>
      <c r="C14" s="39" t="s">
        <v>1209</v>
      </c>
      <c r="D14" s="179" t="s">
        <v>1221</v>
      </c>
      <c r="E14" s="39" t="s">
        <v>1211</v>
      </c>
      <c r="F14" s="11"/>
      <c r="G14" s="10" t="s">
        <v>248</v>
      </c>
      <c r="H14" s="11"/>
      <c r="I14" s="217" t="s">
        <v>1186</v>
      </c>
      <c r="J14" s="23" t="s">
        <v>243</v>
      </c>
    </row>
    <row r="15" customHeight="1" spans="1:8">
      <c r="A15" s="10">
        <v>5</v>
      </c>
      <c r="B15" s="171" t="s">
        <v>242</v>
      </c>
      <c r="C15" s="39" t="s">
        <v>556</v>
      </c>
      <c r="D15" s="179" t="s">
        <v>556</v>
      </c>
      <c r="E15" s="39" t="s">
        <v>416</v>
      </c>
      <c r="F15" s="97"/>
      <c r="G15" s="25" t="s">
        <v>359</v>
      </c>
      <c r="H15" s="97"/>
    </row>
    <row r="16" customHeight="1" spans="1:8">
      <c r="A16" s="10">
        <v>6</v>
      </c>
      <c r="B16" s="171" t="s">
        <v>242</v>
      </c>
      <c r="C16" s="39" t="s">
        <v>558</v>
      </c>
      <c r="D16" s="179" t="s">
        <v>558</v>
      </c>
      <c r="E16" s="39" t="s">
        <v>560</v>
      </c>
      <c r="F16" s="98"/>
      <c r="G16" s="215" t="s">
        <v>421</v>
      </c>
      <c r="H16" s="216"/>
    </row>
    <row r="17" customHeight="1" spans="1:11">
      <c r="A17" s="10">
        <v>7</v>
      </c>
      <c r="B17" s="171" t="s">
        <v>242</v>
      </c>
      <c r="C17" s="39" t="s">
        <v>1222</v>
      </c>
      <c r="D17" s="179" t="s">
        <v>1222</v>
      </c>
      <c r="E17" s="39" t="s">
        <v>1223</v>
      </c>
      <c r="F17" s="98" t="s">
        <v>1224</v>
      </c>
      <c r="G17" s="25" t="s">
        <v>359</v>
      </c>
      <c r="H17" s="97" t="s">
        <v>1225</v>
      </c>
      <c r="I17" s="23" t="s">
        <v>1053</v>
      </c>
      <c r="J17" s="23" t="s">
        <v>265</v>
      </c>
      <c r="K17" s="23" t="s">
        <v>727</v>
      </c>
    </row>
    <row r="18" customHeight="1" spans="1:8">
      <c r="A18" s="10">
        <v>8</v>
      </c>
      <c r="B18" s="171"/>
      <c r="C18" s="39" t="s">
        <v>569</v>
      </c>
      <c r="D18" s="39"/>
      <c r="E18" s="39" t="s">
        <v>570</v>
      </c>
      <c r="F18" s="11"/>
      <c r="G18" s="10" t="s">
        <v>571</v>
      </c>
      <c r="H18" s="11"/>
    </row>
    <row r="19" customHeight="1" spans="1:8">
      <c r="A19" s="10">
        <v>9</v>
      </c>
      <c r="B19" s="18"/>
      <c r="C19" s="25" t="s">
        <v>574</v>
      </c>
      <c r="D19" s="25"/>
      <c r="E19" s="25" t="s">
        <v>575</v>
      </c>
      <c r="F19" s="97"/>
      <c r="G19" s="25" t="s">
        <v>576</v>
      </c>
      <c r="H19" s="97"/>
    </row>
    <row r="20" customHeight="1" spans="1:8">
      <c r="A20" s="10">
        <v>10</v>
      </c>
      <c r="B20" s="10"/>
      <c r="C20" s="10" t="s">
        <v>572</v>
      </c>
      <c r="D20" s="10"/>
      <c r="E20" s="25" t="s">
        <v>594</v>
      </c>
      <c r="F20" s="10"/>
      <c r="G20" s="10" t="s">
        <v>248</v>
      </c>
      <c r="H20" s="10"/>
    </row>
    <row r="21" customHeight="1" spans="1:8">
      <c r="A21" s="10">
        <v>11</v>
      </c>
      <c r="B21" s="10"/>
      <c r="C21" s="10" t="s">
        <v>579</v>
      </c>
      <c r="D21" s="10"/>
      <c r="E21" s="25" t="s">
        <v>580</v>
      </c>
      <c r="F21" s="10"/>
      <c r="G21" s="10" t="s">
        <v>576</v>
      </c>
      <c r="H21" s="10"/>
    </row>
    <row r="22" customHeight="1" spans="1:8">
      <c r="A22" s="10">
        <v>12</v>
      </c>
      <c r="B22" s="10"/>
      <c r="C22" s="10" t="s">
        <v>577</v>
      </c>
      <c r="D22" s="10"/>
      <c r="E22" s="25" t="s">
        <v>596</v>
      </c>
      <c r="F22" s="10"/>
      <c r="G22" s="10" t="s">
        <v>248</v>
      </c>
      <c r="H22"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zoomScale="85" zoomScaleNormal="85" topLeftCell="B1" workbookViewId="0">
      <selection activeCell="G15" sqref="G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5.4333333333333" style="23" customWidth="1"/>
    <col min="7" max="7" width="21.1666666666667" style="23" customWidth="1"/>
    <col min="8" max="8" width="38.1666666666667" style="23" customWidth="1"/>
    <col min="9" max="9" width="25.1666666666667" style="23" customWidth="1"/>
    <col min="10" max="16384" width="10.8333333333333" style="23"/>
  </cols>
  <sheetData>
    <row r="1" customHeight="1" spans="1:8">
      <c r="A1" s="1" t="s">
        <v>223</v>
      </c>
      <c r="B1" s="2" t="s">
        <v>1226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1227</v>
      </c>
      <c r="F4" s="11"/>
      <c r="G4" s="11"/>
      <c r="H4" s="11"/>
    </row>
    <row r="5" customHeight="1" spans="1:8">
      <c r="A5" s="10">
        <v>2</v>
      </c>
      <c r="B5" s="10" t="s">
        <v>228</v>
      </c>
      <c r="C5" s="10"/>
      <c r="D5" s="10"/>
      <c r="E5" s="11" t="s">
        <v>43</v>
      </c>
      <c r="F5" s="11"/>
      <c r="G5" s="11"/>
      <c r="H5" s="11"/>
    </row>
    <row r="6" customHeight="1" spans="1:8">
      <c r="A6" s="10">
        <v>3</v>
      </c>
      <c r="B6" s="10" t="s">
        <v>229</v>
      </c>
      <c r="C6" s="10"/>
      <c r="D6" s="10"/>
      <c r="E6" s="11"/>
      <c r="F6" s="11"/>
      <c r="G6" s="11"/>
      <c r="H6" s="11"/>
    </row>
    <row r="7" customHeight="1" spans="1:8">
      <c r="A7" s="10">
        <v>4</v>
      </c>
      <c r="B7" s="10" t="s">
        <v>231</v>
      </c>
      <c r="C7" s="10"/>
      <c r="D7" s="10"/>
      <c r="E7" s="11" t="s">
        <v>1187</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25" t="s">
        <v>243</v>
      </c>
      <c r="D11" s="113" t="s">
        <v>243</v>
      </c>
      <c r="E11" s="25" t="s">
        <v>243</v>
      </c>
      <c r="F11" s="11"/>
      <c r="G11" s="10" t="s">
        <v>248</v>
      </c>
      <c r="H11" s="11"/>
    </row>
    <row r="12" customHeight="1" spans="1:8">
      <c r="A12" s="10">
        <v>2</v>
      </c>
      <c r="B12" s="171" t="s">
        <v>242</v>
      </c>
      <c r="C12" s="39" t="s">
        <v>1228</v>
      </c>
      <c r="D12" s="179" t="s">
        <v>1228</v>
      </c>
      <c r="E12" s="39" t="s">
        <v>265</v>
      </c>
      <c r="F12" s="11"/>
      <c r="G12" s="10" t="s">
        <v>248</v>
      </c>
      <c r="H12" s="11"/>
    </row>
    <row r="13" customHeight="1" spans="1:8">
      <c r="A13" s="10">
        <v>3</v>
      </c>
      <c r="B13" s="171" t="s">
        <v>242</v>
      </c>
      <c r="C13" s="39" t="s">
        <v>1229</v>
      </c>
      <c r="D13" s="179" t="s">
        <v>1229</v>
      </c>
      <c r="E13" s="39" t="s">
        <v>365</v>
      </c>
      <c r="F13" s="11"/>
      <c r="G13" s="10" t="s">
        <v>303</v>
      </c>
      <c r="H13" s="11"/>
    </row>
    <row r="14" customHeight="1" spans="1:10">
      <c r="A14" s="10">
        <v>4</v>
      </c>
      <c r="B14" s="171" t="s">
        <v>242</v>
      </c>
      <c r="C14" s="39" t="s">
        <v>1209</v>
      </c>
      <c r="D14" s="179" t="s">
        <v>1221</v>
      </c>
      <c r="E14" s="39" t="s">
        <v>1211</v>
      </c>
      <c r="F14" s="11"/>
      <c r="G14" s="10" t="s">
        <v>248</v>
      </c>
      <c r="H14" s="11"/>
      <c r="I14" s="217" t="s">
        <v>1186</v>
      </c>
      <c r="J14" s="23" t="s">
        <v>243</v>
      </c>
    </row>
    <row r="15" customHeight="1" spans="1:10">
      <c r="A15" s="10">
        <v>5</v>
      </c>
      <c r="B15" s="171" t="s">
        <v>242</v>
      </c>
      <c r="C15" s="39" t="s">
        <v>1230</v>
      </c>
      <c r="D15" s="179" t="s">
        <v>1231</v>
      </c>
      <c r="E15" s="39" t="s">
        <v>1232</v>
      </c>
      <c r="F15" s="11"/>
      <c r="G15" s="10" t="s">
        <v>248</v>
      </c>
      <c r="H15" s="11"/>
      <c r="I15" s="217" t="s">
        <v>1217</v>
      </c>
      <c r="J15" s="23" t="s">
        <v>243</v>
      </c>
    </row>
    <row r="16" customHeight="1" spans="1:8">
      <c r="A16" s="10">
        <v>6</v>
      </c>
      <c r="B16" s="171" t="s">
        <v>242</v>
      </c>
      <c r="C16" s="39" t="s">
        <v>556</v>
      </c>
      <c r="D16" s="179" t="s">
        <v>1233</v>
      </c>
      <c r="E16" s="39" t="s">
        <v>416</v>
      </c>
      <c r="F16" s="97"/>
      <c r="G16" s="25" t="s">
        <v>359</v>
      </c>
      <c r="H16" s="97"/>
    </row>
    <row r="17" customHeight="1" spans="1:8">
      <c r="A17" s="10">
        <v>7</v>
      </c>
      <c r="B17" s="171" t="s">
        <v>242</v>
      </c>
      <c r="C17" s="39" t="s">
        <v>558</v>
      </c>
      <c r="D17" s="179" t="s">
        <v>558</v>
      </c>
      <c r="E17" s="39" t="s">
        <v>560</v>
      </c>
      <c r="F17" s="98"/>
      <c r="G17" s="215" t="s">
        <v>421</v>
      </c>
      <c r="H17" s="216"/>
    </row>
    <row r="18" ht="27.75" spans="1:8">
      <c r="A18" s="10">
        <v>8</v>
      </c>
      <c r="B18" s="171" t="s">
        <v>242</v>
      </c>
      <c r="C18" s="39" t="s">
        <v>1220</v>
      </c>
      <c r="D18" s="179" t="s">
        <v>1220</v>
      </c>
      <c r="E18" s="39" t="s">
        <v>1234</v>
      </c>
      <c r="F18" s="98" t="s">
        <v>1235</v>
      </c>
      <c r="G18" s="25" t="s">
        <v>1198</v>
      </c>
      <c r="H18" s="97"/>
    </row>
    <row r="19" customHeight="1" spans="1:11">
      <c r="A19" s="10">
        <v>9</v>
      </c>
      <c r="B19" s="171" t="s">
        <v>242</v>
      </c>
      <c r="C19" s="39" t="s">
        <v>1222</v>
      </c>
      <c r="D19" s="179" t="s">
        <v>1222</v>
      </c>
      <c r="E19" s="39" t="s">
        <v>1223</v>
      </c>
      <c r="F19" s="98" t="s">
        <v>1224</v>
      </c>
      <c r="G19" s="25" t="s">
        <v>359</v>
      </c>
      <c r="H19" s="97" t="s">
        <v>1236</v>
      </c>
      <c r="I19" s="23" t="s">
        <v>1053</v>
      </c>
      <c r="J19" s="23" t="s">
        <v>265</v>
      </c>
      <c r="K19" s="23" t="s">
        <v>727</v>
      </c>
    </row>
    <row r="20" customHeight="1" spans="1:8">
      <c r="A20" s="10">
        <v>10</v>
      </c>
      <c r="B20" s="171" t="s">
        <v>242</v>
      </c>
      <c r="C20" s="39" t="s">
        <v>1237</v>
      </c>
      <c r="D20" s="179" t="s">
        <v>1237</v>
      </c>
      <c r="E20" s="39" t="s">
        <v>1238</v>
      </c>
      <c r="F20" s="98"/>
      <c r="G20" s="25" t="s">
        <v>958</v>
      </c>
      <c r="H20" s="97"/>
    </row>
    <row r="21" customHeight="1" spans="1:8">
      <c r="A21" s="10">
        <v>11</v>
      </c>
      <c r="B21" s="171"/>
      <c r="C21" s="39" t="s">
        <v>1239</v>
      </c>
      <c r="D21" s="39"/>
      <c r="E21" s="39" t="s">
        <v>1240</v>
      </c>
      <c r="F21" s="98"/>
      <c r="G21" s="25" t="s">
        <v>263</v>
      </c>
      <c r="H21" s="97"/>
    </row>
    <row r="22" customHeight="1" spans="1:8">
      <c r="A22" s="10">
        <v>12</v>
      </c>
      <c r="B22" s="171"/>
      <c r="C22" s="39" t="s">
        <v>1241</v>
      </c>
      <c r="D22" s="39"/>
      <c r="E22" s="39" t="s">
        <v>1242</v>
      </c>
      <c r="F22" s="98"/>
      <c r="G22" s="25" t="s">
        <v>263</v>
      </c>
      <c r="H22" s="97"/>
    </row>
    <row r="23" customHeight="1" spans="1:8">
      <c r="A23" s="10">
        <v>13</v>
      </c>
      <c r="B23" s="171"/>
      <c r="C23" s="39" t="s">
        <v>1243</v>
      </c>
      <c r="D23" s="39"/>
      <c r="E23" s="39" t="s">
        <v>1244</v>
      </c>
      <c r="F23" s="98"/>
      <c r="G23" s="25" t="s">
        <v>282</v>
      </c>
      <c r="H23" s="97"/>
    </row>
    <row r="24" customHeight="1" spans="1:8">
      <c r="A24" s="10">
        <v>14</v>
      </c>
      <c r="B24" s="171"/>
      <c r="C24" s="39" t="s">
        <v>1245</v>
      </c>
      <c r="D24" s="39"/>
      <c r="E24" s="39" t="s">
        <v>1246</v>
      </c>
      <c r="F24" s="98"/>
      <c r="G24" s="25" t="s">
        <v>282</v>
      </c>
      <c r="H24" s="97"/>
    </row>
    <row r="25" customHeight="1" spans="1:8">
      <c r="A25" s="10">
        <v>15</v>
      </c>
      <c r="B25" s="171"/>
      <c r="C25" s="39" t="s">
        <v>1247</v>
      </c>
      <c r="D25" s="39"/>
      <c r="E25" s="39" t="s">
        <v>1248</v>
      </c>
      <c r="F25" s="97"/>
      <c r="G25" s="25" t="s">
        <v>263</v>
      </c>
      <c r="H25" s="97"/>
    </row>
    <row r="26" customHeight="1" spans="1:8">
      <c r="A26" s="10">
        <v>16</v>
      </c>
      <c r="B26" s="171"/>
      <c r="C26" s="39" t="s">
        <v>569</v>
      </c>
      <c r="D26" s="39"/>
      <c r="E26" s="39" t="s">
        <v>570</v>
      </c>
      <c r="F26" s="11"/>
      <c r="G26" s="10" t="s">
        <v>571</v>
      </c>
      <c r="H26" s="11"/>
    </row>
    <row r="27" customHeight="1" spans="1:8">
      <c r="A27" s="10">
        <v>17</v>
      </c>
      <c r="B27" s="18"/>
      <c r="C27" s="25" t="s">
        <v>574</v>
      </c>
      <c r="D27" s="25"/>
      <c r="E27" s="25" t="s">
        <v>575</v>
      </c>
      <c r="F27" s="97"/>
      <c r="G27" s="25" t="s">
        <v>576</v>
      </c>
      <c r="H27" s="97"/>
    </row>
    <row r="28" customHeight="1" spans="1:8">
      <c r="A28" s="10">
        <v>18</v>
      </c>
      <c r="B28" s="10"/>
      <c r="C28" s="10" t="s">
        <v>572</v>
      </c>
      <c r="D28" s="10"/>
      <c r="E28" s="25" t="s">
        <v>573</v>
      </c>
      <c r="F28" s="10"/>
      <c r="G28" s="10" t="s">
        <v>248</v>
      </c>
      <c r="H28" s="10"/>
    </row>
    <row r="29" customHeight="1" spans="1:8">
      <c r="A29" s="10">
        <v>19</v>
      </c>
      <c r="B29" s="10"/>
      <c r="C29" s="10" t="s">
        <v>579</v>
      </c>
      <c r="D29" s="10"/>
      <c r="E29" s="25" t="s">
        <v>580</v>
      </c>
      <c r="F29" s="10"/>
      <c r="G29" s="10" t="s">
        <v>576</v>
      </c>
      <c r="H29" s="10"/>
    </row>
    <row r="30" customHeight="1" spans="1:8">
      <c r="A30" s="10">
        <v>20</v>
      </c>
      <c r="B30" s="10"/>
      <c r="C30" s="10" t="s">
        <v>577</v>
      </c>
      <c r="D30" s="10"/>
      <c r="E30" s="25" t="s">
        <v>578</v>
      </c>
      <c r="F30" s="10"/>
      <c r="G30" s="10" t="s">
        <v>248</v>
      </c>
      <c r="H30"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zoomScale="55" zoomScaleNormal="55" topLeftCell="E1" workbookViewId="0">
      <selection activeCell="I14" sqref="I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5.1666666666667" style="23" customWidth="1"/>
    <col min="10" max="16384" width="10.8333333333333" style="23"/>
  </cols>
  <sheetData>
    <row r="1" customHeight="1" spans="1:8">
      <c r="A1" s="1" t="s">
        <v>223</v>
      </c>
      <c r="B1" s="2" t="s">
        <v>1249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1250</v>
      </c>
      <c r="F4" s="11"/>
      <c r="G4" s="11"/>
      <c r="H4" s="11"/>
    </row>
    <row r="5" customHeight="1" spans="1:8">
      <c r="A5" s="10">
        <v>2</v>
      </c>
      <c r="B5" s="10" t="s">
        <v>228</v>
      </c>
      <c r="C5" s="10"/>
      <c r="D5" s="10"/>
      <c r="E5" s="11" t="s">
        <v>1251</v>
      </c>
      <c r="F5" s="11"/>
      <c r="G5" s="11"/>
      <c r="H5" s="11"/>
    </row>
    <row r="6" customHeight="1" spans="1:8">
      <c r="A6" s="10">
        <v>3</v>
      </c>
      <c r="B6" s="10" t="s">
        <v>229</v>
      </c>
      <c r="C6" s="10"/>
      <c r="D6" s="10"/>
      <c r="E6" s="11"/>
      <c r="F6" s="11"/>
      <c r="G6" s="11"/>
      <c r="H6" s="11"/>
    </row>
    <row r="7" customHeight="1" spans="1:8">
      <c r="A7" s="10">
        <v>4</v>
      </c>
      <c r="B7" s="10" t="s">
        <v>231</v>
      </c>
      <c r="C7" s="10"/>
      <c r="D7" s="10"/>
      <c r="E7" s="11" t="s">
        <v>1187</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4" t="s">
        <v>237</v>
      </c>
      <c r="E10" s="17" t="s">
        <v>238</v>
      </c>
      <c r="F10" s="14" t="s">
        <v>239</v>
      </c>
      <c r="G10" s="14" t="s">
        <v>240</v>
      </c>
      <c r="H10" s="14" t="s">
        <v>241</v>
      </c>
    </row>
    <row r="11" customHeight="1" spans="1:8">
      <c r="A11" s="10">
        <v>1</v>
      </c>
      <c r="B11" s="18" t="s">
        <v>242</v>
      </c>
      <c r="C11" s="25" t="s">
        <v>243</v>
      </c>
      <c r="D11" s="25" t="s">
        <v>243</v>
      </c>
      <c r="E11" s="25" t="s">
        <v>243</v>
      </c>
      <c r="F11" s="11"/>
      <c r="G11" s="10" t="s">
        <v>248</v>
      </c>
      <c r="H11" s="11"/>
    </row>
    <row r="12" customHeight="1" spans="1:8">
      <c r="A12" s="10">
        <v>2</v>
      </c>
      <c r="B12" s="171" t="s">
        <v>242</v>
      </c>
      <c r="C12" s="39" t="s">
        <v>1252</v>
      </c>
      <c r="D12" s="39" t="s">
        <v>1252</v>
      </c>
      <c r="E12" s="39" t="s">
        <v>265</v>
      </c>
      <c r="F12" s="11"/>
      <c r="G12" s="10" t="s">
        <v>248</v>
      </c>
      <c r="H12" s="11"/>
    </row>
    <row r="13" customHeight="1" spans="1:8">
      <c r="A13" s="10">
        <v>3</v>
      </c>
      <c r="B13" s="171" t="s">
        <v>242</v>
      </c>
      <c r="C13" s="39" t="s">
        <v>1253</v>
      </c>
      <c r="D13" s="39" t="s">
        <v>1253</v>
      </c>
      <c r="E13" s="39" t="s">
        <v>365</v>
      </c>
      <c r="F13" s="11"/>
      <c r="G13" s="10" t="s">
        <v>303</v>
      </c>
      <c r="H13" s="11"/>
    </row>
    <row r="14" customHeight="1" spans="1:10">
      <c r="A14" s="10">
        <v>4</v>
      </c>
      <c r="B14" s="171" t="s">
        <v>242</v>
      </c>
      <c r="C14" s="39" t="s">
        <v>1209</v>
      </c>
      <c r="D14" s="39" t="s">
        <v>1221</v>
      </c>
      <c r="E14" s="39" t="s">
        <v>1211</v>
      </c>
      <c r="F14" s="11"/>
      <c r="G14" s="10" t="s">
        <v>248</v>
      </c>
      <c r="H14" s="11"/>
      <c r="I14" s="217" t="s">
        <v>1186</v>
      </c>
      <c r="J14" s="23" t="s">
        <v>243</v>
      </c>
    </row>
    <row r="15" customHeight="1" spans="1:10">
      <c r="A15" s="10">
        <v>5</v>
      </c>
      <c r="B15" s="171" t="s">
        <v>242</v>
      </c>
      <c r="C15" s="39" t="s">
        <v>1230</v>
      </c>
      <c r="D15" s="39" t="s">
        <v>1231</v>
      </c>
      <c r="E15" s="39" t="s">
        <v>1232</v>
      </c>
      <c r="F15" s="11"/>
      <c r="G15" s="10" t="s">
        <v>248</v>
      </c>
      <c r="H15" s="11"/>
      <c r="I15" s="217" t="s">
        <v>1217</v>
      </c>
      <c r="J15" s="23" t="s">
        <v>243</v>
      </c>
    </row>
    <row r="16" customHeight="1" spans="1:10">
      <c r="A16" s="10">
        <v>6</v>
      </c>
      <c r="B16" s="171" t="s">
        <v>242</v>
      </c>
      <c r="C16" s="39" t="s">
        <v>1254</v>
      </c>
      <c r="D16" s="39" t="s">
        <v>1255</v>
      </c>
      <c r="E16" s="39" t="s">
        <v>1256</v>
      </c>
      <c r="F16" s="11"/>
      <c r="G16" s="10" t="s">
        <v>248</v>
      </c>
      <c r="H16" s="11"/>
      <c r="I16" s="23" t="s">
        <v>1227</v>
      </c>
      <c r="J16" s="23" t="s">
        <v>243</v>
      </c>
    </row>
    <row r="17" customHeight="1" spans="1:8">
      <c r="A17" s="10">
        <v>7</v>
      </c>
      <c r="B17" s="171" t="s">
        <v>242</v>
      </c>
      <c r="C17" s="39" t="s">
        <v>556</v>
      </c>
      <c r="D17" s="39" t="s">
        <v>556</v>
      </c>
      <c r="E17" s="39" t="s">
        <v>416</v>
      </c>
      <c r="F17" s="97"/>
      <c r="G17" s="25" t="s">
        <v>359</v>
      </c>
      <c r="H17" s="97"/>
    </row>
    <row r="18" customHeight="1" spans="1:8">
      <c r="A18" s="10">
        <v>8</v>
      </c>
      <c r="B18" s="171" t="s">
        <v>242</v>
      </c>
      <c r="C18" s="39" t="s">
        <v>558</v>
      </c>
      <c r="D18" s="39" t="s">
        <v>558</v>
      </c>
      <c r="E18" s="39" t="s">
        <v>560</v>
      </c>
      <c r="F18" s="98"/>
      <c r="G18" s="215" t="s">
        <v>421</v>
      </c>
      <c r="H18" s="216"/>
    </row>
    <row r="19" customHeight="1" spans="1:8">
      <c r="A19" s="10">
        <v>9</v>
      </c>
      <c r="B19" s="171"/>
      <c r="C19" s="39" t="s">
        <v>569</v>
      </c>
      <c r="D19" s="39"/>
      <c r="E19" s="39" t="s">
        <v>570</v>
      </c>
      <c r="F19" s="11"/>
      <c r="G19" s="10" t="s">
        <v>571</v>
      </c>
      <c r="H19" s="11"/>
    </row>
    <row r="20" customHeight="1" spans="1:8">
      <c r="A20" s="10">
        <v>10</v>
      </c>
      <c r="B20" s="18"/>
      <c r="C20" s="25" t="s">
        <v>574</v>
      </c>
      <c r="D20" s="25"/>
      <c r="E20" s="25" t="s">
        <v>575</v>
      </c>
      <c r="F20" s="97"/>
      <c r="G20" s="25" t="s">
        <v>576</v>
      </c>
      <c r="H20" s="97"/>
    </row>
    <row r="21" customHeight="1" spans="1:8">
      <c r="A21" s="10">
        <v>11</v>
      </c>
      <c r="B21" s="10"/>
      <c r="C21" s="10" t="s">
        <v>572</v>
      </c>
      <c r="D21" s="10"/>
      <c r="E21" s="25" t="s">
        <v>594</v>
      </c>
      <c r="F21" s="10"/>
      <c r="G21" s="10" t="s">
        <v>248</v>
      </c>
      <c r="H21" s="10"/>
    </row>
    <row r="22" customHeight="1" spans="1:8">
      <c r="A22" s="10">
        <v>12</v>
      </c>
      <c r="B22" s="10"/>
      <c r="C22" s="10" t="s">
        <v>579</v>
      </c>
      <c r="D22" s="10"/>
      <c r="E22" s="25" t="s">
        <v>580</v>
      </c>
      <c r="F22" s="10"/>
      <c r="G22" s="10" t="s">
        <v>576</v>
      </c>
      <c r="H22" s="10"/>
    </row>
    <row r="23" customHeight="1" spans="1:8">
      <c r="A23" s="10">
        <v>13</v>
      </c>
      <c r="B23" s="10"/>
      <c r="C23" s="10" t="s">
        <v>577</v>
      </c>
      <c r="D23" s="10"/>
      <c r="E23" s="25" t="s">
        <v>596</v>
      </c>
      <c r="F23" s="10"/>
      <c r="G23" s="10" t="s">
        <v>248</v>
      </c>
      <c r="H23"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zoomScale="55" zoomScaleNormal="55" workbookViewId="0">
      <selection activeCell="D12" sqref="D1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1.8333333333333" style="24" customWidth="1"/>
    <col min="6" max="6" width="73.3333333333333" style="23" customWidth="1"/>
    <col min="7" max="7" width="21.1666666666667" style="23" customWidth="1"/>
    <col min="8" max="8" width="38.1666666666667" style="23" customWidth="1"/>
    <col min="9" max="9" width="18" style="23" customWidth="1"/>
    <col min="10" max="10" width="10.8333333333333" style="23"/>
    <col min="11" max="11" width="34" style="23" customWidth="1"/>
    <col min="12" max="16384" width="10.8333333333333" style="23"/>
  </cols>
  <sheetData>
    <row r="1" customHeight="1" spans="1:8">
      <c r="A1" s="1" t="s">
        <v>223</v>
      </c>
      <c r="B1" s="2" t="s">
        <v>49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1257</v>
      </c>
      <c r="F4" s="11"/>
      <c r="G4" s="11"/>
      <c r="H4" s="11"/>
    </row>
    <row r="5" customHeight="1" spans="1:8">
      <c r="A5" s="10">
        <v>2</v>
      </c>
      <c r="B5" s="10" t="s">
        <v>228</v>
      </c>
      <c r="C5" s="10"/>
      <c r="D5" s="10"/>
      <c r="E5" s="11" t="s">
        <v>49</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170" t="s">
        <v>243</v>
      </c>
      <c r="D11" s="179" t="s">
        <v>243</v>
      </c>
      <c r="E11" s="170" t="s">
        <v>243</v>
      </c>
      <c r="F11" s="11" t="s">
        <v>244</v>
      </c>
      <c r="G11" s="170" t="s">
        <v>248</v>
      </c>
      <c r="H11" s="11"/>
    </row>
    <row r="12" customHeight="1" spans="1:10">
      <c r="A12" s="10">
        <f t="shared" ref="A12:A20" si="0">ROW(A12)-10</f>
        <v>2</v>
      </c>
      <c r="B12" s="171" t="s">
        <v>242</v>
      </c>
      <c r="C12" s="170" t="s">
        <v>1259</v>
      </c>
      <c r="D12" s="179" t="s">
        <v>1260</v>
      </c>
      <c r="E12" s="170" t="s">
        <v>256</v>
      </c>
      <c r="F12" s="11"/>
      <c r="G12" s="170" t="s">
        <v>248</v>
      </c>
      <c r="H12" s="11"/>
      <c r="I12" s="23" t="s">
        <v>258</v>
      </c>
      <c r="J12" s="23" t="s">
        <v>243</v>
      </c>
    </row>
    <row r="13" customHeight="1" spans="1:10">
      <c r="A13" s="10">
        <f t="shared" si="0"/>
        <v>3</v>
      </c>
      <c r="B13" s="171" t="s">
        <v>242</v>
      </c>
      <c r="C13" s="170" t="s">
        <v>1261</v>
      </c>
      <c r="D13" s="179" t="s">
        <v>1262</v>
      </c>
      <c r="E13" s="170" t="s">
        <v>353</v>
      </c>
      <c r="F13" s="11"/>
      <c r="G13" s="170" t="s">
        <v>248</v>
      </c>
      <c r="H13" s="11"/>
      <c r="I13" s="23" t="s">
        <v>352</v>
      </c>
      <c r="J13" s="23" t="s">
        <v>353</v>
      </c>
    </row>
    <row r="14" customHeight="1" spans="1:8">
      <c r="A14" s="10">
        <f t="shared" si="0"/>
        <v>4</v>
      </c>
      <c r="B14" s="171" t="s">
        <v>242</v>
      </c>
      <c r="C14" s="170" t="s">
        <v>1263</v>
      </c>
      <c r="D14" s="179" t="s">
        <v>1263</v>
      </c>
      <c r="E14" s="170" t="s">
        <v>365</v>
      </c>
      <c r="F14" s="11"/>
      <c r="G14" s="170" t="s">
        <v>320</v>
      </c>
      <c r="H14" s="11"/>
    </row>
    <row r="15" customHeight="1" spans="1:11">
      <c r="A15" s="10">
        <f t="shared" si="0"/>
        <v>5</v>
      </c>
      <c r="B15" s="171" t="s">
        <v>242</v>
      </c>
      <c r="C15" s="170" t="s">
        <v>1264</v>
      </c>
      <c r="D15" s="179" t="s">
        <v>1265</v>
      </c>
      <c r="E15" s="170" t="s">
        <v>1266</v>
      </c>
      <c r="F15" s="11" t="s">
        <v>1267</v>
      </c>
      <c r="G15" s="170" t="s">
        <v>263</v>
      </c>
      <c r="H15" s="97" t="s">
        <v>1268</v>
      </c>
      <c r="I15" s="23" t="s">
        <v>264</v>
      </c>
      <c r="J15" s="23" t="s">
        <v>265</v>
      </c>
      <c r="K15" s="23" t="s">
        <v>1266</v>
      </c>
    </row>
    <row r="16" customHeight="1" spans="1:11">
      <c r="A16" s="10">
        <f t="shared" si="0"/>
        <v>6</v>
      </c>
      <c r="B16" s="171" t="s">
        <v>242</v>
      </c>
      <c r="C16" s="170" t="s">
        <v>1269</v>
      </c>
      <c r="D16" s="179" t="s">
        <v>1270</v>
      </c>
      <c r="E16" s="170" t="s">
        <v>1271</v>
      </c>
      <c r="F16" s="11" t="s">
        <v>1272</v>
      </c>
      <c r="G16" s="170" t="s">
        <v>263</v>
      </c>
      <c r="H16" s="97" t="s">
        <v>1273</v>
      </c>
      <c r="I16" s="23" t="s">
        <v>264</v>
      </c>
      <c r="J16" s="23" t="s">
        <v>265</v>
      </c>
      <c r="K16" s="23" t="s">
        <v>1271</v>
      </c>
    </row>
    <row r="17" customHeight="1" spans="1:8">
      <c r="A17" s="10">
        <f t="shared" si="0"/>
        <v>7</v>
      </c>
      <c r="B17" s="18" t="s">
        <v>242</v>
      </c>
      <c r="C17" s="102" t="s">
        <v>1274</v>
      </c>
      <c r="D17" s="113" t="s">
        <v>1274</v>
      </c>
      <c r="E17" s="102" t="s">
        <v>1275</v>
      </c>
      <c r="F17" s="11" t="s">
        <v>1193</v>
      </c>
      <c r="G17" s="102" t="s">
        <v>1194</v>
      </c>
      <c r="H17" s="11"/>
    </row>
    <row r="18" customHeight="1" spans="1:9">
      <c r="A18" s="10">
        <f t="shared" si="0"/>
        <v>8</v>
      </c>
      <c r="B18" s="10"/>
      <c r="C18" s="10" t="s">
        <v>1276</v>
      </c>
      <c r="D18" s="16" t="s">
        <v>1276</v>
      </c>
      <c r="E18" s="10" t="s">
        <v>1277</v>
      </c>
      <c r="F18" s="10"/>
      <c r="G18" s="13" t="s">
        <v>248</v>
      </c>
      <c r="H18" s="11"/>
      <c r="I18" s="50"/>
    </row>
    <row r="19" customHeight="1" spans="1:9">
      <c r="A19" s="10">
        <f t="shared" si="0"/>
        <v>9</v>
      </c>
      <c r="B19" s="10"/>
      <c r="C19" s="10" t="s">
        <v>1278</v>
      </c>
      <c r="D19" s="16" t="s">
        <v>1278</v>
      </c>
      <c r="E19" s="10" t="s">
        <v>1279</v>
      </c>
      <c r="F19" s="10"/>
      <c r="G19" s="13" t="s">
        <v>248</v>
      </c>
      <c r="H19" s="11"/>
      <c r="I19" s="50"/>
    </row>
    <row r="20" customHeight="1" spans="1:8">
      <c r="A20" s="10">
        <f t="shared" si="0"/>
        <v>10</v>
      </c>
      <c r="B20" s="10"/>
      <c r="C20" s="10" t="s">
        <v>1280</v>
      </c>
      <c r="D20" s="10" t="s">
        <v>1280</v>
      </c>
      <c r="E20" s="10" t="s">
        <v>1281</v>
      </c>
      <c r="F20" s="10"/>
      <c r="G20" s="13" t="s">
        <v>320</v>
      </c>
      <c r="H20"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zoomScale="85" zoomScaleNormal="85" topLeftCell="A4" workbookViewId="0">
      <selection activeCell="A11" sqref="A11:A20"/>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6.3166666666667" style="24" customWidth="1"/>
    <col min="6" max="6" width="46.6083333333333" style="23" customWidth="1"/>
    <col min="7" max="7" width="21.1666666666667" style="23" customWidth="1"/>
    <col min="8" max="8" width="27.9333333333333" style="23" customWidth="1"/>
    <col min="9" max="10" width="10.8333333333333" style="23"/>
    <col min="11" max="11" width="39.1666666666667" style="23" customWidth="1"/>
    <col min="12" max="16384" width="10.8333333333333" style="23"/>
  </cols>
  <sheetData>
    <row r="1" customHeight="1" spans="1:8">
      <c r="A1" s="1" t="s">
        <v>223</v>
      </c>
      <c r="B1" s="2" t="s">
        <v>1282</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1283</v>
      </c>
      <c r="F4" s="11"/>
      <c r="G4" s="11"/>
      <c r="H4" s="11"/>
    </row>
    <row r="5" customHeight="1" spans="1:8">
      <c r="A5" s="10">
        <v>2</v>
      </c>
      <c r="B5" s="10" t="s">
        <v>228</v>
      </c>
      <c r="C5" s="10"/>
      <c r="D5" s="10"/>
      <c r="E5" s="11" t="s">
        <v>1282</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8">
      <c r="A12" s="10">
        <v>2</v>
      </c>
      <c r="B12" s="171" t="s">
        <v>242</v>
      </c>
      <c r="C12" s="170" t="s">
        <v>1284</v>
      </c>
      <c r="D12" s="179" t="s">
        <v>1285</v>
      </c>
      <c r="E12" s="170" t="s">
        <v>1286</v>
      </c>
      <c r="F12" s="11"/>
      <c r="G12" s="170" t="s">
        <v>320</v>
      </c>
      <c r="H12" s="11"/>
    </row>
    <row r="13" customHeight="1" spans="1:11">
      <c r="A13" s="10">
        <v>3</v>
      </c>
      <c r="B13" s="171" t="s">
        <v>242</v>
      </c>
      <c r="C13" s="170" t="s">
        <v>1287</v>
      </c>
      <c r="D13" s="179" t="s">
        <v>1288</v>
      </c>
      <c r="E13" s="170" t="s">
        <v>1289</v>
      </c>
      <c r="F13" s="11" t="s">
        <v>1290</v>
      </c>
      <c r="G13" s="170" t="s">
        <v>248</v>
      </c>
      <c r="H13" s="97" t="s">
        <v>1291</v>
      </c>
      <c r="I13" s="23" t="s">
        <v>1053</v>
      </c>
      <c r="J13" s="23" t="s">
        <v>265</v>
      </c>
      <c r="K13" s="23" t="s">
        <v>1292</v>
      </c>
    </row>
    <row r="14" customHeight="1" spans="1:11">
      <c r="A14" s="10">
        <v>4</v>
      </c>
      <c r="B14" s="171" t="s">
        <v>242</v>
      </c>
      <c r="C14" s="170" t="s">
        <v>1293</v>
      </c>
      <c r="D14" s="179" t="s">
        <v>1294</v>
      </c>
      <c r="E14" s="170" t="s">
        <v>1295</v>
      </c>
      <c r="F14" s="172" t="s">
        <v>1296</v>
      </c>
      <c r="G14" s="170" t="s">
        <v>263</v>
      </c>
      <c r="H14" s="97" t="s">
        <v>1297</v>
      </c>
      <c r="I14" s="23" t="s">
        <v>1053</v>
      </c>
      <c r="J14" s="23" t="s">
        <v>265</v>
      </c>
      <c r="K14" s="23" t="s">
        <v>1295</v>
      </c>
    </row>
    <row r="15" customHeight="1" spans="1:11">
      <c r="A15" s="10">
        <v>5</v>
      </c>
      <c r="B15" s="171"/>
      <c r="C15" s="170" t="s">
        <v>1298</v>
      </c>
      <c r="D15" s="179" t="s">
        <v>1299</v>
      </c>
      <c r="E15" s="170" t="s">
        <v>1300</v>
      </c>
      <c r="F15" s="172" t="s">
        <v>1301</v>
      </c>
      <c r="G15" s="170" t="s">
        <v>263</v>
      </c>
      <c r="H15" s="97" t="s">
        <v>1297</v>
      </c>
      <c r="I15" s="23" t="s">
        <v>1053</v>
      </c>
      <c r="J15" s="23" t="s">
        <v>265</v>
      </c>
      <c r="K15" s="23" t="s">
        <v>1300</v>
      </c>
    </row>
    <row r="16" customHeight="1" spans="1:8">
      <c r="A16" s="10">
        <v>6</v>
      </c>
      <c r="B16" s="171" t="s">
        <v>242</v>
      </c>
      <c r="C16" s="170" t="s">
        <v>1302</v>
      </c>
      <c r="D16" s="179" t="s">
        <v>1302</v>
      </c>
      <c r="E16" s="170" t="s">
        <v>1303</v>
      </c>
      <c r="F16" s="11" t="s">
        <v>1193</v>
      </c>
      <c r="G16" s="170" t="s">
        <v>1194</v>
      </c>
      <c r="H16" s="11"/>
    </row>
    <row r="17" customHeight="1" spans="1:8">
      <c r="A17" s="10">
        <v>7</v>
      </c>
      <c r="B17" s="171" t="s">
        <v>242</v>
      </c>
      <c r="C17" s="170" t="s">
        <v>1304</v>
      </c>
      <c r="D17" s="179" t="s">
        <v>1305</v>
      </c>
      <c r="E17" s="170" t="s">
        <v>1306</v>
      </c>
      <c r="F17" s="214"/>
      <c r="G17" s="170" t="s">
        <v>320</v>
      </c>
      <c r="H17" s="214"/>
    </row>
    <row r="18" customHeight="1" spans="1:11">
      <c r="A18" s="10">
        <v>8</v>
      </c>
      <c r="B18" s="171" t="s">
        <v>242</v>
      </c>
      <c r="C18" s="102" t="s">
        <v>1307</v>
      </c>
      <c r="D18" s="113" t="s">
        <v>1308</v>
      </c>
      <c r="E18" s="102" t="s">
        <v>1309</v>
      </c>
      <c r="F18" s="180" t="s">
        <v>1310</v>
      </c>
      <c r="G18" s="102" t="s">
        <v>263</v>
      </c>
      <c r="H18" s="25" t="s">
        <v>1311</v>
      </c>
      <c r="I18" s="23" t="s">
        <v>1053</v>
      </c>
      <c r="J18" s="23" t="s">
        <v>265</v>
      </c>
      <c r="K18" s="23" t="s">
        <v>1309</v>
      </c>
    </row>
    <row r="19" customHeight="1" spans="1:8">
      <c r="A19" s="10">
        <v>9</v>
      </c>
      <c r="B19" s="18" t="s">
        <v>242</v>
      </c>
      <c r="C19" s="102" t="s">
        <v>1312</v>
      </c>
      <c r="D19" s="113" t="s">
        <v>1312</v>
      </c>
      <c r="E19" s="102" t="s">
        <v>1313</v>
      </c>
      <c r="F19" s="172" t="s">
        <v>1193</v>
      </c>
      <c r="G19" s="102" t="s">
        <v>1194</v>
      </c>
      <c r="H19" s="10"/>
    </row>
    <row r="20" customHeight="1" spans="1:8">
      <c r="A20" s="10">
        <v>10</v>
      </c>
      <c r="B20" s="18"/>
      <c r="C20" s="25" t="s">
        <v>1314</v>
      </c>
      <c r="D20" s="25"/>
      <c r="E20" s="25" t="s">
        <v>1315</v>
      </c>
      <c r="F20" s="213" t="s">
        <v>1316</v>
      </c>
      <c r="G20" s="10" t="s">
        <v>248</v>
      </c>
      <c r="H20"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opLeftCell="A3" workbookViewId="0">
      <selection activeCell="E12" sqref="E1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9.625" style="23" customWidth="1"/>
    <col min="7" max="7" width="21.1666666666667" style="23" customWidth="1"/>
    <col min="8" max="8" width="7.375" style="23" customWidth="1"/>
    <col min="9" max="9" width="34.3333333333333" style="23" customWidth="1"/>
    <col min="10" max="16384" width="10.8333333333333" style="23"/>
  </cols>
  <sheetData>
    <row r="1" customHeight="1" spans="1:8">
      <c r="A1" s="1" t="s">
        <v>223</v>
      </c>
      <c r="B1" s="2" t="s">
        <v>1317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1318</v>
      </c>
      <c r="F4" s="11"/>
      <c r="G4" s="11"/>
      <c r="H4" s="11"/>
    </row>
    <row r="5" customHeight="1" spans="1:8">
      <c r="A5" s="10">
        <v>2</v>
      </c>
      <c r="B5" s="10" t="s">
        <v>228</v>
      </c>
      <c r="C5" s="10"/>
      <c r="D5" s="10"/>
      <c r="E5" s="11" t="s">
        <v>1317</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4" t="s">
        <v>237</v>
      </c>
      <c r="E10" s="17" t="s">
        <v>238</v>
      </c>
      <c r="F10" s="14" t="s">
        <v>239</v>
      </c>
      <c r="G10" s="14" t="s">
        <v>240</v>
      </c>
      <c r="H10" s="14" t="s">
        <v>241</v>
      </c>
    </row>
    <row r="11" customHeight="1" spans="1:8">
      <c r="A11" s="10">
        <v>1</v>
      </c>
      <c r="B11" s="18" t="s">
        <v>242</v>
      </c>
      <c r="C11" s="170" t="s">
        <v>243</v>
      </c>
      <c r="D11" s="170" t="s">
        <v>243</v>
      </c>
      <c r="E11" s="170" t="s">
        <v>243</v>
      </c>
      <c r="F11" s="11" t="s">
        <v>244</v>
      </c>
      <c r="G11" s="170" t="s">
        <v>322</v>
      </c>
      <c r="H11" s="11"/>
    </row>
    <row r="12" customHeight="1" spans="1:10">
      <c r="A12" s="10">
        <v>2</v>
      </c>
      <c r="B12" s="171" t="s">
        <v>242</v>
      </c>
      <c r="C12" s="170" t="s">
        <v>1319</v>
      </c>
      <c r="D12" s="170" t="s">
        <v>1320</v>
      </c>
      <c r="E12" s="170" t="s">
        <v>1321</v>
      </c>
      <c r="F12" s="11"/>
      <c r="G12" s="170" t="s">
        <v>322</v>
      </c>
      <c r="H12" s="11"/>
      <c r="I12" s="23" t="s">
        <v>1283</v>
      </c>
      <c r="J12" s="23" t="s">
        <v>243</v>
      </c>
    </row>
    <row r="13" customHeight="1" spans="1:10">
      <c r="A13" s="10">
        <v>3</v>
      </c>
      <c r="B13" s="171" t="s">
        <v>242</v>
      </c>
      <c r="C13" s="170" t="s">
        <v>1259</v>
      </c>
      <c r="D13" s="170" t="s">
        <v>1322</v>
      </c>
      <c r="E13" s="170" t="s">
        <v>256</v>
      </c>
      <c r="F13" s="11"/>
      <c r="G13" s="170" t="s">
        <v>248</v>
      </c>
      <c r="H13" s="11"/>
      <c r="I13" s="23" t="s">
        <v>258</v>
      </c>
      <c r="J13" s="23" t="s">
        <v>243</v>
      </c>
    </row>
    <row r="14" customHeight="1" spans="1:10">
      <c r="A14" s="10">
        <v>4</v>
      </c>
      <c r="B14" s="171" t="s">
        <v>242</v>
      </c>
      <c r="C14" s="170" t="s">
        <v>1261</v>
      </c>
      <c r="D14" s="170" t="s">
        <v>1323</v>
      </c>
      <c r="E14" s="170" t="s">
        <v>353</v>
      </c>
      <c r="F14" s="11"/>
      <c r="G14" s="170" t="s">
        <v>248</v>
      </c>
      <c r="H14" s="11"/>
      <c r="I14" s="23" t="s">
        <v>352</v>
      </c>
      <c r="J14" s="23" t="s">
        <v>353</v>
      </c>
    </row>
    <row r="15" customHeight="1" spans="1:8">
      <c r="A15" s="10">
        <v>5</v>
      </c>
      <c r="B15" s="171" t="s">
        <v>242</v>
      </c>
      <c r="C15" s="170" t="s">
        <v>724</v>
      </c>
      <c r="D15" s="170" t="s">
        <v>1324</v>
      </c>
      <c r="E15" s="170" t="s">
        <v>620</v>
      </c>
      <c r="F15" s="11"/>
      <c r="G15" s="170" t="s">
        <v>248</v>
      </c>
      <c r="H15" s="11"/>
    </row>
    <row r="16" customHeight="1" spans="1:8">
      <c r="A16" s="10">
        <v>6</v>
      </c>
      <c r="B16" s="18" t="s">
        <v>242</v>
      </c>
      <c r="C16" s="102" t="s">
        <v>593</v>
      </c>
      <c r="D16" s="102" t="s">
        <v>593</v>
      </c>
      <c r="E16" s="102" t="s">
        <v>560</v>
      </c>
      <c r="F16" s="172" t="s">
        <v>1325</v>
      </c>
      <c r="G16" s="102" t="s">
        <v>421</v>
      </c>
      <c r="H16"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zoomScale="85" zoomScaleNormal="85" workbookViewId="0">
      <selection activeCell="K16" sqref="K1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6.75" style="24" customWidth="1"/>
    <col min="6" max="6" width="37.5" style="23" customWidth="1"/>
    <col min="7" max="7" width="21.1666666666667" style="23" customWidth="1"/>
    <col min="8" max="8" width="28.25" style="23" customWidth="1"/>
    <col min="9" max="9" width="18" style="23" customWidth="1"/>
    <col min="10" max="10" width="10.8333333333333" style="23"/>
    <col min="11" max="11" width="27.5" style="23" customWidth="1"/>
    <col min="12" max="16384" width="10.8333333333333" style="23"/>
  </cols>
  <sheetData>
    <row r="1" customHeight="1" spans="1:8">
      <c r="A1" s="1" t="s">
        <v>223</v>
      </c>
      <c r="B1" s="2" t="s">
        <v>1326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1327</v>
      </c>
      <c r="F4" s="11"/>
      <c r="G4" s="11"/>
      <c r="H4" s="11"/>
    </row>
    <row r="5" customHeight="1" spans="1:8">
      <c r="A5" s="10">
        <v>2</v>
      </c>
      <c r="B5" s="10" t="s">
        <v>228</v>
      </c>
      <c r="C5" s="10"/>
      <c r="D5" s="10"/>
      <c r="E5" s="11" t="s">
        <v>1328</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8" si="0">ROW(A11)-10</f>
        <v>1</v>
      </c>
      <c r="B11" s="18" t="s">
        <v>242</v>
      </c>
      <c r="C11" s="170" t="s">
        <v>243</v>
      </c>
      <c r="D11" s="179" t="s">
        <v>243</v>
      </c>
      <c r="E11" s="170" t="s">
        <v>243</v>
      </c>
      <c r="F11" s="11" t="s">
        <v>244</v>
      </c>
      <c r="G11" s="170" t="s">
        <v>248</v>
      </c>
      <c r="H11" s="11"/>
    </row>
    <row r="12" customHeight="1" spans="1:10">
      <c r="A12" s="10">
        <f t="shared" si="0"/>
        <v>2</v>
      </c>
      <c r="B12" s="171" t="s">
        <v>242</v>
      </c>
      <c r="C12" s="170" t="s">
        <v>1259</v>
      </c>
      <c r="D12" s="179" t="s">
        <v>1322</v>
      </c>
      <c r="E12" s="170" t="s">
        <v>256</v>
      </c>
      <c r="F12" s="11"/>
      <c r="G12" s="170" t="s">
        <v>248</v>
      </c>
      <c r="H12" s="11"/>
      <c r="I12" s="23" t="s">
        <v>258</v>
      </c>
      <c r="J12" s="23" t="s">
        <v>243</v>
      </c>
    </row>
    <row r="13" customHeight="1" spans="1:10">
      <c r="A13" s="10">
        <f t="shared" si="0"/>
        <v>3</v>
      </c>
      <c r="B13" s="171" t="s">
        <v>242</v>
      </c>
      <c r="C13" s="170" t="s">
        <v>1261</v>
      </c>
      <c r="D13" s="179" t="s">
        <v>1323</v>
      </c>
      <c r="E13" s="170" t="s">
        <v>353</v>
      </c>
      <c r="F13" s="11"/>
      <c r="G13" s="170" t="s">
        <v>248</v>
      </c>
      <c r="H13" s="11"/>
      <c r="I13" s="23" t="s">
        <v>352</v>
      </c>
      <c r="J13" s="23" t="s">
        <v>353</v>
      </c>
    </row>
    <row r="14" customHeight="1" spans="1:8">
      <c r="A14" s="10">
        <f t="shared" si="0"/>
        <v>4</v>
      </c>
      <c r="B14" s="171" t="s">
        <v>242</v>
      </c>
      <c r="C14" s="170" t="s">
        <v>1329</v>
      </c>
      <c r="D14" s="179" t="s">
        <v>1329</v>
      </c>
      <c r="E14" s="170" t="s">
        <v>365</v>
      </c>
      <c r="F14" s="11"/>
      <c r="G14" s="170" t="s">
        <v>320</v>
      </c>
      <c r="H14" s="11"/>
    </row>
    <row r="15" customHeight="1" spans="1:11">
      <c r="A15" s="10">
        <f t="shared" si="0"/>
        <v>5</v>
      </c>
      <c r="B15" s="171" t="s">
        <v>242</v>
      </c>
      <c r="C15" s="170" t="s">
        <v>1330</v>
      </c>
      <c r="D15" s="179" t="s">
        <v>1331</v>
      </c>
      <c r="E15" s="170" t="s">
        <v>1332</v>
      </c>
      <c r="F15" s="172" t="s">
        <v>1333</v>
      </c>
      <c r="G15" s="170" t="s">
        <v>263</v>
      </c>
      <c r="H15" s="97" t="s">
        <v>1334</v>
      </c>
      <c r="I15" s="23" t="s">
        <v>264</v>
      </c>
      <c r="J15" s="23" t="s">
        <v>265</v>
      </c>
      <c r="K15" s="23" t="s">
        <v>1332</v>
      </c>
    </row>
    <row r="16" customHeight="1" spans="1:11">
      <c r="A16" s="10">
        <f t="shared" si="0"/>
        <v>6</v>
      </c>
      <c r="B16" s="18" t="s">
        <v>242</v>
      </c>
      <c r="C16" s="102" t="s">
        <v>1335</v>
      </c>
      <c r="D16" s="113" t="s">
        <v>1336</v>
      </c>
      <c r="E16" s="102" t="s">
        <v>1337</v>
      </c>
      <c r="F16" s="172" t="s">
        <v>1296</v>
      </c>
      <c r="G16" s="102" t="s">
        <v>263</v>
      </c>
      <c r="H16" s="97" t="s">
        <v>1338</v>
      </c>
      <c r="I16" s="23" t="s">
        <v>264</v>
      </c>
      <c r="J16" s="23" t="s">
        <v>265</v>
      </c>
      <c r="K16" s="23" t="s">
        <v>1337</v>
      </c>
    </row>
    <row r="17" customHeight="1" spans="1:8">
      <c r="A17" s="10">
        <f t="shared" si="0"/>
        <v>7</v>
      </c>
      <c r="B17" s="18" t="s">
        <v>242</v>
      </c>
      <c r="C17" s="102" t="s">
        <v>1274</v>
      </c>
      <c r="D17" s="113" t="s">
        <v>1339</v>
      </c>
      <c r="E17" s="102" t="s">
        <v>1275</v>
      </c>
      <c r="F17" s="11" t="s">
        <v>1193</v>
      </c>
      <c r="G17" s="102" t="s">
        <v>1194</v>
      </c>
      <c r="H17" s="11"/>
    </row>
    <row r="18" customHeight="1" spans="1:8">
      <c r="A18" s="10">
        <f t="shared" si="0"/>
        <v>8</v>
      </c>
      <c r="B18" s="18"/>
      <c r="C18" s="25" t="s">
        <v>1314</v>
      </c>
      <c r="D18" s="113" t="s">
        <v>1314</v>
      </c>
      <c r="E18" s="25" t="s">
        <v>1315</v>
      </c>
      <c r="F18" s="213" t="s">
        <v>1316</v>
      </c>
      <c r="G18" s="10" t="s">
        <v>248</v>
      </c>
      <c r="H18"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70" zoomScaleNormal="70" topLeftCell="D4" workbookViewId="0">
      <selection activeCell="G20" sqref="G20"/>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2.7833333333333" style="24" customWidth="1"/>
    <col min="6" max="6" width="43.25" style="23" customWidth="1"/>
    <col min="7" max="7" width="21.1666666666667" style="23" customWidth="1"/>
    <col min="8" max="8" width="25.5" style="23" customWidth="1"/>
    <col min="9" max="9" width="16.3333333333333" style="23" customWidth="1"/>
    <col min="10" max="10" width="10.8333333333333" style="23"/>
    <col min="11" max="11" width="29" style="23" customWidth="1"/>
    <col min="12" max="16384" width="10.8333333333333" style="23"/>
  </cols>
  <sheetData>
    <row r="1" customHeight="1" spans="1:8">
      <c r="A1" s="1" t="s">
        <v>223</v>
      </c>
      <c r="B1" s="2" t="s">
        <v>1340</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1341</v>
      </c>
      <c r="F4" s="11"/>
      <c r="G4" s="11"/>
      <c r="H4" s="11"/>
    </row>
    <row r="5" customHeight="1" spans="1:8">
      <c r="A5" s="10">
        <v>2</v>
      </c>
      <c r="B5" s="10" t="s">
        <v>228</v>
      </c>
      <c r="C5" s="10"/>
      <c r="D5" s="10"/>
      <c r="E5" s="11" t="s">
        <v>1340</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28" si="0">ROW(A11)-10</f>
        <v>1</v>
      </c>
      <c r="B11" s="18" t="s">
        <v>242</v>
      </c>
      <c r="C11" s="170" t="s">
        <v>243</v>
      </c>
      <c r="D11" s="179" t="s">
        <v>243</v>
      </c>
      <c r="E11" s="170" t="s">
        <v>243</v>
      </c>
      <c r="F11" s="11" t="s">
        <v>244</v>
      </c>
      <c r="G11" s="170" t="s">
        <v>248</v>
      </c>
      <c r="H11" s="11"/>
    </row>
    <row r="12" customHeight="1" spans="1:12">
      <c r="A12" s="10">
        <f t="shared" si="0"/>
        <v>2</v>
      </c>
      <c r="B12" s="171" t="s">
        <v>242</v>
      </c>
      <c r="C12" s="170" t="s">
        <v>1259</v>
      </c>
      <c r="D12" s="179" t="s">
        <v>1260</v>
      </c>
      <c r="E12" s="170" t="s">
        <v>256</v>
      </c>
      <c r="F12" s="11"/>
      <c r="G12" s="170" t="s">
        <v>248</v>
      </c>
      <c r="H12" s="11"/>
      <c r="I12" s="23" t="s">
        <v>258</v>
      </c>
      <c r="J12" s="23" t="s">
        <v>243</v>
      </c>
      <c r="L12" s="23" t="s">
        <v>365</v>
      </c>
    </row>
    <row r="13" customHeight="1" spans="1:12">
      <c r="A13" s="10">
        <f t="shared" si="0"/>
        <v>3</v>
      </c>
      <c r="B13" s="18" t="s">
        <v>242</v>
      </c>
      <c r="C13" s="102" t="s">
        <v>1261</v>
      </c>
      <c r="D13" s="179" t="s">
        <v>1262</v>
      </c>
      <c r="E13" s="102" t="s">
        <v>353</v>
      </c>
      <c r="F13" s="11"/>
      <c r="G13" s="102" t="s">
        <v>248</v>
      </c>
      <c r="H13" s="11"/>
      <c r="I13" s="23" t="s">
        <v>352</v>
      </c>
      <c r="J13" s="23" t="s">
        <v>353</v>
      </c>
      <c r="L13" s="23" t="s">
        <v>365</v>
      </c>
    </row>
    <row r="14" ht="69" spans="1:11">
      <c r="A14" s="10">
        <f t="shared" si="0"/>
        <v>4</v>
      </c>
      <c r="B14" s="18" t="s">
        <v>242</v>
      </c>
      <c r="C14" s="102" t="s">
        <v>1342</v>
      </c>
      <c r="D14" s="113" t="s">
        <v>1343</v>
      </c>
      <c r="E14" s="102" t="s">
        <v>1344</v>
      </c>
      <c r="F14" s="172" t="s">
        <v>1345</v>
      </c>
      <c r="G14" s="102" t="s">
        <v>263</v>
      </c>
      <c r="H14" s="97" t="s">
        <v>1346</v>
      </c>
      <c r="I14" s="23" t="s">
        <v>264</v>
      </c>
      <c r="J14" s="23" t="s">
        <v>265</v>
      </c>
      <c r="K14" s="23" t="s">
        <v>1344</v>
      </c>
    </row>
    <row r="15" customHeight="1" spans="1:8">
      <c r="A15" s="10">
        <f t="shared" si="0"/>
        <v>5</v>
      </c>
      <c r="B15" s="18" t="s">
        <v>242</v>
      </c>
      <c r="C15" s="102" t="s">
        <v>285</v>
      </c>
      <c r="D15" s="113" t="s">
        <v>285</v>
      </c>
      <c r="E15" s="102" t="s">
        <v>286</v>
      </c>
      <c r="F15" s="172" t="s">
        <v>1347</v>
      </c>
      <c r="G15" s="102" t="s">
        <v>282</v>
      </c>
      <c r="H15" s="11"/>
    </row>
    <row r="16" customHeight="1" spans="1:8">
      <c r="A16" s="10">
        <f t="shared" si="0"/>
        <v>6</v>
      </c>
      <c r="B16" s="18" t="s">
        <v>242</v>
      </c>
      <c r="C16" s="102" t="s">
        <v>418</v>
      </c>
      <c r="D16" s="113" t="s">
        <v>418</v>
      </c>
      <c r="E16" s="102" t="s">
        <v>288</v>
      </c>
      <c r="F16" s="172" t="s">
        <v>1347</v>
      </c>
      <c r="G16" s="102" t="s">
        <v>282</v>
      </c>
      <c r="H16" s="11"/>
    </row>
    <row r="17" customHeight="1" spans="1:8">
      <c r="A17" s="10">
        <f t="shared" si="0"/>
        <v>7</v>
      </c>
      <c r="B17" s="18" t="s">
        <v>242</v>
      </c>
      <c r="C17" s="102" t="s">
        <v>1348</v>
      </c>
      <c r="D17" s="113" t="s">
        <v>1348</v>
      </c>
      <c r="E17" s="102" t="s">
        <v>342</v>
      </c>
      <c r="F17" s="11"/>
      <c r="G17" s="102" t="s">
        <v>1349</v>
      </c>
      <c r="H17" s="11"/>
    </row>
    <row r="18" customHeight="1" spans="1:8">
      <c r="A18" s="10">
        <f t="shared" si="0"/>
        <v>8</v>
      </c>
      <c r="B18" s="18" t="s">
        <v>242</v>
      </c>
      <c r="C18" s="102" t="s">
        <v>409</v>
      </c>
      <c r="D18" s="113" t="s">
        <v>409</v>
      </c>
      <c r="E18" s="102" t="s">
        <v>555</v>
      </c>
      <c r="F18" s="10"/>
      <c r="G18" s="102" t="s">
        <v>320</v>
      </c>
      <c r="H18" s="10"/>
    </row>
    <row r="19" customHeight="1" spans="1:8">
      <c r="A19" s="10">
        <f t="shared" si="0"/>
        <v>9</v>
      </c>
      <c r="B19" s="18" t="s">
        <v>242</v>
      </c>
      <c r="C19" s="102" t="s">
        <v>1350</v>
      </c>
      <c r="D19" s="113" t="s">
        <v>1350</v>
      </c>
      <c r="E19" s="102" t="s">
        <v>1351</v>
      </c>
      <c r="F19" s="10"/>
      <c r="G19" s="102" t="s">
        <v>1352</v>
      </c>
      <c r="H19" s="10"/>
    </row>
    <row r="20" customHeight="1" spans="1:8">
      <c r="A20" s="10">
        <f t="shared" si="0"/>
        <v>10</v>
      </c>
      <c r="B20" s="18" t="s">
        <v>242</v>
      </c>
      <c r="C20" s="102" t="s">
        <v>1353</v>
      </c>
      <c r="D20" s="113" t="s">
        <v>1353</v>
      </c>
      <c r="E20" s="102" t="s">
        <v>1354</v>
      </c>
      <c r="F20" s="97" t="s">
        <v>1355</v>
      </c>
      <c r="G20" s="102" t="s">
        <v>359</v>
      </c>
      <c r="H20" s="11"/>
    </row>
    <row r="21" ht="34.5" customHeight="1" spans="1:8">
      <c r="A21" s="10">
        <f t="shared" si="0"/>
        <v>11</v>
      </c>
      <c r="B21" s="18"/>
      <c r="C21" s="102" t="s">
        <v>1356</v>
      </c>
      <c r="D21" s="113" t="s">
        <v>1356</v>
      </c>
      <c r="E21" s="102" t="s">
        <v>1357</v>
      </c>
      <c r="F21" s="11"/>
      <c r="G21" s="102" t="s">
        <v>273</v>
      </c>
      <c r="H21" s="11"/>
    </row>
    <row r="22" customHeight="1" spans="1:11">
      <c r="A22" s="10">
        <f t="shared" si="0"/>
        <v>12</v>
      </c>
      <c r="B22" s="18" t="s">
        <v>242</v>
      </c>
      <c r="C22" s="102" t="s">
        <v>1358</v>
      </c>
      <c r="D22" s="113" t="s">
        <v>1358</v>
      </c>
      <c r="E22" s="102" t="s">
        <v>1359</v>
      </c>
      <c r="F22" s="97" t="s">
        <v>1360</v>
      </c>
      <c r="G22" s="102" t="s">
        <v>263</v>
      </c>
      <c r="H22" s="11"/>
      <c r="I22" s="206" t="s">
        <v>264</v>
      </c>
      <c r="J22" s="206" t="s">
        <v>265</v>
      </c>
      <c r="K22" s="201" t="s">
        <v>1359</v>
      </c>
    </row>
    <row r="23" customHeight="1" spans="1:11">
      <c r="A23" s="10">
        <f t="shared" si="0"/>
        <v>13</v>
      </c>
      <c r="B23" s="18" t="s">
        <v>242</v>
      </c>
      <c r="C23" s="102" t="s">
        <v>1361</v>
      </c>
      <c r="D23" s="113" t="s">
        <v>1361</v>
      </c>
      <c r="E23" s="102" t="s">
        <v>1362</v>
      </c>
      <c r="F23" s="97" t="s">
        <v>1363</v>
      </c>
      <c r="G23" s="102" t="s">
        <v>263</v>
      </c>
      <c r="H23" s="11"/>
      <c r="I23" s="206" t="s">
        <v>264</v>
      </c>
      <c r="J23" s="206" t="s">
        <v>265</v>
      </c>
      <c r="K23" s="201" t="s">
        <v>1362</v>
      </c>
    </row>
    <row r="24" customHeight="1" spans="1:11">
      <c r="A24" s="10">
        <f t="shared" si="0"/>
        <v>14</v>
      </c>
      <c r="B24" s="18" t="s">
        <v>242</v>
      </c>
      <c r="C24" s="102" t="s">
        <v>1364</v>
      </c>
      <c r="D24" s="113" t="s">
        <v>1364</v>
      </c>
      <c r="E24" s="102" t="s">
        <v>1365</v>
      </c>
      <c r="F24" s="97" t="s">
        <v>1366</v>
      </c>
      <c r="G24" s="102" t="s">
        <v>263</v>
      </c>
      <c r="H24" s="11"/>
      <c r="I24" s="206" t="s">
        <v>264</v>
      </c>
      <c r="J24" s="206" t="s">
        <v>265</v>
      </c>
      <c r="K24" s="201" t="s">
        <v>1365</v>
      </c>
    </row>
    <row r="25" customHeight="1" spans="1:8">
      <c r="A25" s="10">
        <f t="shared" si="0"/>
        <v>15</v>
      </c>
      <c r="B25" s="10"/>
      <c r="C25" s="10" t="s">
        <v>1367</v>
      </c>
      <c r="D25" s="16" t="s">
        <v>1367</v>
      </c>
      <c r="E25" s="10" t="s">
        <v>1368</v>
      </c>
      <c r="F25" s="10"/>
      <c r="G25" s="13" t="s">
        <v>248</v>
      </c>
      <c r="H25" s="10"/>
    </row>
    <row r="26" customHeight="1" spans="1:8">
      <c r="A26" s="10">
        <f t="shared" si="0"/>
        <v>16</v>
      </c>
      <c r="B26" s="10"/>
      <c r="C26" s="10" t="s">
        <v>1369</v>
      </c>
      <c r="D26" s="16" t="s">
        <v>1369</v>
      </c>
      <c r="E26" s="25" t="s">
        <v>1370</v>
      </c>
      <c r="F26" s="10"/>
      <c r="G26" s="13" t="s">
        <v>248</v>
      </c>
      <c r="H26" s="10"/>
    </row>
    <row r="27" customHeight="1" spans="1:8">
      <c r="A27" s="10">
        <f t="shared" si="0"/>
        <v>17</v>
      </c>
      <c r="B27" s="10"/>
      <c r="C27" s="10" t="s">
        <v>1371</v>
      </c>
      <c r="D27" s="10" t="s">
        <v>1371</v>
      </c>
      <c r="E27" s="10" t="s">
        <v>1372</v>
      </c>
      <c r="F27" s="10"/>
      <c r="G27" s="10" t="s">
        <v>1373</v>
      </c>
      <c r="H27" s="10"/>
    </row>
    <row r="28" customHeight="1" spans="1:8">
      <c r="A28" s="10">
        <f t="shared" si="0"/>
        <v>18</v>
      </c>
      <c r="B28" s="10"/>
      <c r="C28" s="10" t="s">
        <v>1374</v>
      </c>
      <c r="D28" s="10" t="s">
        <v>1374</v>
      </c>
      <c r="E28" s="10" t="s">
        <v>1375</v>
      </c>
      <c r="F28" s="10"/>
      <c r="G28" s="10" t="s">
        <v>263</v>
      </c>
      <c r="H28"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conditionalFormatting sqref="K22:K24">
    <cfRule type="duplicateValues" dxfId="3" priority="1"/>
  </conditionalFormatting>
  <conditionalFormatting sqref="E1:E26 E29:E1048576">
    <cfRule type="duplicateValues" dxfId="3" priority="2"/>
  </conditionalFormatting>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F24" sqref="F2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8.375" style="23" customWidth="1"/>
    <col min="7" max="7" width="21.1666666666667" style="23" customWidth="1"/>
    <col min="8" max="8" width="11.6083333333333" style="23" customWidth="1"/>
    <col min="9" max="9" width="20.1333333333333" style="23" customWidth="1"/>
    <col min="10" max="10" width="10.8333333333333" style="23"/>
    <col min="11" max="11" width="27.1666666666667" style="23" customWidth="1"/>
    <col min="12" max="16384" width="10.8333333333333" style="23"/>
  </cols>
  <sheetData>
    <row r="1" customHeight="1" spans="1:8">
      <c r="A1" s="1" t="s">
        <v>223</v>
      </c>
      <c r="B1" s="2" t="s">
        <v>54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1376</v>
      </c>
      <c r="F4" s="11"/>
      <c r="G4" s="11"/>
      <c r="H4" s="11"/>
    </row>
    <row r="5" customHeight="1" spans="1:8">
      <c r="A5" s="10">
        <v>2</v>
      </c>
      <c r="B5" s="10" t="s">
        <v>228</v>
      </c>
      <c r="C5" s="10"/>
      <c r="D5" s="10"/>
      <c r="E5" s="11" t="s">
        <v>54</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26" si="0">ROW(A11)-10</f>
        <v>1</v>
      </c>
      <c r="B11" s="18" t="s">
        <v>242</v>
      </c>
      <c r="C11" s="170" t="s">
        <v>243</v>
      </c>
      <c r="D11" s="179" t="s">
        <v>243</v>
      </c>
      <c r="E11" s="170" t="s">
        <v>243</v>
      </c>
      <c r="F11" s="11" t="s">
        <v>244</v>
      </c>
      <c r="G11" s="170" t="s">
        <v>248</v>
      </c>
      <c r="H11" s="11"/>
    </row>
    <row r="12" customHeight="1" spans="1:12">
      <c r="A12" s="10">
        <f t="shared" si="0"/>
        <v>2</v>
      </c>
      <c r="B12" s="171" t="s">
        <v>242</v>
      </c>
      <c r="C12" s="170" t="s">
        <v>1259</v>
      </c>
      <c r="D12" s="179" t="s">
        <v>1260</v>
      </c>
      <c r="E12" s="170" t="s">
        <v>256</v>
      </c>
      <c r="F12" s="11"/>
      <c r="G12" s="170" t="s">
        <v>248</v>
      </c>
      <c r="H12" s="11"/>
      <c r="I12" s="23" t="s">
        <v>258</v>
      </c>
      <c r="J12" s="23" t="s">
        <v>243</v>
      </c>
      <c r="K12" s="23"/>
      <c r="L12" s="23" t="s">
        <v>365</v>
      </c>
    </row>
    <row r="13" customHeight="1" spans="1:12">
      <c r="A13" s="10">
        <f t="shared" si="0"/>
        <v>3</v>
      </c>
      <c r="B13" s="18" t="s">
        <v>242</v>
      </c>
      <c r="C13" s="170" t="s">
        <v>1261</v>
      </c>
      <c r="D13" s="179" t="s">
        <v>1262</v>
      </c>
      <c r="E13" s="170" t="s">
        <v>353</v>
      </c>
      <c r="F13" s="11"/>
      <c r="G13" s="170" t="s">
        <v>248</v>
      </c>
      <c r="H13" s="11"/>
      <c r="I13" s="23" t="s">
        <v>352</v>
      </c>
      <c r="J13" s="23" t="s">
        <v>353</v>
      </c>
      <c r="K13" s="23"/>
      <c r="L13" s="23" t="s">
        <v>365</v>
      </c>
    </row>
    <row r="14" customHeight="1" spans="1:8">
      <c r="A14" s="10">
        <f t="shared" si="0"/>
        <v>4</v>
      </c>
      <c r="B14" s="18" t="s">
        <v>242</v>
      </c>
      <c r="C14" s="170" t="s">
        <v>285</v>
      </c>
      <c r="D14" s="179" t="s">
        <v>285</v>
      </c>
      <c r="E14" s="170" t="s">
        <v>286</v>
      </c>
      <c r="F14" s="172" t="s">
        <v>1347</v>
      </c>
      <c r="G14" s="170" t="s">
        <v>282</v>
      </c>
      <c r="H14" s="11"/>
    </row>
    <row r="15" customHeight="1" spans="1:8">
      <c r="A15" s="10">
        <f t="shared" si="0"/>
        <v>5</v>
      </c>
      <c r="B15" s="18" t="s">
        <v>242</v>
      </c>
      <c r="C15" s="170" t="s">
        <v>418</v>
      </c>
      <c r="D15" s="179" t="s">
        <v>418</v>
      </c>
      <c r="E15" s="170" t="s">
        <v>288</v>
      </c>
      <c r="F15" s="172" t="s">
        <v>1347</v>
      </c>
      <c r="G15" s="170" t="s">
        <v>282</v>
      </c>
      <c r="H15" s="11"/>
    </row>
    <row r="16" customHeight="1" spans="1:8">
      <c r="A16" s="10">
        <f t="shared" si="0"/>
        <v>6</v>
      </c>
      <c r="B16" s="18" t="s">
        <v>242</v>
      </c>
      <c r="C16" s="170" t="s">
        <v>1348</v>
      </c>
      <c r="D16" s="179" t="s">
        <v>1348</v>
      </c>
      <c r="E16" s="170" t="s">
        <v>342</v>
      </c>
      <c r="F16" s="172"/>
      <c r="G16" s="170" t="s">
        <v>1349</v>
      </c>
      <c r="H16" s="11"/>
    </row>
    <row r="17" customHeight="1" spans="1:8">
      <c r="A17" s="10">
        <f t="shared" si="0"/>
        <v>7</v>
      </c>
      <c r="B17" s="18" t="s">
        <v>242</v>
      </c>
      <c r="C17" s="170" t="s">
        <v>409</v>
      </c>
      <c r="D17" s="179" t="s">
        <v>409</v>
      </c>
      <c r="E17" s="170" t="s">
        <v>555</v>
      </c>
      <c r="F17" s="172"/>
      <c r="G17" s="170" t="s">
        <v>320</v>
      </c>
      <c r="H17" s="11"/>
    </row>
    <row r="18" customHeight="1" spans="1:8">
      <c r="A18" s="10">
        <f t="shared" si="0"/>
        <v>8</v>
      </c>
      <c r="B18" s="18" t="s">
        <v>242</v>
      </c>
      <c r="C18" s="102" t="s">
        <v>1350</v>
      </c>
      <c r="D18" s="113" t="s">
        <v>1350</v>
      </c>
      <c r="E18" s="102" t="s">
        <v>1351</v>
      </c>
      <c r="F18" s="172"/>
      <c r="G18" s="102" t="s">
        <v>1352</v>
      </c>
      <c r="H18" s="10"/>
    </row>
    <row r="19" customHeight="1" spans="1:8">
      <c r="A19" s="10">
        <f t="shared" si="0"/>
        <v>9</v>
      </c>
      <c r="B19" s="18" t="s">
        <v>242</v>
      </c>
      <c r="C19" s="102" t="s">
        <v>1377</v>
      </c>
      <c r="D19" s="113" t="s">
        <v>1377</v>
      </c>
      <c r="E19" s="102" t="s">
        <v>1357</v>
      </c>
      <c r="F19" s="172"/>
      <c r="G19" s="102" t="s">
        <v>273</v>
      </c>
      <c r="H19" s="10"/>
    </row>
    <row r="20" customHeight="1" spans="1:11">
      <c r="A20" s="10">
        <f t="shared" si="0"/>
        <v>10</v>
      </c>
      <c r="B20" s="18" t="s">
        <v>242</v>
      </c>
      <c r="C20" s="102" t="s">
        <v>1378</v>
      </c>
      <c r="D20" s="113" t="s">
        <v>1378</v>
      </c>
      <c r="E20" s="102" t="s">
        <v>1379</v>
      </c>
      <c r="F20" s="180" t="s">
        <v>1380</v>
      </c>
      <c r="G20" s="102" t="s">
        <v>263</v>
      </c>
      <c r="H20" s="10"/>
      <c r="I20" s="23" t="s">
        <v>264</v>
      </c>
      <c r="J20" s="23" t="s">
        <v>265</v>
      </c>
      <c r="K20" s="102" t="s">
        <v>1379</v>
      </c>
    </row>
    <row r="21" customHeight="1" spans="1:11">
      <c r="A21" s="10">
        <f t="shared" si="0"/>
        <v>11</v>
      </c>
      <c r="B21" s="18" t="s">
        <v>242</v>
      </c>
      <c r="C21" s="102" t="s">
        <v>1381</v>
      </c>
      <c r="D21" s="113" t="s">
        <v>1381</v>
      </c>
      <c r="E21" s="102" t="s">
        <v>1382</v>
      </c>
      <c r="F21" s="180" t="s">
        <v>1383</v>
      </c>
      <c r="G21" s="102" t="s">
        <v>263</v>
      </c>
      <c r="H21" s="10"/>
      <c r="I21" s="23" t="s">
        <v>264</v>
      </c>
      <c r="J21" s="23" t="s">
        <v>265</v>
      </c>
      <c r="K21" s="102" t="s">
        <v>1382</v>
      </c>
    </row>
    <row r="22" customHeight="1" spans="1:8">
      <c r="A22" s="10">
        <f t="shared" si="0"/>
        <v>12</v>
      </c>
      <c r="B22" s="18" t="s">
        <v>242</v>
      </c>
      <c r="C22" s="102" t="s">
        <v>1384</v>
      </c>
      <c r="D22" s="113" t="s">
        <v>1384</v>
      </c>
      <c r="E22" s="102" t="s">
        <v>370</v>
      </c>
      <c r="F22" s="172"/>
      <c r="G22" s="102" t="s">
        <v>390</v>
      </c>
      <c r="H22" s="10"/>
    </row>
    <row r="23" customHeight="1" spans="1:11">
      <c r="A23" s="10">
        <f t="shared" si="0"/>
        <v>13</v>
      </c>
      <c r="B23" s="18" t="s">
        <v>242</v>
      </c>
      <c r="C23" s="102" t="s">
        <v>1385</v>
      </c>
      <c r="D23" s="113" t="s">
        <v>1385</v>
      </c>
      <c r="E23" s="102" t="s">
        <v>376</v>
      </c>
      <c r="F23" s="172"/>
      <c r="G23" s="102" t="s">
        <v>263</v>
      </c>
      <c r="H23" s="10"/>
      <c r="I23" s="40" t="s">
        <v>264</v>
      </c>
      <c r="J23" s="40" t="s">
        <v>265</v>
      </c>
      <c r="K23" s="102" t="s">
        <v>376</v>
      </c>
    </row>
    <row r="24" customHeight="1" spans="1:8">
      <c r="A24" s="10">
        <f t="shared" si="0"/>
        <v>14</v>
      </c>
      <c r="B24" s="18"/>
      <c r="C24" s="102" t="s">
        <v>1386</v>
      </c>
      <c r="D24" s="113" t="s">
        <v>1386</v>
      </c>
      <c r="E24" s="102" t="s">
        <v>1387</v>
      </c>
      <c r="F24" s="172"/>
      <c r="G24" s="102" t="s">
        <v>390</v>
      </c>
      <c r="H24" s="10"/>
    </row>
    <row r="25" customHeight="1" spans="1:8">
      <c r="A25" s="10">
        <f t="shared" si="0"/>
        <v>15</v>
      </c>
      <c r="B25" s="18"/>
      <c r="C25" s="102" t="s">
        <v>1388</v>
      </c>
      <c r="D25" s="113" t="s">
        <v>1388</v>
      </c>
      <c r="E25" s="102" t="s">
        <v>1389</v>
      </c>
      <c r="F25" s="172"/>
      <c r="G25" s="102" t="s">
        <v>571</v>
      </c>
      <c r="H25"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zoomScale="85" zoomScaleNormal="85"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3.2333333333333" style="23" customWidth="1"/>
    <col min="7" max="7" width="21.1666666666667" style="23" customWidth="1"/>
    <col min="8" max="8" width="14.5583333333333" style="23" customWidth="1"/>
    <col min="9" max="9" width="20.2916666666667" style="23" customWidth="1"/>
    <col min="10" max="10" width="17.05" style="23" customWidth="1"/>
    <col min="11" max="16384" width="10.8333333333333" style="23"/>
  </cols>
  <sheetData>
    <row r="1" customHeight="1" spans="1:8">
      <c r="A1" s="1" t="s">
        <v>223</v>
      </c>
      <c r="B1" s="2" t="s">
        <v>56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1390</v>
      </c>
      <c r="F4" s="11"/>
      <c r="G4" s="11"/>
      <c r="H4" s="11"/>
    </row>
    <row r="5" customHeight="1" spans="1:8">
      <c r="A5" s="10">
        <v>2</v>
      </c>
      <c r="B5" s="10" t="s">
        <v>228</v>
      </c>
      <c r="C5" s="10"/>
      <c r="D5" s="10"/>
      <c r="E5" s="11" t="s">
        <v>56</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8" si="0">ROW(A11)-10</f>
        <v>1</v>
      </c>
      <c r="B11" s="18" t="s">
        <v>242</v>
      </c>
      <c r="C11" s="170" t="s">
        <v>243</v>
      </c>
      <c r="D11" s="179" t="s">
        <v>243</v>
      </c>
      <c r="E11" s="170" t="s">
        <v>243</v>
      </c>
      <c r="F11" s="11" t="s">
        <v>244</v>
      </c>
      <c r="G11" s="170" t="s">
        <v>248</v>
      </c>
      <c r="H11" s="11"/>
    </row>
    <row r="12" customHeight="1" spans="1:12">
      <c r="A12" s="10">
        <f t="shared" si="0"/>
        <v>2</v>
      </c>
      <c r="B12" s="171" t="s">
        <v>242</v>
      </c>
      <c r="C12" s="170" t="s">
        <v>1259</v>
      </c>
      <c r="D12" s="179" t="s">
        <v>1260</v>
      </c>
      <c r="E12" s="170" t="s">
        <v>256</v>
      </c>
      <c r="F12" s="11"/>
      <c r="G12" s="170" t="s">
        <v>248</v>
      </c>
      <c r="H12" s="11"/>
      <c r="I12" s="23" t="s">
        <v>258</v>
      </c>
      <c r="J12" s="23" t="s">
        <v>243</v>
      </c>
      <c r="L12" s="23" t="s">
        <v>365</v>
      </c>
    </row>
    <row r="13" customHeight="1" spans="1:12">
      <c r="A13" s="10">
        <f t="shared" si="0"/>
        <v>3</v>
      </c>
      <c r="B13" s="18" t="s">
        <v>242</v>
      </c>
      <c r="C13" s="170" t="s">
        <v>1261</v>
      </c>
      <c r="D13" s="179" t="s">
        <v>1262</v>
      </c>
      <c r="E13" s="170" t="s">
        <v>353</v>
      </c>
      <c r="F13" s="11"/>
      <c r="G13" s="170" t="s">
        <v>248</v>
      </c>
      <c r="H13" s="11"/>
      <c r="I13" s="23" t="s">
        <v>352</v>
      </c>
      <c r="J13" s="23" t="s">
        <v>353</v>
      </c>
      <c r="L13" s="23" t="s">
        <v>365</v>
      </c>
    </row>
    <row r="14" customHeight="1" spans="1:8">
      <c r="A14" s="10">
        <f t="shared" si="0"/>
        <v>4</v>
      </c>
      <c r="B14" s="18" t="s">
        <v>242</v>
      </c>
      <c r="C14" s="170" t="s">
        <v>285</v>
      </c>
      <c r="D14" s="179" t="s">
        <v>285</v>
      </c>
      <c r="E14" s="170" t="s">
        <v>286</v>
      </c>
      <c r="F14" s="172" t="s">
        <v>1347</v>
      </c>
      <c r="G14" s="170" t="s">
        <v>282</v>
      </c>
      <c r="H14" s="11"/>
    </row>
    <row r="15" customHeight="1" spans="1:8">
      <c r="A15" s="10">
        <f t="shared" si="0"/>
        <v>5</v>
      </c>
      <c r="B15" s="18" t="s">
        <v>242</v>
      </c>
      <c r="C15" s="170" t="s">
        <v>418</v>
      </c>
      <c r="D15" s="179" t="s">
        <v>418</v>
      </c>
      <c r="E15" s="170" t="s">
        <v>288</v>
      </c>
      <c r="F15" s="172" t="s">
        <v>1347</v>
      </c>
      <c r="G15" s="170" t="s">
        <v>282</v>
      </c>
      <c r="H15" s="11"/>
    </row>
    <row r="16" customHeight="1" spans="1:8">
      <c r="A16" s="10">
        <f t="shared" si="0"/>
        <v>6</v>
      </c>
      <c r="B16" s="18" t="s">
        <v>242</v>
      </c>
      <c r="C16" s="170" t="s">
        <v>1348</v>
      </c>
      <c r="D16" s="179" t="s">
        <v>1348</v>
      </c>
      <c r="E16" s="170" t="s">
        <v>342</v>
      </c>
      <c r="F16" s="172"/>
      <c r="G16" s="170" t="s">
        <v>1349</v>
      </c>
      <c r="H16" s="11"/>
    </row>
    <row r="17" customHeight="1" spans="1:8">
      <c r="A17" s="10">
        <f t="shared" si="0"/>
        <v>7</v>
      </c>
      <c r="B17" s="18" t="s">
        <v>242</v>
      </c>
      <c r="C17" s="170" t="s">
        <v>409</v>
      </c>
      <c r="D17" s="179" t="s">
        <v>409</v>
      </c>
      <c r="E17" s="170" t="s">
        <v>555</v>
      </c>
      <c r="F17" s="11"/>
      <c r="G17" s="170" t="s">
        <v>320</v>
      </c>
      <c r="H17" s="11"/>
    </row>
    <row r="18" customHeight="1" spans="1:8">
      <c r="A18" s="10">
        <f t="shared" si="0"/>
        <v>8</v>
      </c>
      <c r="B18" s="18" t="s">
        <v>242</v>
      </c>
      <c r="C18" s="102" t="s">
        <v>1350</v>
      </c>
      <c r="D18" s="113" t="s">
        <v>1350</v>
      </c>
      <c r="E18" s="102" t="s">
        <v>1351</v>
      </c>
      <c r="F18" s="10"/>
      <c r="G18" s="102" t="s">
        <v>1352</v>
      </c>
      <c r="H18"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85" zoomScaleNormal="85" workbookViewId="0">
      <selection activeCell="C20" sqref="C20:C2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2.9416666666667" style="24" customWidth="1"/>
    <col min="6" max="6" width="43.6666666666667" style="23" customWidth="1"/>
    <col min="7" max="7" width="21.1666666666667" style="23" customWidth="1"/>
    <col min="8" max="8" width="17.5" style="23" customWidth="1"/>
    <col min="9" max="9" width="21" style="23" customWidth="1"/>
    <col min="10" max="10" width="10.8333333333333" style="23"/>
    <col min="11" max="11" width="26" style="23" customWidth="1"/>
    <col min="12" max="16384" width="10.8333333333333" style="23"/>
  </cols>
  <sheetData>
    <row r="1" customHeight="1" spans="1:8">
      <c r="A1" s="1" t="s">
        <v>223</v>
      </c>
      <c r="B1" s="2" t="s">
        <v>55</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1391</v>
      </c>
      <c r="F4" s="11"/>
      <c r="G4" s="11"/>
      <c r="H4" s="11"/>
    </row>
    <row r="5" customHeight="1" spans="1:8">
      <c r="A5" s="10">
        <v>2</v>
      </c>
      <c r="B5" s="10" t="s">
        <v>228</v>
      </c>
      <c r="C5" s="10"/>
      <c r="D5" s="10"/>
      <c r="E5" s="11" t="s">
        <v>1392</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21" si="0">ROW(A11)-10</f>
        <v>1</v>
      </c>
      <c r="B11" s="18" t="s">
        <v>242</v>
      </c>
      <c r="C11" s="170" t="s">
        <v>243</v>
      </c>
      <c r="D11" s="179" t="s">
        <v>243</v>
      </c>
      <c r="E11" s="170" t="s">
        <v>243</v>
      </c>
      <c r="F11" s="11" t="s">
        <v>244</v>
      </c>
      <c r="G11" s="170" t="s">
        <v>248</v>
      </c>
      <c r="H11" s="11"/>
    </row>
    <row r="12" customHeight="1" spans="1:12">
      <c r="A12" s="10">
        <f t="shared" si="0"/>
        <v>2</v>
      </c>
      <c r="B12" s="18" t="s">
        <v>242</v>
      </c>
      <c r="C12" s="170" t="s">
        <v>1261</v>
      </c>
      <c r="D12" s="179" t="s">
        <v>1261</v>
      </c>
      <c r="E12" s="170" t="s">
        <v>353</v>
      </c>
      <c r="F12" s="11"/>
      <c r="G12" s="170" t="s">
        <v>248</v>
      </c>
      <c r="H12" s="11"/>
      <c r="I12" s="23" t="s">
        <v>352</v>
      </c>
      <c r="J12" s="23" t="s">
        <v>353</v>
      </c>
      <c r="L12" s="23" t="s">
        <v>365</v>
      </c>
    </row>
    <row r="13" customHeight="1" spans="1:8">
      <c r="A13" s="10">
        <f t="shared" si="0"/>
        <v>3</v>
      </c>
      <c r="B13" s="18" t="s">
        <v>242</v>
      </c>
      <c r="C13" s="170" t="s">
        <v>285</v>
      </c>
      <c r="D13" s="179" t="s">
        <v>285</v>
      </c>
      <c r="E13" s="170" t="s">
        <v>286</v>
      </c>
      <c r="F13" s="172" t="s">
        <v>1347</v>
      </c>
      <c r="G13" s="170" t="s">
        <v>282</v>
      </c>
      <c r="H13" s="11"/>
    </row>
    <row r="14" customHeight="1" spans="1:8">
      <c r="A14" s="10">
        <f t="shared" si="0"/>
        <v>4</v>
      </c>
      <c r="B14" s="18" t="s">
        <v>242</v>
      </c>
      <c r="C14" s="170" t="s">
        <v>418</v>
      </c>
      <c r="D14" s="179" t="s">
        <v>418</v>
      </c>
      <c r="E14" s="170" t="s">
        <v>288</v>
      </c>
      <c r="F14" s="172" t="s">
        <v>1347</v>
      </c>
      <c r="G14" s="170" t="s">
        <v>282</v>
      </c>
      <c r="H14" s="11"/>
    </row>
    <row r="15" customHeight="1" spans="1:8">
      <c r="A15" s="10">
        <f t="shared" si="0"/>
        <v>5</v>
      </c>
      <c r="B15" s="18" t="s">
        <v>242</v>
      </c>
      <c r="C15" s="170" t="s">
        <v>1393</v>
      </c>
      <c r="D15" s="179" t="s">
        <v>1393</v>
      </c>
      <c r="E15" s="170" t="s">
        <v>1394</v>
      </c>
      <c r="F15" s="172"/>
      <c r="G15" s="170" t="s">
        <v>248</v>
      </c>
      <c r="H15" s="11"/>
    </row>
    <row r="16" customHeight="1" spans="1:10">
      <c r="A16" s="10">
        <f t="shared" si="0"/>
        <v>6</v>
      </c>
      <c r="B16" s="18"/>
      <c r="C16" s="170" t="s">
        <v>1395</v>
      </c>
      <c r="D16" s="179" t="s">
        <v>1396</v>
      </c>
      <c r="E16" s="170" t="s">
        <v>1397</v>
      </c>
      <c r="F16" s="180" t="s">
        <v>1398</v>
      </c>
      <c r="G16" s="170" t="s">
        <v>248</v>
      </c>
      <c r="H16" s="11"/>
      <c r="I16" s="23" t="s">
        <v>1399</v>
      </c>
      <c r="J16" s="23" t="s">
        <v>243</v>
      </c>
    </row>
    <row r="17" customHeight="1" spans="1:8">
      <c r="A17" s="10">
        <f t="shared" si="0"/>
        <v>7</v>
      </c>
      <c r="B17" s="18" t="s">
        <v>242</v>
      </c>
      <c r="C17" s="170" t="s">
        <v>1400</v>
      </c>
      <c r="D17" s="179" t="s">
        <v>1400</v>
      </c>
      <c r="E17" s="102" t="s">
        <v>370</v>
      </c>
      <c r="F17" s="172"/>
      <c r="G17" s="170" t="s">
        <v>390</v>
      </c>
      <c r="H17" s="11"/>
    </row>
    <row r="18" customHeight="1" spans="1:11">
      <c r="A18" s="10">
        <f t="shared" si="0"/>
        <v>8</v>
      </c>
      <c r="B18" s="18" t="s">
        <v>242</v>
      </c>
      <c r="C18" s="170" t="s">
        <v>1401</v>
      </c>
      <c r="D18" s="179" t="s">
        <v>1401</v>
      </c>
      <c r="E18" s="102" t="s">
        <v>376</v>
      </c>
      <c r="F18" s="11"/>
      <c r="G18" s="170" t="s">
        <v>263</v>
      </c>
      <c r="H18" s="11"/>
      <c r="I18" s="23" t="s">
        <v>264</v>
      </c>
      <c r="J18" s="23" t="s">
        <v>265</v>
      </c>
      <c r="K18" s="102" t="s">
        <v>376</v>
      </c>
    </row>
    <row r="19" customHeight="1" spans="1:8">
      <c r="A19" s="10">
        <f t="shared" si="0"/>
        <v>9</v>
      </c>
      <c r="B19" s="18"/>
      <c r="C19" s="102" t="s">
        <v>1402</v>
      </c>
      <c r="D19" s="113" t="s">
        <v>1402</v>
      </c>
      <c r="E19" s="102" t="s">
        <v>1351</v>
      </c>
      <c r="F19" s="10"/>
      <c r="G19" s="102" t="s">
        <v>571</v>
      </c>
      <c r="H19" s="10"/>
    </row>
    <row r="20" customHeight="1" spans="1:8">
      <c r="A20" s="10">
        <f t="shared" si="0"/>
        <v>10</v>
      </c>
      <c r="B20" s="10"/>
      <c r="C20" s="10" t="s">
        <v>1403</v>
      </c>
      <c r="D20" s="10" t="s">
        <v>1403</v>
      </c>
      <c r="E20" s="10" t="s">
        <v>1404</v>
      </c>
      <c r="F20" s="10"/>
      <c r="G20" s="10" t="s">
        <v>248</v>
      </c>
      <c r="H20" s="10"/>
    </row>
    <row r="21" customHeight="1" spans="1:8">
      <c r="A21" s="10">
        <f t="shared" si="0"/>
        <v>11</v>
      </c>
      <c r="B21" s="10"/>
      <c r="C21" s="10" t="s">
        <v>1405</v>
      </c>
      <c r="D21" s="10" t="s">
        <v>1405</v>
      </c>
      <c r="E21" s="10" t="s">
        <v>1406</v>
      </c>
      <c r="F21" s="10"/>
      <c r="G21" s="10" t="s">
        <v>263</v>
      </c>
      <c r="H21"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5" workbookViewId="0">
      <selection activeCell="F14" sqref="F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8.675" style="23" customWidth="1"/>
    <col min="7" max="7" width="21.1666666666667" style="23" customWidth="1"/>
    <col min="8" max="8" width="21.325" style="23" customWidth="1"/>
    <col min="9" max="9" width="18" style="23" customWidth="1"/>
    <col min="10" max="10" width="14.9916666666667" style="23" customWidth="1"/>
    <col min="11" max="11" width="24.1083333333333" style="23" customWidth="1"/>
    <col min="12" max="16384" width="10.8333333333333" style="23"/>
  </cols>
  <sheetData>
    <row r="1" customHeight="1" spans="1:8">
      <c r="A1" s="1" t="s">
        <v>223</v>
      </c>
      <c r="B1" s="2" t="s">
        <v>57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1407</v>
      </c>
      <c r="F4" s="11"/>
      <c r="G4" s="11"/>
      <c r="H4" s="11"/>
    </row>
    <row r="5" customHeight="1" spans="1:8">
      <c r="A5" s="10">
        <v>2</v>
      </c>
      <c r="B5" s="10" t="s">
        <v>228</v>
      </c>
      <c r="C5" s="10"/>
      <c r="D5" s="10"/>
      <c r="E5" s="11" t="s">
        <v>57</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12">
      <c r="A12" s="10">
        <v>2</v>
      </c>
      <c r="B12" s="18" t="s">
        <v>242</v>
      </c>
      <c r="C12" s="170" t="s">
        <v>1408</v>
      </c>
      <c r="D12" s="179" t="s">
        <v>1409</v>
      </c>
      <c r="E12" s="170" t="s">
        <v>1410</v>
      </c>
      <c r="F12" s="97" t="s">
        <v>1411</v>
      </c>
      <c r="G12" s="170" t="s">
        <v>248</v>
      </c>
      <c r="H12" s="11"/>
      <c r="I12" s="23" t="s">
        <v>264</v>
      </c>
      <c r="J12" s="23" t="s">
        <v>265</v>
      </c>
      <c r="K12" s="23" t="s">
        <v>1410</v>
      </c>
      <c r="L12" s="23" t="s">
        <v>365</v>
      </c>
    </row>
    <row r="13" customHeight="1" spans="1:12">
      <c r="A13" s="10">
        <v>3</v>
      </c>
      <c r="B13" s="18" t="s">
        <v>242</v>
      </c>
      <c r="C13" s="170" t="s">
        <v>1412</v>
      </c>
      <c r="D13" s="179" t="s">
        <v>1413</v>
      </c>
      <c r="E13" s="170" t="s">
        <v>1414</v>
      </c>
      <c r="F13" s="172" t="s">
        <v>1296</v>
      </c>
      <c r="G13" s="170" t="s">
        <v>248</v>
      </c>
      <c r="H13" s="11"/>
      <c r="I13" s="23" t="s">
        <v>264</v>
      </c>
      <c r="J13" s="23" t="s">
        <v>265</v>
      </c>
      <c r="K13" s="23" t="s">
        <v>1414</v>
      </c>
      <c r="L13" s="23" t="s">
        <v>365</v>
      </c>
    </row>
    <row r="14" customHeight="1" spans="1:8">
      <c r="A14" s="10">
        <v>4</v>
      </c>
      <c r="B14" s="18" t="s">
        <v>242</v>
      </c>
      <c r="C14" s="170" t="s">
        <v>1415</v>
      </c>
      <c r="D14" s="179" t="s">
        <v>1416</v>
      </c>
      <c r="E14" s="170" t="s">
        <v>629</v>
      </c>
      <c r="F14" s="172" t="s">
        <v>1347</v>
      </c>
      <c r="G14" s="170" t="s">
        <v>421</v>
      </c>
      <c r="H14" s="11"/>
    </row>
    <row r="15" customHeight="1" spans="1:10">
      <c r="A15" s="10">
        <v>3</v>
      </c>
      <c r="B15" s="171" t="s">
        <v>242</v>
      </c>
      <c r="C15" s="170" t="s">
        <v>1259</v>
      </c>
      <c r="D15" s="179" t="s">
        <v>1417</v>
      </c>
      <c r="E15" s="170" t="s">
        <v>256</v>
      </c>
      <c r="F15" s="11"/>
      <c r="G15" s="170" t="s">
        <v>248</v>
      </c>
      <c r="H15" s="11"/>
      <c r="I15" s="23" t="s">
        <v>258</v>
      </c>
      <c r="J15" s="23" t="s">
        <v>243</v>
      </c>
    </row>
    <row r="16" customHeight="1" spans="1:12">
      <c r="A16" s="10">
        <v>5</v>
      </c>
      <c r="B16" s="18" t="s">
        <v>242</v>
      </c>
      <c r="C16" s="170" t="s">
        <v>1418</v>
      </c>
      <c r="D16" s="179" t="s">
        <v>1262</v>
      </c>
      <c r="E16" s="170" t="s">
        <v>353</v>
      </c>
      <c r="F16" s="172"/>
      <c r="G16" s="170" t="s">
        <v>248</v>
      </c>
      <c r="H16" s="11"/>
      <c r="I16" s="23" t="s">
        <v>352</v>
      </c>
      <c r="J16" s="23" t="s">
        <v>353</v>
      </c>
      <c r="L16" s="23" t="s">
        <v>365</v>
      </c>
    </row>
    <row r="17" customHeight="1" spans="1:8">
      <c r="A17" s="10">
        <v>6</v>
      </c>
      <c r="B17" s="18" t="s">
        <v>242</v>
      </c>
      <c r="C17" s="170" t="s">
        <v>1419</v>
      </c>
      <c r="D17" s="179" t="s">
        <v>1420</v>
      </c>
      <c r="E17" s="170" t="s">
        <v>620</v>
      </c>
      <c r="F17" s="11"/>
      <c r="G17" s="170" t="s">
        <v>248</v>
      </c>
      <c r="H17" s="11"/>
    </row>
    <row r="18" customHeight="1" spans="1:8">
      <c r="A18" s="10">
        <v>7</v>
      </c>
      <c r="B18" s="18" t="s">
        <v>242</v>
      </c>
      <c r="C18" s="102" t="s">
        <v>569</v>
      </c>
      <c r="D18" s="113" t="s">
        <v>569</v>
      </c>
      <c r="E18" s="102" t="s">
        <v>570</v>
      </c>
      <c r="F18" s="10"/>
      <c r="G18" s="102" t="s">
        <v>320</v>
      </c>
      <c r="H18" s="10"/>
    </row>
    <row r="19" customHeight="1" spans="1:8">
      <c r="A19" s="10">
        <v>8</v>
      </c>
      <c r="B19" s="18" t="s">
        <v>242</v>
      </c>
      <c r="C19" s="102" t="s">
        <v>1421</v>
      </c>
      <c r="D19" s="113" t="s">
        <v>1421</v>
      </c>
      <c r="E19" s="102" t="s">
        <v>1422</v>
      </c>
      <c r="F19" s="10"/>
      <c r="G19" s="170" t="s">
        <v>359</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opLeftCell="A4" workbookViewId="0">
      <selection activeCell="A14" sqref="A14:A18"/>
    </sheetView>
  </sheetViews>
  <sheetFormatPr defaultColWidth="10.8333333333333" defaultRowHeight="35" customHeight="1"/>
  <cols>
    <col min="1" max="1" width="5.66666666666667" style="23" customWidth="1"/>
    <col min="2" max="2" width="5.83333333333333" style="23" customWidth="1"/>
    <col min="3" max="3" width="20.5" style="23" customWidth="1"/>
    <col min="4" max="4" width="16.5" style="23" customWidth="1"/>
    <col min="5" max="5" width="31.8333333333333" style="24" customWidth="1"/>
    <col min="6" max="6" width="39.625" style="23" customWidth="1"/>
    <col min="7" max="7" width="21.1666666666667" style="23" customWidth="1"/>
    <col min="8" max="8" width="7.625" style="23" customWidth="1"/>
    <col min="9" max="9" width="17.125" style="23" customWidth="1"/>
    <col min="10" max="10" width="10.8333333333333" style="23"/>
    <col min="11" max="11" width="28.5" style="23" customWidth="1"/>
    <col min="12" max="16384" width="10.8333333333333" style="23"/>
  </cols>
  <sheetData>
    <row r="1" customHeight="1" spans="1:8">
      <c r="A1" s="1" t="s">
        <v>223</v>
      </c>
      <c r="B1" s="2" t="s">
        <v>58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1423</v>
      </c>
      <c r="F4" s="11"/>
      <c r="G4" s="11"/>
      <c r="H4" s="11"/>
    </row>
    <row r="5" customHeight="1" spans="1:8">
      <c r="A5" s="10">
        <v>2</v>
      </c>
      <c r="B5" s="10" t="s">
        <v>228</v>
      </c>
      <c r="C5" s="10"/>
      <c r="D5" s="10"/>
      <c r="E5" s="11" t="s">
        <v>58</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8">
      <c r="A12" s="10">
        <v>2</v>
      </c>
      <c r="B12" s="18" t="s">
        <v>242</v>
      </c>
      <c r="C12" s="170" t="s">
        <v>974</v>
      </c>
      <c r="D12" s="179" t="s">
        <v>974</v>
      </c>
      <c r="E12" s="170" t="s">
        <v>365</v>
      </c>
      <c r="F12" s="97"/>
      <c r="G12" s="170" t="s">
        <v>248</v>
      </c>
      <c r="H12" s="11"/>
    </row>
    <row r="13" customHeight="1" spans="1:12">
      <c r="A13" s="10">
        <v>3</v>
      </c>
      <c r="B13" s="18" t="s">
        <v>242</v>
      </c>
      <c r="C13" s="170" t="s">
        <v>1424</v>
      </c>
      <c r="D13" s="179" t="s">
        <v>1424</v>
      </c>
      <c r="E13" s="170" t="s">
        <v>1425</v>
      </c>
      <c r="F13" s="172"/>
      <c r="G13" s="170" t="s">
        <v>263</v>
      </c>
      <c r="H13" s="11"/>
      <c r="I13" s="23" t="s">
        <v>264</v>
      </c>
      <c r="J13" s="23" t="s">
        <v>265</v>
      </c>
      <c r="K13" s="170" t="s">
        <v>1425</v>
      </c>
      <c r="L13" s="23" t="s">
        <v>365</v>
      </c>
    </row>
    <row r="14" customHeight="1" spans="1:12">
      <c r="A14" s="10">
        <v>4</v>
      </c>
      <c r="B14" s="18" t="s">
        <v>242</v>
      </c>
      <c r="C14" s="170" t="s">
        <v>1426</v>
      </c>
      <c r="D14" s="179" t="s">
        <v>1426</v>
      </c>
      <c r="E14" s="170" t="s">
        <v>1427</v>
      </c>
      <c r="F14" s="172"/>
      <c r="G14" s="170" t="s">
        <v>263</v>
      </c>
      <c r="H14" s="11"/>
      <c r="I14" s="23" t="s">
        <v>264</v>
      </c>
      <c r="J14" s="23" t="s">
        <v>265</v>
      </c>
      <c r="K14" s="170" t="s">
        <v>1427</v>
      </c>
      <c r="L14" s="23" t="s">
        <v>365</v>
      </c>
    </row>
    <row r="15" customHeight="1" spans="1:8">
      <c r="A15" s="10">
        <v>5</v>
      </c>
      <c r="B15" s="171" t="s">
        <v>242</v>
      </c>
      <c r="C15" s="170" t="s">
        <v>1428</v>
      </c>
      <c r="D15" s="179" t="s">
        <v>1429</v>
      </c>
      <c r="E15" s="170" t="s">
        <v>1430</v>
      </c>
      <c r="F15" s="11"/>
      <c r="G15" s="170" t="s">
        <v>282</v>
      </c>
      <c r="H15" s="11"/>
    </row>
    <row r="16" customHeight="1" spans="1:8">
      <c r="A16" s="10">
        <v>6</v>
      </c>
      <c r="B16" s="18" t="s">
        <v>242</v>
      </c>
      <c r="C16" s="170" t="s">
        <v>1431</v>
      </c>
      <c r="D16" s="179" t="s">
        <v>1431</v>
      </c>
      <c r="E16" s="170" t="s">
        <v>1432</v>
      </c>
      <c r="F16" s="172"/>
      <c r="G16" s="170" t="s">
        <v>282</v>
      </c>
      <c r="H16" s="11"/>
    </row>
    <row r="17" customHeight="1" spans="1:8">
      <c r="A17" s="10">
        <v>7</v>
      </c>
      <c r="B17" s="18" t="s">
        <v>242</v>
      </c>
      <c r="C17" s="170" t="s">
        <v>1433</v>
      </c>
      <c r="D17" s="179" t="s">
        <v>1433</v>
      </c>
      <c r="E17" s="170" t="s">
        <v>1434</v>
      </c>
      <c r="F17" s="11"/>
      <c r="G17" s="170" t="s">
        <v>248</v>
      </c>
      <c r="H17" s="11"/>
    </row>
    <row r="18" customHeight="1" spans="1:12">
      <c r="A18" s="10">
        <v>8</v>
      </c>
      <c r="B18" s="18" t="s">
        <v>242</v>
      </c>
      <c r="C18" s="102" t="s">
        <v>1435</v>
      </c>
      <c r="D18" s="113" t="s">
        <v>1435</v>
      </c>
      <c r="E18" s="102" t="s">
        <v>1436</v>
      </c>
      <c r="F18" s="10"/>
      <c r="G18" s="102" t="s">
        <v>248</v>
      </c>
      <c r="H18" s="10"/>
      <c r="I18" s="23" t="s">
        <v>352</v>
      </c>
      <c r="J18" s="23" t="s">
        <v>353</v>
      </c>
      <c r="L18" s="23"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zoomScale="85" zoomScaleNormal="85" workbookViewId="0">
      <selection activeCell="A16" sqref="A16:A17"/>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1.8333333333333" style="24" customWidth="1"/>
    <col min="6" max="6" width="39.9916666666667" style="23" customWidth="1"/>
    <col min="7" max="7" width="21.1666666666667" style="23" customWidth="1"/>
    <col min="8" max="8" width="11.7666666666667" style="23" customWidth="1"/>
    <col min="9" max="9" width="22.1666666666667" style="23" customWidth="1"/>
    <col min="10" max="10" width="10.8333333333333" style="23"/>
    <col min="11" max="11" width="25.725" style="23" customWidth="1"/>
    <col min="12" max="16384" width="10.8333333333333" style="23"/>
  </cols>
  <sheetData>
    <row r="1" customHeight="1" spans="1:8">
      <c r="A1" s="1" t="s">
        <v>223</v>
      </c>
      <c r="B1" s="2" t="s">
        <v>59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1437</v>
      </c>
      <c r="F4" s="11"/>
      <c r="G4" s="11"/>
      <c r="H4" s="11"/>
    </row>
    <row r="5" customHeight="1" spans="1:8">
      <c r="A5" s="10">
        <v>2</v>
      </c>
      <c r="B5" s="10" t="s">
        <v>228</v>
      </c>
      <c r="C5" s="10"/>
      <c r="D5" s="10"/>
      <c r="E5" s="11" t="s">
        <v>59</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12">
      <c r="A12" s="10">
        <v>2</v>
      </c>
      <c r="B12" s="18" t="s">
        <v>242</v>
      </c>
      <c r="C12" s="170" t="s">
        <v>1438</v>
      </c>
      <c r="D12" s="179" t="s">
        <v>1439</v>
      </c>
      <c r="E12" s="170" t="s">
        <v>1440</v>
      </c>
      <c r="F12" s="97"/>
      <c r="G12" s="170" t="s">
        <v>248</v>
      </c>
      <c r="H12" s="11"/>
      <c r="I12" s="23" t="s">
        <v>1423</v>
      </c>
      <c r="J12" s="23" t="s">
        <v>243</v>
      </c>
      <c r="K12" s="23"/>
      <c r="L12" s="23" t="s">
        <v>365</v>
      </c>
    </row>
    <row r="13" customHeight="1" spans="1:12">
      <c r="A13" s="10">
        <v>3</v>
      </c>
      <c r="B13" s="18" t="s">
        <v>242</v>
      </c>
      <c r="C13" s="170" t="s">
        <v>1441</v>
      </c>
      <c r="D13" s="179" t="s">
        <v>1441</v>
      </c>
      <c r="E13" s="170" t="s">
        <v>983</v>
      </c>
      <c r="F13" s="172"/>
      <c r="G13" s="170" t="s">
        <v>248</v>
      </c>
      <c r="H13" s="11"/>
      <c r="I13" s="23" t="s">
        <v>352</v>
      </c>
      <c r="J13" s="23" t="s">
        <v>353</v>
      </c>
      <c r="L13" s="23" t="s">
        <v>365</v>
      </c>
    </row>
    <row r="14" customHeight="1" spans="1:8">
      <c r="A14" s="10">
        <v>4</v>
      </c>
      <c r="B14" s="18" t="s">
        <v>242</v>
      </c>
      <c r="C14" s="170" t="s">
        <v>1442</v>
      </c>
      <c r="D14" s="179" t="s">
        <v>1442</v>
      </c>
      <c r="E14" s="170" t="s">
        <v>365</v>
      </c>
      <c r="F14" s="172"/>
      <c r="G14" s="170" t="s">
        <v>248</v>
      </c>
      <c r="H14" s="11"/>
    </row>
    <row r="15" customHeight="1" spans="1:12">
      <c r="A15" s="10">
        <v>5</v>
      </c>
      <c r="B15" s="171" t="s">
        <v>242</v>
      </c>
      <c r="C15" s="170" t="s">
        <v>621</v>
      </c>
      <c r="D15" s="179" t="s">
        <v>621</v>
      </c>
      <c r="E15" s="170" t="s">
        <v>1443</v>
      </c>
      <c r="F15" s="11"/>
      <c r="G15" s="170" t="s">
        <v>263</v>
      </c>
      <c r="H15" s="11"/>
      <c r="I15" s="23" t="s">
        <v>264</v>
      </c>
      <c r="J15" s="23" t="s">
        <v>265</v>
      </c>
      <c r="K15" s="170" t="s">
        <v>1443</v>
      </c>
      <c r="L15" s="23" t="s">
        <v>365</v>
      </c>
    </row>
    <row r="16" customHeight="1" spans="1:8">
      <c r="A16" s="10">
        <v>6</v>
      </c>
      <c r="B16" s="18" t="s">
        <v>242</v>
      </c>
      <c r="C16" s="170" t="s">
        <v>1444</v>
      </c>
      <c r="D16" s="179" t="s">
        <v>1444</v>
      </c>
      <c r="E16" s="170" t="s">
        <v>1445</v>
      </c>
      <c r="F16" s="172"/>
      <c r="G16" s="170" t="s">
        <v>248</v>
      </c>
      <c r="H16" s="11"/>
    </row>
    <row r="17" ht="44" customHeight="1" spans="1:8">
      <c r="A17" s="10">
        <v>7</v>
      </c>
      <c r="B17" s="18" t="s">
        <v>242</v>
      </c>
      <c r="C17" s="210" t="s">
        <v>1446</v>
      </c>
      <c r="D17" s="16" t="s">
        <v>1446</v>
      </c>
      <c r="E17" s="210" t="s">
        <v>560</v>
      </c>
      <c r="F17" s="172"/>
      <c r="G17" s="172" t="s">
        <v>421</v>
      </c>
      <c r="H17" s="172"/>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zoomScale="70" zoomScaleNormal="70" topLeftCell="A7" workbookViewId="0">
      <selection activeCell="I29" sqref="I29:J2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2.5" style="23" customWidth="1"/>
    <col min="7" max="7" width="21.1666666666667" style="23" customWidth="1"/>
    <col min="8" max="8" width="29.1166666666667" style="23" customWidth="1"/>
    <col min="9" max="9" width="26.2416666666667" style="23" customWidth="1"/>
    <col min="10" max="10" width="16.0666666666667" style="23" customWidth="1"/>
    <col min="11" max="11" width="31.25" style="23" customWidth="1"/>
    <col min="12" max="16384" width="10.8333333333333" style="23"/>
  </cols>
  <sheetData>
    <row r="1" customHeight="1" spans="1:8">
      <c r="A1" s="1" t="s">
        <v>223</v>
      </c>
      <c r="B1" s="2" t="s">
        <v>60</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1447</v>
      </c>
      <c r="F4" s="11"/>
      <c r="G4" s="11"/>
      <c r="H4" s="11"/>
    </row>
    <row r="5" customHeight="1" spans="1:8">
      <c r="A5" s="10">
        <v>2</v>
      </c>
      <c r="B5" s="10" t="s">
        <v>228</v>
      </c>
      <c r="C5" s="10"/>
      <c r="D5" s="10"/>
      <c r="E5" s="11" t="s">
        <v>60</v>
      </c>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170" t="s">
        <v>243</v>
      </c>
      <c r="D11" s="179" t="s">
        <v>243</v>
      </c>
      <c r="E11" s="170" t="s">
        <v>243</v>
      </c>
      <c r="F11" s="11" t="s">
        <v>244</v>
      </c>
      <c r="G11" s="170" t="s">
        <v>322</v>
      </c>
      <c r="H11" s="11"/>
    </row>
    <row r="12" customHeight="1" spans="1:12">
      <c r="A12" s="10">
        <f t="shared" ref="A12:A31" si="0">ROW(A12)-10</f>
        <v>2</v>
      </c>
      <c r="B12" s="18" t="s">
        <v>242</v>
      </c>
      <c r="C12" s="170" t="s">
        <v>1448</v>
      </c>
      <c r="D12" s="179" t="s">
        <v>1449</v>
      </c>
      <c r="E12" s="170" t="s">
        <v>256</v>
      </c>
      <c r="F12" s="172"/>
      <c r="G12" s="170" t="s">
        <v>248</v>
      </c>
      <c r="H12" s="11"/>
      <c r="I12" s="23" t="s">
        <v>258</v>
      </c>
      <c r="J12" s="23" t="s">
        <v>243</v>
      </c>
      <c r="L12" s="40" t="s">
        <v>365</v>
      </c>
    </row>
    <row r="13" customHeight="1" spans="1:12">
      <c r="A13" s="10">
        <f t="shared" si="0"/>
        <v>3</v>
      </c>
      <c r="B13" s="18" t="s">
        <v>242</v>
      </c>
      <c r="C13" s="170" t="s">
        <v>1450</v>
      </c>
      <c r="D13" s="179" t="s">
        <v>1451</v>
      </c>
      <c r="E13" s="170" t="s">
        <v>1452</v>
      </c>
      <c r="F13" s="97" t="s">
        <v>1453</v>
      </c>
      <c r="G13" s="170" t="s">
        <v>248</v>
      </c>
      <c r="H13" s="11"/>
      <c r="I13" s="23" t="s">
        <v>264</v>
      </c>
      <c r="J13" s="23" t="s">
        <v>265</v>
      </c>
      <c r="K13" s="23" t="s">
        <v>1452</v>
      </c>
      <c r="L13" s="40" t="s">
        <v>365</v>
      </c>
    </row>
    <row r="14" customHeight="1" spans="1:8">
      <c r="A14" s="10">
        <f t="shared" si="0"/>
        <v>4</v>
      </c>
      <c r="B14" s="18" t="s">
        <v>242</v>
      </c>
      <c r="C14" s="170" t="s">
        <v>1454</v>
      </c>
      <c r="D14" s="179" t="s">
        <v>1455</v>
      </c>
      <c r="E14" s="170" t="s">
        <v>365</v>
      </c>
      <c r="F14" s="172"/>
      <c r="G14" s="170" t="s">
        <v>303</v>
      </c>
      <c r="H14" s="11"/>
    </row>
    <row r="15" ht="100" customHeight="1" spans="1:12">
      <c r="A15" s="10">
        <f t="shared" si="0"/>
        <v>5</v>
      </c>
      <c r="B15" s="18" t="s">
        <v>242</v>
      </c>
      <c r="C15" s="170" t="s">
        <v>1456</v>
      </c>
      <c r="D15" s="179" t="s">
        <v>1457</v>
      </c>
      <c r="E15" s="170" t="s">
        <v>1458</v>
      </c>
      <c r="F15" s="97" t="s">
        <v>1459</v>
      </c>
      <c r="G15" s="170" t="s">
        <v>248</v>
      </c>
      <c r="H15" s="97" t="s">
        <v>1460</v>
      </c>
      <c r="I15" s="23" t="s">
        <v>264</v>
      </c>
      <c r="J15" s="23" t="s">
        <v>265</v>
      </c>
      <c r="K15" s="170" t="s">
        <v>1458</v>
      </c>
      <c r="L15" s="40" t="s">
        <v>365</v>
      </c>
    </row>
    <row r="16" customHeight="1" spans="1:12">
      <c r="A16" s="10">
        <f t="shared" si="0"/>
        <v>6</v>
      </c>
      <c r="B16" s="18" t="s">
        <v>242</v>
      </c>
      <c r="C16" s="170" t="s">
        <v>1461</v>
      </c>
      <c r="D16" s="179" t="s">
        <v>1462</v>
      </c>
      <c r="E16" s="170" t="s">
        <v>1463</v>
      </c>
      <c r="F16" s="11" t="s">
        <v>1296</v>
      </c>
      <c r="G16" s="170" t="s">
        <v>248</v>
      </c>
      <c r="H16" s="97" t="s">
        <v>1464</v>
      </c>
      <c r="I16" s="23" t="s">
        <v>264</v>
      </c>
      <c r="J16" s="23" t="s">
        <v>265</v>
      </c>
      <c r="K16" s="170" t="s">
        <v>1463</v>
      </c>
      <c r="L16" s="40" t="s">
        <v>365</v>
      </c>
    </row>
    <row r="17" customHeight="1" spans="1:12">
      <c r="A17" s="10">
        <f t="shared" si="0"/>
        <v>7</v>
      </c>
      <c r="B17" s="18" t="s">
        <v>242</v>
      </c>
      <c r="C17" s="170" t="s">
        <v>1465</v>
      </c>
      <c r="D17" s="179" t="s">
        <v>1466</v>
      </c>
      <c r="E17" s="170" t="s">
        <v>1467</v>
      </c>
      <c r="F17" s="97" t="s">
        <v>1310</v>
      </c>
      <c r="G17" s="170" t="s">
        <v>248</v>
      </c>
      <c r="H17" s="97" t="s">
        <v>1468</v>
      </c>
      <c r="I17" s="23" t="s">
        <v>264</v>
      </c>
      <c r="J17" s="23" t="s">
        <v>265</v>
      </c>
      <c r="K17" s="170" t="s">
        <v>1467</v>
      </c>
      <c r="L17" s="40" t="s">
        <v>365</v>
      </c>
    </row>
    <row r="18" customHeight="1" spans="1:8">
      <c r="A18" s="10">
        <f t="shared" si="0"/>
        <v>8</v>
      </c>
      <c r="B18" s="18" t="s">
        <v>242</v>
      </c>
      <c r="C18" s="170" t="s">
        <v>1469</v>
      </c>
      <c r="D18" s="179" t="s">
        <v>1469</v>
      </c>
      <c r="E18" s="170" t="s">
        <v>1470</v>
      </c>
      <c r="F18" s="172" t="s">
        <v>1193</v>
      </c>
      <c r="G18" s="170" t="s">
        <v>282</v>
      </c>
      <c r="H18" s="11"/>
    </row>
    <row r="19" customHeight="1" spans="1:8">
      <c r="A19" s="10">
        <f t="shared" si="0"/>
        <v>9</v>
      </c>
      <c r="B19" s="18" t="s">
        <v>242</v>
      </c>
      <c r="C19" s="170" t="s">
        <v>1471</v>
      </c>
      <c r="D19" s="179" t="s">
        <v>1471</v>
      </c>
      <c r="E19" s="170" t="s">
        <v>1472</v>
      </c>
      <c r="F19" s="172" t="s">
        <v>895</v>
      </c>
      <c r="G19" s="170" t="s">
        <v>359</v>
      </c>
      <c r="H19" s="11"/>
    </row>
    <row r="20" customHeight="1" spans="1:12">
      <c r="A20" s="10">
        <f t="shared" si="0"/>
        <v>10</v>
      </c>
      <c r="B20" s="18" t="s">
        <v>242</v>
      </c>
      <c r="C20" s="170" t="s">
        <v>1473</v>
      </c>
      <c r="D20" s="179" t="s">
        <v>1474</v>
      </c>
      <c r="E20" s="170" t="s">
        <v>1475</v>
      </c>
      <c r="F20" s="172"/>
      <c r="G20" s="170" t="s">
        <v>248</v>
      </c>
      <c r="H20" s="11"/>
      <c r="I20" s="23" t="s">
        <v>352</v>
      </c>
      <c r="J20" s="23" t="s">
        <v>353</v>
      </c>
      <c r="L20" s="23" t="s">
        <v>365</v>
      </c>
    </row>
    <row r="21" customHeight="1" spans="1:8">
      <c r="A21" s="10">
        <f t="shared" si="0"/>
        <v>11</v>
      </c>
      <c r="B21" s="18" t="s">
        <v>242</v>
      </c>
      <c r="C21" s="170" t="s">
        <v>1476</v>
      </c>
      <c r="D21" s="179" t="s">
        <v>1477</v>
      </c>
      <c r="E21" s="170" t="s">
        <v>1478</v>
      </c>
      <c r="F21" s="11"/>
      <c r="G21" s="170" t="s">
        <v>248</v>
      </c>
      <c r="H21" s="11"/>
    </row>
    <row r="22" customHeight="1" spans="1:8">
      <c r="A22" s="10">
        <f t="shared" si="0"/>
        <v>12</v>
      </c>
      <c r="B22" s="18" t="s">
        <v>242</v>
      </c>
      <c r="C22" s="170" t="s">
        <v>1479</v>
      </c>
      <c r="D22" s="179" t="s">
        <v>1479</v>
      </c>
      <c r="E22" s="170" t="s">
        <v>1480</v>
      </c>
      <c r="F22" s="172" t="s">
        <v>895</v>
      </c>
      <c r="G22" s="170" t="s">
        <v>359</v>
      </c>
      <c r="H22" s="11"/>
    </row>
    <row r="23" customHeight="1" spans="1:12">
      <c r="A23" s="10">
        <f t="shared" si="0"/>
        <v>13</v>
      </c>
      <c r="B23" s="18"/>
      <c r="C23" s="170" t="s">
        <v>1481</v>
      </c>
      <c r="D23" s="179" t="s">
        <v>1482</v>
      </c>
      <c r="E23" s="170" t="s">
        <v>1483</v>
      </c>
      <c r="F23" s="172"/>
      <c r="G23" s="170" t="s">
        <v>248</v>
      </c>
      <c r="H23" s="11"/>
      <c r="I23" s="23" t="s">
        <v>352</v>
      </c>
      <c r="J23" s="23" t="s">
        <v>353</v>
      </c>
      <c r="L23" s="23" t="s">
        <v>365</v>
      </c>
    </row>
    <row r="24" customHeight="1" spans="1:8">
      <c r="A24" s="10">
        <f t="shared" si="0"/>
        <v>14</v>
      </c>
      <c r="B24" s="18"/>
      <c r="C24" s="170" t="s">
        <v>1484</v>
      </c>
      <c r="D24" s="179" t="s">
        <v>1485</v>
      </c>
      <c r="E24" s="170" t="s">
        <v>1486</v>
      </c>
      <c r="F24" s="11"/>
      <c r="G24" s="170" t="s">
        <v>248</v>
      </c>
      <c r="H24" s="11"/>
    </row>
    <row r="25" customHeight="1" spans="1:8">
      <c r="A25" s="10">
        <f t="shared" si="0"/>
        <v>15</v>
      </c>
      <c r="B25" s="18" t="s">
        <v>242</v>
      </c>
      <c r="C25" s="170" t="s">
        <v>1487</v>
      </c>
      <c r="D25" s="179" t="s">
        <v>1487</v>
      </c>
      <c r="E25" s="170" t="s">
        <v>1488</v>
      </c>
      <c r="F25" s="172" t="s">
        <v>895</v>
      </c>
      <c r="G25" s="170" t="s">
        <v>359</v>
      </c>
      <c r="H25" s="11"/>
    </row>
    <row r="26" customHeight="1" spans="1:8">
      <c r="A26" s="10">
        <f t="shared" si="0"/>
        <v>16</v>
      </c>
      <c r="B26" s="18" t="s">
        <v>242</v>
      </c>
      <c r="C26" s="102" t="s">
        <v>1122</v>
      </c>
      <c r="D26" s="113" t="s">
        <v>1122</v>
      </c>
      <c r="E26" s="102" t="s">
        <v>1123</v>
      </c>
      <c r="F26" s="10"/>
      <c r="G26" s="102" t="s">
        <v>1352</v>
      </c>
      <c r="H26" s="10"/>
    </row>
    <row r="27" customHeight="1" spans="1:8">
      <c r="A27" s="10">
        <f t="shared" si="0"/>
        <v>17</v>
      </c>
      <c r="B27" s="18" t="s">
        <v>242</v>
      </c>
      <c r="C27" s="102" t="s">
        <v>1121</v>
      </c>
      <c r="D27" s="113" t="s">
        <v>1121</v>
      </c>
      <c r="E27" s="102" t="s">
        <v>1121</v>
      </c>
      <c r="F27" s="10"/>
      <c r="G27" s="102" t="s">
        <v>248</v>
      </c>
      <c r="H27" s="10"/>
    </row>
    <row r="28" customHeight="1" spans="1:8">
      <c r="A28" s="10">
        <f t="shared" si="0"/>
        <v>18</v>
      </c>
      <c r="B28" s="18" t="s">
        <v>242</v>
      </c>
      <c r="C28" s="102" t="s">
        <v>1489</v>
      </c>
      <c r="D28" s="113" t="s">
        <v>1489</v>
      </c>
      <c r="E28" s="102" t="s">
        <v>1490</v>
      </c>
      <c r="F28" s="10"/>
      <c r="G28" s="102" t="s">
        <v>248</v>
      </c>
      <c r="H28" s="10"/>
    </row>
    <row r="29" customHeight="1" spans="1:12">
      <c r="A29" s="10">
        <f t="shared" si="0"/>
        <v>19</v>
      </c>
      <c r="B29" s="18"/>
      <c r="C29" s="212" t="s">
        <v>366</v>
      </c>
      <c r="D29" s="102"/>
      <c r="E29" s="102" t="s">
        <v>367</v>
      </c>
      <c r="F29" s="10"/>
      <c r="G29" s="102" t="s">
        <v>248</v>
      </c>
      <c r="H29" s="10"/>
      <c r="I29" s="23" t="s">
        <v>1491</v>
      </c>
      <c r="J29" s="23" t="s">
        <v>367</v>
      </c>
      <c r="L29" s="23" t="s">
        <v>365</v>
      </c>
    </row>
    <row r="30" customHeight="1" spans="1:8">
      <c r="A30" s="10">
        <f t="shared" si="0"/>
        <v>20</v>
      </c>
      <c r="B30" s="18"/>
      <c r="C30" s="102" t="s">
        <v>1492</v>
      </c>
      <c r="D30" s="102"/>
      <c r="E30" s="102" t="s">
        <v>370</v>
      </c>
      <c r="F30" s="10"/>
      <c r="G30" s="102" t="s">
        <v>320</v>
      </c>
      <c r="H30" s="10"/>
    </row>
    <row r="31" customHeight="1" spans="1:8">
      <c r="A31" s="10">
        <f t="shared" si="0"/>
        <v>21</v>
      </c>
      <c r="B31" s="18"/>
      <c r="C31" s="102" t="s">
        <v>1493</v>
      </c>
      <c r="D31" s="102"/>
      <c r="E31" s="102" t="s">
        <v>402</v>
      </c>
      <c r="F31" s="10"/>
      <c r="G31" s="102" t="s">
        <v>248</v>
      </c>
      <c r="H31"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zoomScale="85" zoomScaleNormal="85" topLeftCell="A5" workbookViewId="0">
      <selection activeCell="A13" sqref="A13:A17"/>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0.6666666666667" style="23" customWidth="1"/>
    <col min="10" max="16384" width="10.8333333333333" style="23"/>
  </cols>
  <sheetData>
    <row r="1" customHeight="1" spans="1:8">
      <c r="A1" s="1" t="s">
        <v>223</v>
      </c>
      <c r="B1" s="2" t="s">
        <v>1494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1495</v>
      </c>
      <c r="F4" s="11"/>
      <c r="G4" s="11"/>
      <c r="H4" s="11"/>
    </row>
    <row r="5" customHeight="1" spans="1:8">
      <c r="A5" s="10">
        <v>2</v>
      </c>
      <c r="B5" s="10" t="s">
        <v>228</v>
      </c>
      <c r="C5" s="10"/>
      <c r="D5" s="10"/>
      <c r="E5" s="11" t="s">
        <v>1494</v>
      </c>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322</v>
      </c>
      <c r="H11" s="11"/>
    </row>
    <row r="12" customHeight="1" spans="1:12">
      <c r="A12" s="10">
        <v>2</v>
      </c>
      <c r="B12" s="18" t="s">
        <v>242</v>
      </c>
      <c r="C12" s="170" t="s">
        <v>1496</v>
      </c>
      <c r="D12" s="179" t="s">
        <v>1497</v>
      </c>
      <c r="E12" s="170" t="s">
        <v>1498</v>
      </c>
      <c r="F12" s="11"/>
      <c r="G12" s="170" t="s">
        <v>322</v>
      </c>
      <c r="H12" s="11"/>
      <c r="I12" s="23" t="s">
        <v>1447</v>
      </c>
      <c r="J12" s="23" t="s">
        <v>243</v>
      </c>
      <c r="L12" s="40" t="s">
        <v>365</v>
      </c>
    </row>
    <row r="13" customHeight="1" spans="1:12">
      <c r="A13" s="10">
        <v>3</v>
      </c>
      <c r="B13" s="171" t="s">
        <v>242</v>
      </c>
      <c r="C13" s="170" t="s">
        <v>1259</v>
      </c>
      <c r="D13" s="179" t="s">
        <v>1499</v>
      </c>
      <c r="E13" s="170" t="s">
        <v>256</v>
      </c>
      <c r="F13" s="11"/>
      <c r="G13" s="170" t="s">
        <v>248</v>
      </c>
      <c r="H13" s="11"/>
      <c r="I13" s="40" t="s">
        <v>258</v>
      </c>
      <c r="J13" s="40" t="s">
        <v>243</v>
      </c>
      <c r="K13" s="40"/>
      <c r="L13" s="40" t="s">
        <v>365</v>
      </c>
    </row>
    <row r="14" customHeight="1" spans="1:12">
      <c r="A14" s="10">
        <v>4</v>
      </c>
      <c r="B14" s="18" t="s">
        <v>242</v>
      </c>
      <c r="C14" s="170" t="s">
        <v>1500</v>
      </c>
      <c r="D14" s="179" t="s">
        <v>1500</v>
      </c>
      <c r="E14" s="170" t="s">
        <v>353</v>
      </c>
      <c r="F14" s="172"/>
      <c r="G14" s="170" t="s">
        <v>248</v>
      </c>
      <c r="H14" s="11"/>
      <c r="I14" s="23" t="s">
        <v>352</v>
      </c>
      <c r="J14" s="23" t="s">
        <v>353</v>
      </c>
      <c r="L14" s="40" t="s">
        <v>365</v>
      </c>
    </row>
    <row r="15" customHeight="1" spans="1:8">
      <c r="A15" s="10">
        <v>5</v>
      </c>
      <c r="B15" s="18" t="s">
        <v>242</v>
      </c>
      <c r="C15" s="170" t="s">
        <v>1501</v>
      </c>
      <c r="D15" s="179" t="s">
        <v>1501</v>
      </c>
      <c r="E15" s="170" t="s">
        <v>365</v>
      </c>
      <c r="F15" s="172"/>
      <c r="G15" s="170" t="s">
        <v>248</v>
      </c>
      <c r="H15" s="11"/>
    </row>
    <row r="16" customHeight="1" spans="1:8">
      <c r="A16" s="10">
        <v>6</v>
      </c>
      <c r="B16" s="18" t="s">
        <v>242</v>
      </c>
      <c r="C16" s="170" t="s">
        <v>1502</v>
      </c>
      <c r="D16" s="179" t="s">
        <v>1502</v>
      </c>
      <c r="E16" s="170" t="s">
        <v>1480</v>
      </c>
      <c r="F16" s="172" t="s">
        <v>895</v>
      </c>
      <c r="G16" s="170" t="s">
        <v>359</v>
      </c>
      <c r="H16" s="11"/>
    </row>
    <row r="17" customHeight="1" spans="1:8">
      <c r="A17" s="10">
        <v>7</v>
      </c>
      <c r="B17" s="18" t="s">
        <v>242</v>
      </c>
      <c r="C17" s="102" t="s">
        <v>1503</v>
      </c>
      <c r="D17" s="113" t="s">
        <v>1503</v>
      </c>
      <c r="E17" s="102" t="s">
        <v>560</v>
      </c>
      <c r="F17" s="11" t="s">
        <v>1325</v>
      </c>
      <c r="G17" s="102" t="s">
        <v>421</v>
      </c>
      <c r="H17"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zoomScale="85" zoomScaleNormal="85" workbookViewId="0">
      <selection activeCell="A13" sqref="A13:A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3.0833333333333" style="23" customWidth="1"/>
    <col min="7" max="7" width="21.1666666666667" style="23" customWidth="1"/>
    <col min="8" max="8" width="17.35" style="23" customWidth="1"/>
    <col min="9" max="9" width="23.675" style="23" customWidth="1"/>
    <col min="10" max="10" width="16.025" style="23" customWidth="1"/>
    <col min="11" max="11" width="10.8333333333333" style="23"/>
    <col min="12" max="12" width="21.7583333333333" style="23" customWidth="1"/>
    <col min="13" max="16384" width="10.8333333333333" style="23"/>
  </cols>
  <sheetData>
    <row r="1" customHeight="1" spans="1:8">
      <c r="A1" s="1" t="s">
        <v>223</v>
      </c>
      <c r="B1" s="2" t="s">
        <v>1504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1505</v>
      </c>
      <c r="F4" s="11"/>
      <c r="G4" s="11"/>
      <c r="H4" s="11"/>
    </row>
    <row r="5" customHeight="1" spans="1:8">
      <c r="A5" s="10">
        <v>2</v>
      </c>
      <c r="B5" s="10" t="s">
        <v>228</v>
      </c>
      <c r="C5" s="10"/>
      <c r="D5" s="10"/>
      <c r="E5" s="11" t="s">
        <v>1504</v>
      </c>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4" t="s">
        <v>237</v>
      </c>
      <c r="E10" s="17" t="s">
        <v>238</v>
      </c>
      <c r="F10" s="14" t="s">
        <v>239</v>
      </c>
      <c r="G10" s="14" t="s">
        <v>240</v>
      </c>
      <c r="H10" s="14" t="s">
        <v>241</v>
      </c>
    </row>
    <row r="11" customHeight="1" spans="1:8">
      <c r="A11" s="10">
        <v>1</v>
      </c>
      <c r="B11" s="18" t="s">
        <v>242</v>
      </c>
      <c r="C11" s="170" t="s">
        <v>243</v>
      </c>
      <c r="D11" s="170" t="s">
        <v>243</v>
      </c>
      <c r="E11" s="170" t="s">
        <v>243</v>
      </c>
      <c r="F11" s="11" t="s">
        <v>244</v>
      </c>
      <c r="G11" s="170" t="s">
        <v>322</v>
      </c>
      <c r="H11" s="11"/>
    </row>
    <row r="12" customHeight="1" spans="1:12">
      <c r="A12" s="10">
        <v>2</v>
      </c>
      <c r="B12" s="18" t="s">
        <v>242</v>
      </c>
      <c r="C12" s="170" t="s">
        <v>1496</v>
      </c>
      <c r="D12" s="170" t="s">
        <v>1497</v>
      </c>
      <c r="E12" s="170" t="s">
        <v>1498</v>
      </c>
      <c r="F12" s="11"/>
      <c r="G12" s="170" t="s">
        <v>322</v>
      </c>
      <c r="H12" s="11"/>
      <c r="I12" s="23" t="s">
        <v>1447</v>
      </c>
      <c r="J12" s="23" t="s">
        <v>243</v>
      </c>
      <c r="L12" s="40" t="s">
        <v>365</v>
      </c>
    </row>
    <row r="13" customHeight="1" spans="1:12">
      <c r="A13" s="10">
        <v>3</v>
      </c>
      <c r="B13" s="18" t="s">
        <v>242</v>
      </c>
      <c r="C13" s="170" t="s">
        <v>1506</v>
      </c>
      <c r="D13" s="170" t="s">
        <v>1507</v>
      </c>
      <c r="E13" s="170" t="s">
        <v>590</v>
      </c>
      <c r="F13" s="172"/>
      <c r="G13" s="170" t="s">
        <v>248</v>
      </c>
      <c r="H13" s="11"/>
      <c r="I13" s="23" t="s">
        <v>592</v>
      </c>
      <c r="J13" s="23" t="s">
        <v>243</v>
      </c>
      <c r="L13" s="23" t="s">
        <v>365</v>
      </c>
    </row>
    <row r="14" customHeight="1" spans="1:8">
      <c r="A14" s="10">
        <v>4</v>
      </c>
      <c r="B14" s="18" t="s">
        <v>242</v>
      </c>
      <c r="C14" s="102" t="s">
        <v>1503</v>
      </c>
      <c r="D14" s="102" t="s">
        <v>1503</v>
      </c>
      <c r="E14" s="102" t="s">
        <v>560</v>
      </c>
      <c r="F14" s="11" t="s">
        <v>1325</v>
      </c>
      <c r="G14" s="102" t="s">
        <v>421</v>
      </c>
      <c r="H14"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topLeftCell="A4" workbookViewId="0">
      <selection activeCell="I15" sqref="I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0.125" style="23" customWidth="1"/>
    <col min="7" max="7" width="21.1666666666667" style="23" customWidth="1"/>
    <col min="8" max="8" width="12" style="23" customWidth="1"/>
    <col min="9" max="9" width="17" style="23" customWidth="1"/>
    <col min="10" max="16384" width="10.8333333333333" style="23"/>
  </cols>
  <sheetData>
    <row r="1" customHeight="1" spans="1:8">
      <c r="A1" s="1" t="s">
        <v>223</v>
      </c>
      <c r="B1" s="2" t="s">
        <v>1508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1509</v>
      </c>
      <c r="F4" s="11"/>
      <c r="G4" s="11"/>
      <c r="H4" s="11"/>
    </row>
    <row r="5" customHeight="1" spans="1:8">
      <c r="A5" s="10">
        <v>2</v>
      </c>
      <c r="B5" s="10" t="s">
        <v>228</v>
      </c>
      <c r="C5" s="10"/>
      <c r="D5" s="10"/>
      <c r="E5" s="11" t="s">
        <v>1508</v>
      </c>
      <c r="F5" s="11"/>
      <c r="G5" s="11"/>
      <c r="H5" s="11"/>
    </row>
    <row r="6" customHeight="1" spans="1:8">
      <c r="A6" s="10">
        <v>3</v>
      </c>
      <c r="B6" s="10" t="s">
        <v>229</v>
      </c>
      <c r="C6" s="10"/>
      <c r="D6" s="10"/>
      <c r="E6" s="11"/>
      <c r="F6" s="11"/>
      <c r="G6" s="11"/>
      <c r="H6" s="11"/>
    </row>
    <row r="7" customHeight="1" spans="1:8">
      <c r="A7" s="10">
        <v>4</v>
      </c>
      <c r="B7" s="10" t="s">
        <v>231</v>
      </c>
      <c r="C7" s="10"/>
      <c r="D7" s="10"/>
      <c r="E7" s="11" t="s">
        <v>1258</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322</v>
      </c>
      <c r="H11" s="11"/>
    </row>
    <row r="12" customHeight="1" spans="1:8">
      <c r="A12" s="10">
        <v>2</v>
      </c>
      <c r="B12" s="18" t="s">
        <v>242</v>
      </c>
      <c r="C12" s="170" t="s">
        <v>1510</v>
      </c>
      <c r="D12" s="179" t="s">
        <v>1510</v>
      </c>
      <c r="E12" s="170" t="s">
        <v>1511</v>
      </c>
      <c r="F12" s="11"/>
      <c r="G12" s="170" t="s">
        <v>303</v>
      </c>
      <c r="H12" s="11"/>
    </row>
    <row r="13" customHeight="1" spans="1:8">
      <c r="A13" s="10">
        <v>3</v>
      </c>
      <c r="B13" s="18" t="s">
        <v>242</v>
      </c>
      <c r="C13" s="170" t="s">
        <v>1512</v>
      </c>
      <c r="D13" s="179" t="s">
        <v>1512</v>
      </c>
      <c r="E13" s="170" t="s">
        <v>1513</v>
      </c>
      <c r="F13" s="172"/>
      <c r="G13" s="170" t="s">
        <v>248</v>
      </c>
      <c r="H13" s="11"/>
    </row>
    <row r="14" customHeight="1" spans="1:8">
      <c r="A14" s="10">
        <v>4</v>
      </c>
      <c r="B14" s="18"/>
      <c r="C14" s="102" t="s">
        <v>1514</v>
      </c>
      <c r="D14" s="113" t="s">
        <v>1515</v>
      </c>
      <c r="E14" s="102" t="s">
        <v>1516</v>
      </c>
      <c r="F14" s="11" t="s">
        <v>1325</v>
      </c>
      <c r="G14" s="170" t="s">
        <v>320</v>
      </c>
      <c r="H14" s="11"/>
    </row>
    <row r="15" s="10" customFormat="1" customHeight="1" spans="1:12">
      <c r="A15" s="10">
        <v>5</v>
      </c>
      <c r="B15" s="18" t="s">
        <v>242</v>
      </c>
      <c r="C15" s="10" t="s">
        <v>1261</v>
      </c>
      <c r="D15" s="16" t="s">
        <v>1517</v>
      </c>
      <c r="E15" s="10" t="s">
        <v>353</v>
      </c>
      <c r="G15" s="10" t="s">
        <v>248</v>
      </c>
      <c r="I15" s="10" t="s">
        <v>352</v>
      </c>
      <c r="J15" s="10" t="s">
        <v>353</v>
      </c>
      <c r="L15" s="10" t="s">
        <v>365</v>
      </c>
    </row>
    <row r="16" s="10" customFormat="1" customHeight="1" spans="1:7">
      <c r="A16" s="10">
        <v>6</v>
      </c>
      <c r="B16" s="18" t="s">
        <v>242</v>
      </c>
      <c r="C16" s="10" t="s">
        <v>285</v>
      </c>
      <c r="D16" s="16" t="s">
        <v>285</v>
      </c>
      <c r="E16" s="10" t="s">
        <v>286</v>
      </c>
      <c r="G16" s="10" t="s">
        <v>282</v>
      </c>
    </row>
    <row r="17" s="10" customFormat="1" customHeight="1" spans="1:7">
      <c r="A17" s="10">
        <v>7</v>
      </c>
      <c r="B17" s="18" t="s">
        <v>242</v>
      </c>
      <c r="C17" s="10" t="s">
        <v>418</v>
      </c>
      <c r="D17" s="16" t="s">
        <v>418</v>
      </c>
      <c r="E17" s="10" t="s">
        <v>288</v>
      </c>
      <c r="G17" s="10" t="s">
        <v>282</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20" workbookViewId="0">
      <selection activeCell="F30" sqref="F30"/>
    </sheetView>
  </sheetViews>
  <sheetFormatPr defaultColWidth="10.8333333333333" defaultRowHeight="35" customHeight="1"/>
  <cols>
    <col min="1" max="1" width="5.66666666666667" style="23" customWidth="1"/>
    <col min="2" max="2" width="5.83333333333333" style="23" customWidth="1"/>
    <col min="3" max="3" width="20.5" style="23" customWidth="1"/>
    <col min="4" max="4" width="16.8333333333333" style="23" customWidth="1"/>
    <col min="5" max="5" width="20.8333333333333" style="24" customWidth="1"/>
    <col min="6" max="6" width="43.125" style="23" customWidth="1"/>
    <col min="7" max="7" width="21.1666666666667" style="23" customWidth="1"/>
    <col min="8" max="8" width="25.125" style="23" customWidth="1"/>
    <col min="9" max="9" width="17.0583333333333" style="23" customWidth="1"/>
    <col min="10" max="10" width="10.8333333333333" style="23"/>
    <col min="11" max="11" width="25.4416666666667" style="23" customWidth="1"/>
    <col min="12" max="16384" width="10.8333333333333" style="23"/>
  </cols>
  <sheetData>
    <row r="1" customHeight="1" spans="1:8">
      <c r="A1" s="1" t="s">
        <v>223</v>
      </c>
      <c r="B1" s="2" t="s">
        <v>1518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1519</v>
      </c>
      <c r="F4" s="11"/>
      <c r="G4" s="11"/>
      <c r="H4" s="11"/>
    </row>
    <row r="5" customHeight="1" spans="1:8">
      <c r="A5" s="10">
        <v>2</v>
      </c>
      <c r="B5" s="10" t="s">
        <v>228</v>
      </c>
      <c r="C5" s="10"/>
      <c r="D5" s="10"/>
      <c r="E5" s="11" t="s">
        <v>1518</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322</v>
      </c>
      <c r="H11" s="11"/>
    </row>
    <row r="12" customHeight="1" spans="1:8">
      <c r="A12" s="10">
        <v>2</v>
      </c>
      <c r="B12" s="18"/>
      <c r="C12" s="170" t="s">
        <v>1314</v>
      </c>
      <c r="D12" s="179" t="s">
        <v>1314</v>
      </c>
      <c r="E12" s="170" t="s">
        <v>1315</v>
      </c>
      <c r="F12" s="11"/>
      <c r="G12" s="170"/>
      <c r="H12" s="12"/>
    </row>
    <row r="13" customHeight="1" spans="1:11">
      <c r="A13" s="10">
        <v>3</v>
      </c>
      <c r="B13" s="18" t="s">
        <v>242</v>
      </c>
      <c r="C13" s="170" t="s">
        <v>1521</v>
      </c>
      <c r="D13" s="179" t="s">
        <v>1522</v>
      </c>
      <c r="E13" s="170" t="s">
        <v>1523</v>
      </c>
      <c r="F13" s="180" t="s">
        <v>1524</v>
      </c>
      <c r="G13" s="170" t="s">
        <v>263</v>
      </c>
      <c r="H13" s="211" t="s">
        <v>1525</v>
      </c>
      <c r="I13" s="206" t="s">
        <v>264</v>
      </c>
      <c r="J13" s="206" t="s">
        <v>265</v>
      </c>
      <c r="K13" s="201" t="s">
        <v>1523</v>
      </c>
    </row>
    <row r="14" customHeight="1" spans="1:11">
      <c r="A14" s="10">
        <v>4</v>
      </c>
      <c r="B14" s="18" t="s">
        <v>242</v>
      </c>
      <c r="C14" s="170" t="s">
        <v>1526</v>
      </c>
      <c r="D14" s="179" t="s">
        <v>1527</v>
      </c>
      <c r="E14" s="170" t="s">
        <v>1528</v>
      </c>
      <c r="F14" s="172" t="s">
        <v>1529</v>
      </c>
      <c r="G14" s="170" t="s">
        <v>248</v>
      </c>
      <c r="H14" s="211" t="s">
        <v>1530</v>
      </c>
      <c r="I14" s="206" t="s">
        <v>264</v>
      </c>
      <c r="J14" s="206" t="s">
        <v>265</v>
      </c>
      <c r="K14" s="201" t="s">
        <v>1528</v>
      </c>
    </row>
    <row r="15" customHeight="1" spans="1:8">
      <c r="A15" s="10">
        <v>5</v>
      </c>
      <c r="B15" s="18" t="s">
        <v>242</v>
      </c>
      <c r="C15" s="102" t="s">
        <v>1531</v>
      </c>
      <c r="D15" s="113" t="s">
        <v>1532</v>
      </c>
      <c r="E15" s="102" t="s">
        <v>365</v>
      </c>
      <c r="F15" s="172"/>
      <c r="G15" s="170" t="s">
        <v>1352</v>
      </c>
      <c r="H15" s="11"/>
    </row>
    <row r="16" customHeight="1" spans="1:12">
      <c r="A16" s="10">
        <v>6</v>
      </c>
      <c r="B16" s="18" t="s">
        <v>242</v>
      </c>
      <c r="C16" s="102" t="s">
        <v>1448</v>
      </c>
      <c r="D16" s="113" t="s">
        <v>1449</v>
      </c>
      <c r="E16" s="102" t="s">
        <v>256</v>
      </c>
      <c r="F16" s="172"/>
      <c r="G16" s="170" t="s">
        <v>248</v>
      </c>
      <c r="H16" s="11"/>
      <c r="I16" s="40" t="s">
        <v>258</v>
      </c>
      <c r="J16" s="40" t="s">
        <v>243</v>
      </c>
      <c r="K16" s="40"/>
      <c r="L16" s="40" t="s">
        <v>365</v>
      </c>
    </row>
    <row r="17" customHeight="1" spans="1:8">
      <c r="A17" s="10">
        <v>7</v>
      </c>
      <c r="B17" s="18" t="s">
        <v>242</v>
      </c>
      <c r="C17" s="102" t="s">
        <v>1533</v>
      </c>
      <c r="D17" s="113" t="s">
        <v>1533</v>
      </c>
      <c r="E17" s="102" t="s">
        <v>299</v>
      </c>
      <c r="F17" s="11" t="s">
        <v>1347</v>
      </c>
      <c r="G17" s="170" t="s">
        <v>282</v>
      </c>
      <c r="H17" s="11"/>
    </row>
    <row r="18" customHeight="1" spans="1:8">
      <c r="A18" s="10">
        <v>8</v>
      </c>
      <c r="B18" s="18" t="s">
        <v>242</v>
      </c>
      <c r="C18" s="102" t="s">
        <v>1534</v>
      </c>
      <c r="D18" s="113" t="s">
        <v>1534</v>
      </c>
      <c r="E18" s="102" t="s">
        <v>1535</v>
      </c>
      <c r="F18" s="10"/>
      <c r="G18" s="170" t="s">
        <v>320</v>
      </c>
      <c r="H18" s="10"/>
    </row>
    <row r="19" customHeight="1" spans="1:8">
      <c r="A19" s="10">
        <v>9</v>
      </c>
      <c r="B19" s="18" t="s">
        <v>242</v>
      </c>
      <c r="C19" s="102" t="s">
        <v>1536</v>
      </c>
      <c r="D19" s="113" t="s">
        <v>1536</v>
      </c>
      <c r="E19" s="102" t="s">
        <v>1537</v>
      </c>
      <c r="F19" s="10"/>
      <c r="G19" s="102" t="s">
        <v>248</v>
      </c>
      <c r="H19" s="10"/>
    </row>
    <row r="20" customHeight="1" spans="1:8">
      <c r="A20" s="10">
        <v>10</v>
      </c>
      <c r="B20" s="18" t="s">
        <v>242</v>
      </c>
      <c r="C20" s="102" t="s">
        <v>1538</v>
      </c>
      <c r="D20" s="113" t="s">
        <v>1538</v>
      </c>
      <c r="E20" s="102" t="s">
        <v>1539</v>
      </c>
      <c r="F20" s="10"/>
      <c r="G20" s="102" t="s">
        <v>1540</v>
      </c>
      <c r="H20" s="10"/>
    </row>
    <row r="21" customHeight="1" spans="1:8">
      <c r="A21" s="10">
        <v>11</v>
      </c>
      <c r="B21" s="18" t="s">
        <v>242</v>
      </c>
      <c r="C21" s="102" t="s">
        <v>1541</v>
      </c>
      <c r="D21" s="113" t="s">
        <v>1541</v>
      </c>
      <c r="E21" s="102" t="s">
        <v>1542</v>
      </c>
      <c r="F21" s="210"/>
      <c r="G21" s="102" t="s">
        <v>248</v>
      </c>
      <c r="H21" s="10"/>
    </row>
    <row r="22" customHeight="1" spans="1:8">
      <c r="A22" s="10">
        <v>12</v>
      </c>
      <c r="B22" s="18" t="s">
        <v>242</v>
      </c>
      <c r="C22" s="102" t="s">
        <v>1543</v>
      </c>
      <c r="D22" s="113" t="s">
        <v>1543</v>
      </c>
      <c r="E22" s="102" t="s">
        <v>1544</v>
      </c>
      <c r="F22" s="10"/>
      <c r="G22" s="102" t="s">
        <v>248</v>
      </c>
      <c r="H22" s="10"/>
    </row>
    <row r="23" customHeight="1" spans="1:8">
      <c r="A23" s="10">
        <v>13</v>
      </c>
      <c r="B23" s="18" t="s">
        <v>242</v>
      </c>
      <c r="C23" s="102" t="s">
        <v>1545</v>
      </c>
      <c r="D23" s="113" t="s">
        <v>1545</v>
      </c>
      <c r="E23" s="102" t="s">
        <v>1546</v>
      </c>
      <c r="F23" s="10"/>
      <c r="G23" s="102" t="s">
        <v>248</v>
      </c>
      <c r="H23" s="10"/>
    </row>
    <row r="24" customHeight="1" spans="1:8">
      <c r="A24" s="10">
        <v>14</v>
      </c>
      <c r="B24" s="18" t="s">
        <v>242</v>
      </c>
      <c r="C24" s="102" t="s">
        <v>1547</v>
      </c>
      <c r="D24" s="113" t="s">
        <v>1547</v>
      </c>
      <c r="E24" s="102" t="s">
        <v>1548</v>
      </c>
      <c r="F24" s="10"/>
      <c r="G24" s="102" t="s">
        <v>248</v>
      </c>
      <c r="H24" s="10"/>
    </row>
    <row r="25" customHeight="1" spans="1:8">
      <c r="A25" s="10">
        <v>15</v>
      </c>
      <c r="B25" s="18"/>
      <c r="C25" s="102" t="s">
        <v>1549</v>
      </c>
      <c r="D25" s="113" t="s">
        <v>1549</v>
      </c>
      <c r="E25" s="102" t="s">
        <v>736</v>
      </c>
      <c r="F25" s="10"/>
      <c r="G25" s="102" t="s">
        <v>273</v>
      </c>
      <c r="H25" s="10"/>
    </row>
    <row r="26" customHeight="1" spans="1:8">
      <c r="A26" s="10">
        <v>16</v>
      </c>
      <c r="B26" s="10"/>
      <c r="C26" s="10" t="s">
        <v>1550</v>
      </c>
      <c r="D26" s="10" t="s">
        <v>1550</v>
      </c>
      <c r="E26" s="10" t="s">
        <v>1551</v>
      </c>
      <c r="F26" s="10"/>
      <c r="G26" s="10" t="s">
        <v>1552</v>
      </c>
      <c r="H26"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4" workbookViewId="0">
      <selection activeCell="I17" sqref="I17:J17"/>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2.4916666666667" style="23" customWidth="1"/>
    <col min="7" max="7" width="21.1666666666667" style="23" customWidth="1"/>
    <col min="8" max="8" width="25.7333333333333" style="23" customWidth="1"/>
    <col min="9" max="9" width="18.1666666666667" style="23" customWidth="1"/>
    <col min="10" max="10" width="10.8333333333333" style="23"/>
    <col min="11" max="11" width="23.3333333333333" style="23" customWidth="1"/>
    <col min="12" max="16384" width="10.8333333333333" style="23"/>
  </cols>
  <sheetData>
    <row r="1" customHeight="1" spans="1:8">
      <c r="A1" s="1" t="s">
        <v>223</v>
      </c>
      <c r="B1" s="2" t="s">
        <v>1553</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1554</v>
      </c>
      <c r="F4" s="11"/>
      <c r="G4" s="11"/>
      <c r="H4" s="11"/>
    </row>
    <row r="5" customHeight="1" spans="1:8">
      <c r="A5" s="10">
        <v>2</v>
      </c>
      <c r="B5" s="10" t="s">
        <v>228</v>
      </c>
      <c r="C5" s="10"/>
      <c r="D5" s="10"/>
      <c r="E5" s="11" t="s">
        <v>1553</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9" si="0">ROW(A11)-10</f>
        <v>1</v>
      </c>
      <c r="B11" s="18" t="s">
        <v>242</v>
      </c>
      <c r="C11" s="170" t="s">
        <v>243</v>
      </c>
      <c r="D11" s="179" t="s">
        <v>243</v>
      </c>
      <c r="E11" s="170" t="s">
        <v>243</v>
      </c>
      <c r="F11" s="11" t="s">
        <v>244</v>
      </c>
      <c r="G11" s="170" t="s">
        <v>306</v>
      </c>
      <c r="H11" s="11"/>
    </row>
    <row r="12" customHeight="1" spans="1:12">
      <c r="A12" s="10">
        <f t="shared" si="0"/>
        <v>2</v>
      </c>
      <c r="B12" s="18" t="s">
        <v>242</v>
      </c>
      <c r="C12" s="170" t="s">
        <v>1555</v>
      </c>
      <c r="D12" s="179" t="s">
        <v>1556</v>
      </c>
      <c r="E12" s="170" t="s">
        <v>1557</v>
      </c>
      <c r="F12" s="11"/>
      <c r="G12" s="170" t="s">
        <v>248</v>
      </c>
      <c r="H12" s="11"/>
      <c r="I12" s="23" t="s">
        <v>1519</v>
      </c>
      <c r="J12" s="23" t="s">
        <v>243</v>
      </c>
      <c r="L12" s="23" t="s">
        <v>365</v>
      </c>
    </row>
    <row r="13" customHeight="1" spans="1:12">
      <c r="A13" s="10">
        <f t="shared" si="0"/>
        <v>3</v>
      </c>
      <c r="B13" s="18" t="s">
        <v>242</v>
      </c>
      <c r="C13" s="170" t="s">
        <v>1558</v>
      </c>
      <c r="D13" s="179" t="s">
        <v>621</v>
      </c>
      <c r="E13" s="170" t="s">
        <v>1443</v>
      </c>
      <c r="F13" s="172" t="s">
        <v>1559</v>
      </c>
      <c r="G13" s="170" t="s">
        <v>263</v>
      </c>
      <c r="H13" s="97" t="s">
        <v>1560</v>
      </c>
      <c r="I13" s="23" t="s">
        <v>264</v>
      </c>
      <c r="J13" s="23" t="s">
        <v>265</v>
      </c>
      <c r="K13" s="23" t="s">
        <v>1443</v>
      </c>
      <c r="L13" s="23" t="s">
        <v>365</v>
      </c>
    </row>
    <row r="14" customHeight="1" spans="1:12">
      <c r="A14" s="10">
        <f t="shared" si="0"/>
        <v>4</v>
      </c>
      <c r="B14" s="171" t="s">
        <v>242</v>
      </c>
      <c r="C14" s="170" t="s">
        <v>1259</v>
      </c>
      <c r="D14" s="179" t="s">
        <v>1561</v>
      </c>
      <c r="E14" s="170" t="s">
        <v>256</v>
      </c>
      <c r="F14" s="11"/>
      <c r="G14" s="170" t="s">
        <v>248</v>
      </c>
      <c r="H14" s="11"/>
      <c r="I14" s="23" t="s">
        <v>258</v>
      </c>
      <c r="J14" s="23" t="s">
        <v>243</v>
      </c>
      <c r="L14" s="23" t="s">
        <v>365</v>
      </c>
    </row>
    <row r="15" customHeight="1" spans="1:12">
      <c r="A15" s="10">
        <f t="shared" si="0"/>
        <v>5</v>
      </c>
      <c r="B15" s="18" t="s">
        <v>242</v>
      </c>
      <c r="C15" s="170" t="s">
        <v>1562</v>
      </c>
      <c r="D15" s="179" t="s">
        <v>1562</v>
      </c>
      <c r="E15" s="170" t="s">
        <v>353</v>
      </c>
      <c r="F15" s="172" t="s">
        <v>1563</v>
      </c>
      <c r="G15" s="170" t="s">
        <v>248</v>
      </c>
      <c r="H15" s="11"/>
      <c r="I15" s="23" t="s">
        <v>352</v>
      </c>
      <c r="J15" s="23" t="s">
        <v>353</v>
      </c>
      <c r="L15" s="23" t="s">
        <v>365</v>
      </c>
    </row>
    <row r="16" customHeight="1" spans="1:8">
      <c r="A16" s="10">
        <f t="shared" si="0"/>
        <v>6</v>
      </c>
      <c r="B16" s="18" t="s">
        <v>242</v>
      </c>
      <c r="C16" s="170" t="s">
        <v>1564</v>
      </c>
      <c r="D16" s="179" t="s">
        <v>1564</v>
      </c>
      <c r="E16" s="170" t="s">
        <v>365</v>
      </c>
      <c r="F16" s="172" t="s">
        <v>1565</v>
      </c>
      <c r="G16" s="170" t="s">
        <v>248</v>
      </c>
      <c r="H16" s="11"/>
    </row>
    <row r="17" customHeight="1" spans="1:12">
      <c r="A17" s="10">
        <f t="shared" si="0"/>
        <v>7</v>
      </c>
      <c r="B17" s="18" t="s">
        <v>242</v>
      </c>
      <c r="C17" s="170" t="s">
        <v>1566</v>
      </c>
      <c r="D17" s="179" t="s">
        <v>1566</v>
      </c>
      <c r="E17" s="170" t="s">
        <v>247</v>
      </c>
      <c r="F17" s="11" t="s">
        <v>1567</v>
      </c>
      <c r="G17" s="170" t="s">
        <v>248</v>
      </c>
      <c r="H17" s="11"/>
      <c r="I17" s="23" t="s">
        <v>249</v>
      </c>
      <c r="J17" s="23" t="s">
        <v>247</v>
      </c>
      <c r="L17" s="23" t="s">
        <v>365</v>
      </c>
    </row>
    <row r="18" customHeight="1" spans="1:8">
      <c r="A18" s="10">
        <f t="shared" si="0"/>
        <v>8</v>
      </c>
      <c r="B18" s="18" t="s">
        <v>242</v>
      </c>
      <c r="C18" s="102" t="s">
        <v>593</v>
      </c>
      <c r="D18" s="113" t="s">
        <v>593</v>
      </c>
      <c r="E18" s="102" t="s">
        <v>560</v>
      </c>
      <c r="F18" s="10"/>
      <c r="G18" s="102" t="s">
        <v>421</v>
      </c>
      <c r="H18" s="10"/>
    </row>
    <row r="19" customHeight="1" spans="1:8">
      <c r="A19" s="10">
        <f t="shared" si="0"/>
        <v>9</v>
      </c>
      <c r="B19" s="18"/>
      <c r="C19" s="102" t="s">
        <v>1549</v>
      </c>
      <c r="D19" s="113" t="s">
        <v>1549</v>
      </c>
      <c r="E19" s="102" t="s">
        <v>736</v>
      </c>
      <c r="F19" s="10"/>
      <c r="G19" s="102" t="s">
        <v>273</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topLeftCell="A8" workbookViewId="0">
      <selection activeCell="F13" sqref="F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2.75" style="23" customWidth="1"/>
    <col min="7" max="7" width="21.1666666666667" style="23" customWidth="1"/>
    <col min="8" max="8" width="11.375" style="23" customWidth="1"/>
    <col min="9" max="9" width="12.3333333333333" style="23" customWidth="1"/>
    <col min="10" max="16384" width="10.8333333333333" style="23"/>
  </cols>
  <sheetData>
    <row r="1" customHeight="1" spans="1:8">
      <c r="A1" s="1" t="s">
        <v>223</v>
      </c>
      <c r="B1" s="2" t="s">
        <v>1568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1569</v>
      </c>
      <c r="F4" s="11"/>
      <c r="G4" s="11"/>
      <c r="H4" s="11"/>
    </row>
    <row r="5" customHeight="1" spans="1:8">
      <c r="A5" s="10">
        <v>2</v>
      </c>
      <c r="B5" s="10" t="s">
        <v>228</v>
      </c>
      <c r="C5" s="10"/>
      <c r="D5" s="10"/>
      <c r="E5" s="11" t="s">
        <v>1568</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236</v>
      </c>
      <c r="E10" s="17" t="s">
        <v>238</v>
      </c>
      <c r="F10" s="14" t="s">
        <v>239</v>
      </c>
      <c r="G10" s="14" t="s">
        <v>240</v>
      </c>
      <c r="H10" s="14" t="s">
        <v>241</v>
      </c>
    </row>
    <row r="11" customHeight="1" spans="1:8">
      <c r="A11" s="10">
        <v>1</v>
      </c>
      <c r="B11" s="18" t="s">
        <v>242</v>
      </c>
      <c r="C11" s="170" t="s">
        <v>243</v>
      </c>
      <c r="D11" s="179" t="s">
        <v>243</v>
      </c>
      <c r="E11" s="170" t="s">
        <v>243</v>
      </c>
      <c r="F11" s="11" t="s">
        <v>244</v>
      </c>
      <c r="G11" s="170" t="s">
        <v>322</v>
      </c>
      <c r="H11" s="11"/>
    </row>
    <row r="12" customHeight="1" spans="1:12">
      <c r="A12" s="10">
        <v>2</v>
      </c>
      <c r="B12" s="18" t="s">
        <v>242</v>
      </c>
      <c r="C12" s="170" t="s">
        <v>1555</v>
      </c>
      <c r="D12" s="179" t="s">
        <v>1556</v>
      </c>
      <c r="E12" s="170" t="s">
        <v>1557</v>
      </c>
      <c r="F12" s="11"/>
      <c r="G12" s="170" t="s">
        <v>322</v>
      </c>
      <c r="H12" s="11"/>
      <c r="I12" s="23" t="s">
        <v>1519</v>
      </c>
      <c r="J12" s="23" t="s">
        <v>243</v>
      </c>
      <c r="L12" s="40" t="s">
        <v>365</v>
      </c>
    </row>
    <row r="13" customHeight="1" spans="1:8">
      <c r="A13" s="10">
        <v>3</v>
      </c>
      <c r="B13" s="18" t="s">
        <v>242</v>
      </c>
      <c r="C13" s="170" t="s">
        <v>1570</v>
      </c>
      <c r="D13" s="179" t="s">
        <v>1570</v>
      </c>
      <c r="E13" s="170" t="s">
        <v>365</v>
      </c>
      <c r="F13" s="172"/>
      <c r="G13" s="170" t="s">
        <v>303</v>
      </c>
      <c r="H13" s="11"/>
    </row>
    <row r="14" customHeight="1" spans="1:8">
      <c r="A14" s="10">
        <v>4</v>
      </c>
      <c r="B14" s="18" t="s">
        <v>242</v>
      </c>
      <c r="C14" s="170" t="s">
        <v>1571</v>
      </c>
      <c r="D14" s="179" t="s">
        <v>1571</v>
      </c>
      <c r="E14" s="170" t="s">
        <v>1572</v>
      </c>
      <c r="F14" s="172" t="s">
        <v>1573</v>
      </c>
      <c r="G14" s="170" t="s">
        <v>320</v>
      </c>
      <c r="H14" s="11"/>
    </row>
    <row r="15" customHeight="1" spans="1:8">
      <c r="A15" s="10">
        <v>5</v>
      </c>
      <c r="B15" s="18" t="s">
        <v>242</v>
      </c>
      <c r="C15" s="170" t="s">
        <v>1574</v>
      </c>
      <c r="D15" s="179" t="s">
        <v>1574</v>
      </c>
      <c r="E15" s="170" t="s">
        <v>1575</v>
      </c>
      <c r="F15" s="172" t="s">
        <v>1576</v>
      </c>
      <c r="G15" s="170" t="s">
        <v>576</v>
      </c>
      <c r="H15" s="11"/>
    </row>
    <row r="16" customHeight="1" spans="1:8">
      <c r="A16" s="10">
        <v>6</v>
      </c>
      <c r="B16" s="18" t="s">
        <v>242</v>
      </c>
      <c r="C16" s="170" t="s">
        <v>1577</v>
      </c>
      <c r="D16" s="179" t="s">
        <v>1577</v>
      </c>
      <c r="E16" s="170" t="s">
        <v>1578</v>
      </c>
      <c r="F16" s="11" t="s">
        <v>1579</v>
      </c>
      <c r="G16" s="170" t="s">
        <v>320</v>
      </c>
      <c r="H16" s="11"/>
    </row>
    <row r="17" customHeight="1" spans="1:8">
      <c r="A17" s="10">
        <v>7</v>
      </c>
      <c r="B17" s="18"/>
      <c r="C17" s="102" t="s">
        <v>569</v>
      </c>
      <c r="D17" s="113"/>
      <c r="E17" s="102" t="s">
        <v>570</v>
      </c>
      <c r="F17" s="10"/>
      <c r="G17" s="102" t="s">
        <v>571</v>
      </c>
      <c r="H17"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zoomScale="85" zoomScaleNormal="85"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4.1166666666667" style="23" customWidth="1"/>
    <col min="7" max="7" width="21.1666666666667" style="23" customWidth="1"/>
    <col min="8" max="8" width="38.1666666666667" style="23" customWidth="1"/>
    <col min="9" max="9" width="12.3333333333333" style="23" customWidth="1"/>
    <col min="10" max="10" width="10.8333333333333" style="23"/>
    <col min="11" max="11" width="21.1666666666667" style="23" customWidth="1"/>
    <col min="12" max="16384" width="10.8333333333333" style="23"/>
  </cols>
  <sheetData>
    <row r="1" customHeight="1" spans="1:8">
      <c r="A1" s="1" t="s">
        <v>223</v>
      </c>
      <c r="B1" s="2" t="s">
        <v>1580</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1581</v>
      </c>
      <c r="F4" s="11"/>
      <c r="G4" s="11"/>
      <c r="H4" s="11"/>
    </row>
    <row r="5" customHeight="1" spans="1:8">
      <c r="A5" s="10">
        <v>2</v>
      </c>
      <c r="B5" s="10" t="s">
        <v>228</v>
      </c>
      <c r="C5" s="10"/>
      <c r="D5" s="10"/>
      <c r="E5" s="11" t="s">
        <v>1580</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12">
      <c r="A12" s="10">
        <v>2</v>
      </c>
      <c r="B12" s="18" t="s">
        <v>242</v>
      </c>
      <c r="C12" s="170" t="s">
        <v>1555</v>
      </c>
      <c r="D12" s="179" t="s">
        <v>1556</v>
      </c>
      <c r="E12" s="170" t="s">
        <v>1557</v>
      </c>
      <c r="F12" s="11"/>
      <c r="G12" s="170" t="s">
        <v>248</v>
      </c>
      <c r="H12" s="11"/>
      <c r="I12" s="23" t="s">
        <v>1519</v>
      </c>
      <c r="J12" s="23" t="s">
        <v>243</v>
      </c>
      <c r="L12" s="40" t="s">
        <v>365</v>
      </c>
    </row>
    <row r="13" customHeight="1" spans="1:12">
      <c r="A13" s="10">
        <v>3</v>
      </c>
      <c r="B13" s="18" t="s">
        <v>242</v>
      </c>
      <c r="C13" s="102" t="s">
        <v>1582</v>
      </c>
      <c r="D13" s="113" t="s">
        <v>1583</v>
      </c>
      <c r="E13" s="102" t="s">
        <v>1584</v>
      </c>
      <c r="F13" s="172" t="s">
        <v>1585</v>
      </c>
      <c r="G13" s="102" t="s">
        <v>263</v>
      </c>
      <c r="H13" s="180" t="s">
        <v>1586</v>
      </c>
      <c r="I13" s="23" t="s">
        <v>264</v>
      </c>
      <c r="J13" s="23" t="s">
        <v>265</v>
      </c>
      <c r="K13" s="23" t="s">
        <v>1584</v>
      </c>
      <c r="L13" s="4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zoomScale="85" zoomScaleNormal="85" topLeftCell="A27" workbookViewId="0">
      <selection activeCell="G39" sqref="G3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1.7583333333333" style="23" customWidth="1"/>
    <col min="7" max="7" width="21.1666666666667" style="23" customWidth="1"/>
    <col min="8" max="8" width="17.35" style="23" customWidth="1"/>
    <col min="9" max="9" width="18" style="23" customWidth="1"/>
    <col min="10" max="10" width="10.8333333333333" style="23"/>
    <col min="11" max="11" width="27.3416666666667" style="23" customWidth="1"/>
    <col min="12" max="16384" width="10.8333333333333" style="23"/>
  </cols>
  <sheetData>
    <row r="1" customHeight="1" spans="1:8">
      <c r="A1" s="1" t="s">
        <v>223</v>
      </c>
      <c r="B1" s="2" t="s">
        <v>1587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1588</v>
      </c>
      <c r="F4" s="11"/>
      <c r="G4" s="11"/>
      <c r="H4" s="11"/>
    </row>
    <row r="5" customHeight="1" spans="1:8">
      <c r="A5" s="10">
        <v>2</v>
      </c>
      <c r="B5" s="10" t="s">
        <v>228</v>
      </c>
      <c r="C5" s="10"/>
      <c r="D5" s="10"/>
      <c r="E5" s="11" t="s">
        <v>1587</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170" t="s">
        <v>243</v>
      </c>
      <c r="D11" s="179" t="s">
        <v>243</v>
      </c>
      <c r="E11" s="170" t="s">
        <v>243</v>
      </c>
      <c r="F11" s="11" t="s">
        <v>244</v>
      </c>
      <c r="G11" s="170" t="s">
        <v>306</v>
      </c>
      <c r="H11" s="11"/>
    </row>
    <row r="12" customHeight="1" spans="1:8">
      <c r="A12" s="10">
        <f t="shared" ref="A12:A39" si="0">ROW(A12)-10</f>
        <v>2</v>
      </c>
      <c r="B12" s="18"/>
      <c r="C12" s="170" t="s">
        <v>1589</v>
      </c>
      <c r="D12" s="179" t="s">
        <v>1589</v>
      </c>
      <c r="E12" s="170" t="s">
        <v>983</v>
      </c>
      <c r="F12" s="11"/>
      <c r="G12" s="170" t="s">
        <v>248</v>
      </c>
      <c r="H12" s="11"/>
    </row>
    <row r="13" customHeight="1" spans="1:8">
      <c r="A13" s="10">
        <f t="shared" si="0"/>
        <v>3</v>
      </c>
      <c r="B13" s="18" t="s">
        <v>242</v>
      </c>
      <c r="C13" s="170" t="s">
        <v>1590</v>
      </c>
      <c r="D13" s="179" t="s">
        <v>1590</v>
      </c>
      <c r="E13" s="170" t="s">
        <v>365</v>
      </c>
      <c r="F13" s="172"/>
      <c r="G13" s="170" t="s">
        <v>306</v>
      </c>
      <c r="H13" s="11"/>
    </row>
    <row r="14" customHeight="1" spans="1:12">
      <c r="A14" s="10">
        <f t="shared" si="0"/>
        <v>4</v>
      </c>
      <c r="B14" s="18" t="s">
        <v>242</v>
      </c>
      <c r="C14" s="170" t="s">
        <v>1448</v>
      </c>
      <c r="D14" s="179" t="s">
        <v>1591</v>
      </c>
      <c r="E14" s="170" t="s">
        <v>256</v>
      </c>
      <c r="F14" s="172"/>
      <c r="G14" s="170" t="s">
        <v>248</v>
      </c>
      <c r="H14" s="11"/>
      <c r="I14" s="23" t="s">
        <v>258</v>
      </c>
      <c r="J14" s="23" t="s">
        <v>243</v>
      </c>
      <c r="L14" s="40" t="s">
        <v>365</v>
      </c>
    </row>
    <row r="15" ht="201" customHeight="1" spans="1:12">
      <c r="A15" s="10">
        <f t="shared" si="0"/>
        <v>5</v>
      </c>
      <c r="B15" s="18" t="s">
        <v>242</v>
      </c>
      <c r="C15" s="170" t="s">
        <v>1592</v>
      </c>
      <c r="D15" s="179" t="s">
        <v>1593</v>
      </c>
      <c r="E15" s="170" t="s">
        <v>1594</v>
      </c>
      <c r="F15" s="180" t="s">
        <v>1595</v>
      </c>
      <c r="G15" s="170" t="s">
        <v>306</v>
      </c>
      <c r="H15" s="11"/>
      <c r="I15" s="23" t="s">
        <v>264</v>
      </c>
      <c r="J15" s="23" t="s">
        <v>265</v>
      </c>
      <c r="K15" s="23" t="s">
        <v>1596</v>
      </c>
      <c r="L15" s="40" t="s">
        <v>365</v>
      </c>
    </row>
    <row r="16" customHeight="1" spans="1:8">
      <c r="A16" s="10">
        <f t="shared" si="0"/>
        <v>6</v>
      </c>
      <c r="B16" s="18" t="s">
        <v>242</v>
      </c>
      <c r="C16" s="170" t="s">
        <v>1597</v>
      </c>
      <c r="D16" s="179" t="s">
        <v>1597</v>
      </c>
      <c r="E16" s="170" t="s">
        <v>1598</v>
      </c>
      <c r="F16" s="172"/>
      <c r="G16" s="170" t="s">
        <v>306</v>
      </c>
      <c r="H16" s="11"/>
    </row>
    <row r="17" customHeight="1" spans="1:8">
      <c r="A17" s="10">
        <f t="shared" si="0"/>
        <v>7</v>
      </c>
      <c r="B17" s="18" t="s">
        <v>242</v>
      </c>
      <c r="C17" s="170" t="s">
        <v>1599</v>
      </c>
      <c r="D17" s="179" t="s">
        <v>1599</v>
      </c>
      <c r="E17" s="170" t="s">
        <v>1600</v>
      </c>
      <c r="F17" s="11"/>
      <c r="G17" s="170" t="s">
        <v>248</v>
      </c>
      <c r="H17" s="11"/>
    </row>
    <row r="18" customHeight="1" spans="1:12">
      <c r="A18" s="10">
        <f t="shared" si="0"/>
        <v>8</v>
      </c>
      <c r="B18" s="18" t="s">
        <v>242</v>
      </c>
      <c r="C18" s="170" t="s">
        <v>1435</v>
      </c>
      <c r="D18" s="179" t="s">
        <v>1435</v>
      </c>
      <c r="E18" s="170" t="s">
        <v>353</v>
      </c>
      <c r="F18" s="10"/>
      <c r="G18" s="170" t="s">
        <v>248</v>
      </c>
      <c r="H18" s="10"/>
      <c r="I18" s="23" t="s">
        <v>352</v>
      </c>
      <c r="J18" s="23" t="s">
        <v>353</v>
      </c>
      <c r="L18" s="40" t="s">
        <v>365</v>
      </c>
    </row>
    <row r="19" customHeight="1" spans="1:12">
      <c r="A19" s="10">
        <f t="shared" si="0"/>
        <v>9</v>
      </c>
      <c r="B19" s="18" t="s">
        <v>242</v>
      </c>
      <c r="C19" s="102" t="s">
        <v>1601</v>
      </c>
      <c r="D19" s="113" t="s">
        <v>1602</v>
      </c>
      <c r="E19" s="102" t="s">
        <v>1603</v>
      </c>
      <c r="F19" s="97" t="s">
        <v>1604</v>
      </c>
      <c r="G19" s="102" t="s">
        <v>263</v>
      </c>
      <c r="H19" s="97" t="s">
        <v>1605</v>
      </c>
      <c r="I19" s="23" t="s">
        <v>264</v>
      </c>
      <c r="J19" s="23" t="s">
        <v>265</v>
      </c>
      <c r="K19" s="23" t="s">
        <v>1603</v>
      </c>
      <c r="L19" s="40" t="s">
        <v>365</v>
      </c>
    </row>
    <row r="20" customHeight="1" spans="1:12">
      <c r="A20" s="10">
        <f t="shared" si="0"/>
        <v>10</v>
      </c>
      <c r="B20" s="18"/>
      <c r="C20" s="102" t="s">
        <v>1606</v>
      </c>
      <c r="D20" s="113" t="s">
        <v>1607</v>
      </c>
      <c r="E20" s="102" t="s">
        <v>1608</v>
      </c>
      <c r="F20" s="97" t="s">
        <v>1301</v>
      </c>
      <c r="G20" s="102" t="s">
        <v>263</v>
      </c>
      <c r="H20" s="97" t="s">
        <v>1605</v>
      </c>
      <c r="I20" s="23" t="s">
        <v>264</v>
      </c>
      <c r="J20" s="23" t="s">
        <v>265</v>
      </c>
      <c r="K20" s="23" t="s">
        <v>1608</v>
      </c>
      <c r="L20" s="40" t="s">
        <v>365</v>
      </c>
    </row>
    <row r="21" ht="138" spans="1:12">
      <c r="A21" s="10">
        <f t="shared" si="0"/>
        <v>11</v>
      </c>
      <c r="B21" s="18" t="s">
        <v>242</v>
      </c>
      <c r="C21" s="102" t="s">
        <v>1609</v>
      </c>
      <c r="D21" s="113" t="s">
        <v>1610</v>
      </c>
      <c r="E21" s="102" t="s">
        <v>1611</v>
      </c>
      <c r="F21" s="97" t="s">
        <v>1612</v>
      </c>
      <c r="G21" s="102" t="s">
        <v>263</v>
      </c>
      <c r="H21" s="97" t="s">
        <v>1613</v>
      </c>
      <c r="I21" s="23" t="s">
        <v>264</v>
      </c>
      <c r="J21" s="23" t="s">
        <v>265</v>
      </c>
      <c r="K21" s="23" t="s">
        <v>1611</v>
      </c>
      <c r="L21" s="40" t="s">
        <v>365</v>
      </c>
    </row>
    <row r="22" ht="138" spans="1:12">
      <c r="A22" s="10">
        <f t="shared" si="0"/>
        <v>12</v>
      </c>
      <c r="B22" s="18" t="s">
        <v>242</v>
      </c>
      <c r="C22" s="102" t="s">
        <v>1614</v>
      </c>
      <c r="D22" s="113" t="s">
        <v>1615</v>
      </c>
      <c r="E22" s="102" t="s">
        <v>1616</v>
      </c>
      <c r="F22" s="97" t="s">
        <v>1617</v>
      </c>
      <c r="G22" s="102" t="s">
        <v>263</v>
      </c>
      <c r="H22" s="97" t="s">
        <v>1618</v>
      </c>
      <c r="I22" s="23" t="s">
        <v>264</v>
      </c>
      <c r="J22" s="23" t="s">
        <v>265</v>
      </c>
      <c r="K22" s="23" t="s">
        <v>1616</v>
      </c>
      <c r="L22" s="40" t="s">
        <v>365</v>
      </c>
    </row>
    <row r="23" customHeight="1" spans="1:12">
      <c r="A23" s="10">
        <f t="shared" si="0"/>
        <v>13</v>
      </c>
      <c r="B23" s="18" t="s">
        <v>242</v>
      </c>
      <c r="C23" s="102" t="s">
        <v>1619</v>
      </c>
      <c r="D23" s="113" t="s">
        <v>1620</v>
      </c>
      <c r="E23" s="102" t="s">
        <v>1621</v>
      </c>
      <c r="F23" s="210" t="s">
        <v>1622</v>
      </c>
      <c r="G23" s="102" t="s">
        <v>263</v>
      </c>
      <c r="H23" s="97" t="s">
        <v>1623</v>
      </c>
      <c r="I23" s="23" t="s">
        <v>264</v>
      </c>
      <c r="J23" s="23" t="s">
        <v>265</v>
      </c>
      <c r="K23" s="23" t="s">
        <v>1621</v>
      </c>
      <c r="L23" s="40" t="s">
        <v>365</v>
      </c>
    </row>
    <row r="24" customHeight="1" spans="1:8">
      <c r="A24" s="10">
        <f t="shared" si="0"/>
        <v>14</v>
      </c>
      <c r="B24" s="18" t="s">
        <v>242</v>
      </c>
      <c r="C24" s="102" t="s">
        <v>1624</v>
      </c>
      <c r="D24" s="113" t="s">
        <v>1624</v>
      </c>
      <c r="E24" s="102" t="s">
        <v>1625</v>
      </c>
      <c r="F24" s="10" t="s">
        <v>1347</v>
      </c>
      <c r="G24" s="102" t="s">
        <v>282</v>
      </c>
      <c r="H24" s="10"/>
    </row>
    <row r="25" customHeight="1" spans="1:8">
      <c r="A25" s="10">
        <f t="shared" si="0"/>
        <v>15</v>
      </c>
      <c r="B25" s="18" t="s">
        <v>242</v>
      </c>
      <c r="C25" s="102" t="s">
        <v>1626</v>
      </c>
      <c r="D25" s="113" t="s">
        <v>1626</v>
      </c>
      <c r="E25" s="102" t="s">
        <v>286</v>
      </c>
      <c r="F25" s="10" t="s">
        <v>1347</v>
      </c>
      <c r="G25" s="102" t="s">
        <v>282</v>
      </c>
      <c r="H25" s="10"/>
    </row>
    <row r="26" customHeight="1" spans="1:8">
      <c r="A26" s="10">
        <f t="shared" si="0"/>
        <v>16</v>
      </c>
      <c r="B26" s="18"/>
      <c r="C26" s="102" t="s">
        <v>1627</v>
      </c>
      <c r="D26" s="113" t="s">
        <v>1627</v>
      </c>
      <c r="E26" s="102" t="s">
        <v>1628</v>
      </c>
      <c r="F26" s="10" t="s">
        <v>1347</v>
      </c>
      <c r="G26" s="102" t="s">
        <v>282</v>
      </c>
      <c r="H26" s="10"/>
    </row>
    <row r="27" customHeight="1" spans="1:8">
      <c r="A27" s="10">
        <f t="shared" si="0"/>
        <v>17</v>
      </c>
      <c r="B27" s="18"/>
      <c r="C27" s="102" t="s">
        <v>1629</v>
      </c>
      <c r="D27" s="113" t="s">
        <v>1629</v>
      </c>
      <c r="E27" s="102" t="s">
        <v>288</v>
      </c>
      <c r="F27" s="10" t="s">
        <v>1347</v>
      </c>
      <c r="G27" s="102" t="s">
        <v>282</v>
      </c>
      <c r="H27" s="10"/>
    </row>
    <row r="28" customHeight="1" spans="1:8">
      <c r="A28" s="10">
        <f t="shared" si="0"/>
        <v>18</v>
      </c>
      <c r="B28" s="18" t="s">
        <v>242</v>
      </c>
      <c r="C28" s="170" t="s">
        <v>1630</v>
      </c>
      <c r="D28" s="179" t="s">
        <v>1630</v>
      </c>
      <c r="E28" s="170" t="s">
        <v>1631</v>
      </c>
      <c r="F28" s="11"/>
      <c r="G28" s="170" t="s">
        <v>248</v>
      </c>
      <c r="H28" s="11"/>
    </row>
    <row r="29" customHeight="1" spans="1:8">
      <c r="A29" s="10">
        <f t="shared" si="0"/>
        <v>19</v>
      </c>
      <c r="B29" s="18" t="s">
        <v>242</v>
      </c>
      <c r="C29" s="102" t="s">
        <v>1632</v>
      </c>
      <c r="D29" s="113" t="s">
        <v>1632</v>
      </c>
      <c r="E29" s="102" t="s">
        <v>1633</v>
      </c>
      <c r="F29" s="10"/>
      <c r="G29" s="102" t="s">
        <v>869</v>
      </c>
      <c r="H29" s="10"/>
    </row>
    <row r="30" customHeight="1" spans="1:8">
      <c r="A30" s="10">
        <f t="shared" si="0"/>
        <v>20</v>
      </c>
      <c r="B30" s="18" t="s">
        <v>242</v>
      </c>
      <c r="C30" s="102" t="s">
        <v>1634</v>
      </c>
      <c r="D30" s="113" t="s">
        <v>1634</v>
      </c>
      <c r="E30" s="102" t="s">
        <v>1635</v>
      </c>
      <c r="F30" s="10"/>
      <c r="G30" s="102" t="s">
        <v>958</v>
      </c>
      <c r="H30" s="10"/>
    </row>
    <row r="31" customHeight="1" spans="1:8">
      <c r="A31" s="10">
        <f t="shared" si="0"/>
        <v>21</v>
      </c>
      <c r="B31" s="18"/>
      <c r="C31" s="102" t="s">
        <v>1549</v>
      </c>
      <c r="D31" s="113" t="s">
        <v>1549</v>
      </c>
      <c r="E31" s="102" t="s">
        <v>736</v>
      </c>
      <c r="F31" s="10"/>
      <c r="G31" s="102" t="s">
        <v>273</v>
      </c>
      <c r="H31" s="10"/>
    </row>
    <row r="32" customHeight="1" spans="1:8">
      <c r="A32" s="10">
        <f t="shared" si="0"/>
        <v>22</v>
      </c>
      <c r="B32" s="18"/>
      <c r="C32" s="102" t="s">
        <v>1636</v>
      </c>
      <c r="D32" s="113" t="s">
        <v>1636</v>
      </c>
      <c r="E32" s="102" t="s">
        <v>296</v>
      </c>
      <c r="F32" s="10"/>
      <c r="G32" s="102" t="s">
        <v>273</v>
      </c>
      <c r="H32" s="10"/>
    </row>
    <row r="33" customHeight="1" spans="1:8">
      <c r="A33" s="10">
        <f t="shared" si="0"/>
        <v>23</v>
      </c>
      <c r="B33" s="18"/>
      <c r="C33" s="102" t="s">
        <v>1637</v>
      </c>
      <c r="D33" s="113" t="s">
        <v>1637</v>
      </c>
      <c r="E33" s="102" t="s">
        <v>1638</v>
      </c>
      <c r="F33" s="10"/>
      <c r="G33" s="102" t="s">
        <v>273</v>
      </c>
      <c r="H33" s="10"/>
    </row>
    <row r="34" customHeight="1" spans="1:8">
      <c r="A34" s="10">
        <f t="shared" si="0"/>
        <v>24</v>
      </c>
      <c r="B34" s="18"/>
      <c r="C34" s="102" t="s">
        <v>1639</v>
      </c>
      <c r="D34" s="113" t="s">
        <v>1639</v>
      </c>
      <c r="E34" s="102" t="s">
        <v>1640</v>
      </c>
      <c r="F34" s="10"/>
      <c r="G34" s="102" t="s">
        <v>273</v>
      </c>
      <c r="H34" s="10"/>
    </row>
    <row r="35" customHeight="1" spans="1:8">
      <c r="A35" s="10">
        <f t="shared" si="0"/>
        <v>25</v>
      </c>
      <c r="B35" s="18"/>
      <c r="C35" s="102" t="s">
        <v>1641</v>
      </c>
      <c r="D35" s="113" t="s">
        <v>1641</v>
      </c>
      <c r="E35" s="102" t="s">
        <v>1642</v>
      </c>
      <c r="F35" s="10"/>
      <c r="G35" s="102" t="s">
        <v>273</v>
      </c>
      <c r="H35" s="10"/>
    </row>
    <row r="36" customHeight="1" spans="1:8">
      <c r="A36" s="10">
        <f t="shared" si="0"/>
        <v>26</v>
      </c>
      <c r="B36" s="10"/>
      <c r="C36" s="10" t="s">
        <v>237</v>
      </c>
      <c r="D36" s="10" t="s">
        <v>237</v>
      </c>
      <c r="E36" s="10" t="s">
        <v>1643</v>
      </c>
      <c r="F36" s="10"/>
      <c r="G36" s="10" t="s">
        <v>1644</v>
      </c>
      <c r="H36" s="10"/>
    </row>
    <row r="37" customHeight="1" spans="1:8">
      <c r="A37" s="10">
        <f t="shared" si="0"/>
        <v>27</v>
      </c>
      <c r="B37" s="10"/>
      <c r="C37" s="10" t="s">
        <v>1645</v>
      </c>
      <c r="D37" s="10" t="s">
        <v>1645</v>
      </c>
      <c r="E37" s="10" t="s">
        <v>1646</v>
      </c>
      <c r="F37" s="10"/>
      <c r="G37" s="10" t="s">
        <v>1647</v>
      </c>
      <c r="H37" s="10"/>
    </row>
    <row r="38" customHeight="1" spans="1:8">
      <c r="A38" s="10">
        <f t="shared" si="0"/>
        <v>28</v>
      </c>
      <c r="B38" s="10"/>
      <c r="C38" s="10" t="s">
        <v>1648</v>
      </c>
      <c r="D38" s="10" t="s">
        <v>1648</v>
      </c>
      <c r="E38" s="10" t="s">
        <v>1649</v>
      </c>
      <c r="F38" s="10"/>
      <c r="G38" s="10" t="s">
        <v>282</v>
      </c>
      <c r="H38" s="10"/>
    </row>
    <row r="39" customHeight="1" spans="1:8">
      <c r="A39" s="10">
        <f t="shared" si="0"/>
        <v>29</v>
      </c>
      <c r="B39" s="10"/>
      <c r="C39" s="10" t="s">
        <v>1650</v>
      </c>
      <c r="D39" s="10" t="s">
        <v>1650</v>
      </c>
      <c r="E39" s="10" t="s">
        <v>1651</v>
      </c>
      <c r="F39" s="10"/>
      <c r="G39" s="10" t="s">
        <v>359</v>
      </c>
      <c r="H3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
  <sheetViews>
    <sheetView zoomScale="85" zoomScaleNormal="85" topLeftCell="A23" workbookViewId="0">
      <selection activeCell="G34" sqref="G3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4.55" style="23" customWidth="1"/>
    <col min="7" max="7" width="21.1666666666667" style="23" customWidth="1"/>
    <col min="8" max="8" width="12.7916666666667" style="23" customWidth="1"/>
    <col min="9" max="9" width="17" style="23" customWidth="1"/>
    <col min="10" max="10" width="10.8333333333333" style="23"/>
    <col min="11" max="11" width="24.8333333333333" style="23" customWidth="1"/>
    <col min="12" max="16384" width="10.8333333333333" style="23"/>
  </cols>
  <sheetData>
    <row r="1" customHeight="1" spans="1:8">
      <c r="A1" s="1" t="s">
        <v>223</v>
      </c>
      <c r="B1" s="2" t="s">
        <v>1652</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1653</v>
      </c>
      <c r="F4" s="11"/>
      <c r="G4" s="11"/>
      <c r="H4" s="11"/>
    </row>
    <row r="5" customHeight="1" spans="1:8">
      <c r="A5" s="10">
        <v>2</v>
      </c>
      <c r="B5" s="10" t="s">
        <v>228</v>
      </c>
      <c r="C5" s="10"/>
      <c r="D5" s="10"/>
      <c r="E5" s="11" t="s">
        <v>1652</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170" t="s">
        <v>243</v>
      </c>
      <c r="D11" s="179" t="s">
        <v>243</v>
      </c>
      <c r="E11" s="170" t="s">
        <v>243</v>
      </c>
      <c r="F11" s="11" t="s">
        <v>244</v>
      </c>
      <c r="G11" s="170" t="s">
        <v>306</v>
      </c>
      <c r="H11" s="11"/>
    </row>
    <row r="12" customHeight="1" spans="1:8">
      <c r="A12" s="10">
        <f t="shared" ref="A12:A34" si="0">ROW(A12)-10</f>
        <v>2</v>
      </c>
      <c r="B12" s="18"/>
      <c r="C12" s="170" t="s">
        <v>1589</v>
      </c>
      <c r="D12" s="179" t="s">
        <v>1589</v>
      </c>
      <c r="E12" s="170" t="s">
        <v>983</v>
      </c>
      <c r="F12" s="11"/>
      <c r="G12" s="170" t="s">
        <v>248</v>
      </c>
      <c r="H12" s="11"/>
    </row>
    <row r="13" customHeight="1" spans="1:8">
      <c r="A13" s="10">
        <f t="shared" si="0"/>
        <v>3</v>
      </c>
      <c r="B13" s="18" t="s">
        <v>242</v>
      </c>
      <c r="C13" s="170" t="s">
        <v>1590</v>
      </c>
      <c r="D13" s="179" t="s">
        <v>1590</v>
      </c>
      <c r="E13" s="170" t="s">
        <v>365</v>
      </c>
      <c r="F13" s="172"/>
      <c r="G13" s="170" t="s">
        <v>306</v>
      </c>
      <c r="H13" s="11"/>
    </row>
    <row r="14" customHeight="1" spans="1:12">
      <c r="A14" s="10">
        <f t="shared" si="0"/>
        <v>4</v>
      </c>
      <c r="B14" s="18" t="s">
        <v>242</v>
      </c>
      <c r="C14" s="170" t="s">
        <v>1448</v>
      </c>
      <c r="D14" s="179" t="s">
        <v>1591</v>
      </c>
      <c r="E14" s="170" t="s">
        <v>256</v>
      </c>
      <c r="F14" s="172"/>
      <c r="G14" s="170" t="s">
        <v>248</v>
      </c>
      <c r="H14" s="11"/>
      <c r="I14" s="23" t="s">
        <v>258</v>
      </c>
      <c r="J14" s="23" t="s">
        <v>243</v>
      </c>
      <c r="L14" s="40" t="s">
        <v>365</v>
      </c>
    </row>
    <row r="15" customHeight="1" spans="1:12">
      <c r="A15" s="10">
        <f t="shared" si="0"/>
        <v>5</v>
      </c>
      <c r="B15" s="18" t="s">
        <v>242</v>
      </c>
      <c r="C15" s="170" t="s">
        <v>1435</v>
      </c>
      <c r="D15" s="179" t="s">
        <v>1435</v>
      </c>
      <c r="E15" s="170" t="s">
        <v>353</v>
      </c>
      <c r="F15" s="172"/>
      <c r="G15" s="170" t="s">
        <v>248</v>
      </c>
      <c r="H15" s="11"/>
      <c r="I15" s="23" t="s">
        <v>352</v>
      </c>
      <c r="J15" s="23" t="s">
        <v>353</v>
      </c>
      <c r="L15" s="40" t="s">
        <v>365</v>
      </c>
    </row>
    <row r="16" customHeight="1" spans="1:12">
      <c r="A16" s="10">
        <f t="shared" si="0"/>
        <v>6</v>
      </c>
      <c r="B16" s="18" t="s">
        <v>242</v>
      </c>
      <c r="C16" s="102" t="s">
        <v>1601</v>
      </c>
      <c r="D16" s="113" t="s">
        <v>1602</v>
      </c>
      <c r="E16" s="102" t="s">
        <v>1603</v>
      </c>
      <c r="F16" s="97" t="s">
        <v>1604</v>
      </c>
      <c r="G16" s="102" t="s">
        <v>263</v>
      </c>
      <c r="H16" s="97" t="s">
        <v>1605</v>
      </c>
      <c r="I16" s="23" t="s">
        <v>264</v>
      </c>
      <c r="J16" s="23" t="s">
        <v>265</v>
      </c>
      <c r="K16" s="201" t="s">
        <v>1603</v>
      </c>
      <c r="L16" s="40" t="s">
        <v>365</v>
      </c>
    </row>
    <row r="17" ht="51" customHeight="1" spans="1:12">
      <c r="A17" s="10">
        <f t="shared" si="0"/>
        <v>7</v>
      </c>
      <c r="B17" s="18" t="s">
        <v>242</v>
      </c>
      <c r="C17" s="102" t="s">
        <v>1609</v>
      </c>
      <c r="D17" s="113" t="s">
        <v>1602</v>
      </c>
      <c r="E17" s="102" t="s">
        <v>1611</v>
      </c>
      <c r="F17" s="97" t="s">
        <v>1654</v>
      </c>
      <c r="G17" s="102" t="s">
        <v>263</v>
      </c>
      <c r="H17" s="97" t="s">
        <v>1613</v>
      </c>
      <c r="I17" s="23" t="s">
        <v>264</v>
      </c>
      <c r="J17" s="23" t="s">
        <v>265</v>
      </c>
      <c r="K17" s="201" t="s">
        <v>1611</v>
      </c>
      <c r="L17" s="40" t="s">
        <v>365</v>
      </c>
    </row>
    <row r="18" ht="155.25" spans="1:12">
      <c r="A18" s="10">
        <f t="shared" si="0"/>
        <v>8</v>
      </c>
      <c r="B18" s="18" t="s">
        <v>242</v>
      </c>
      <c r="C18" s="102" t="s">
        <v>1614</v>
      </c>
      <c r="D18" s="113" t="s">
        <v>1615</v>
      </c>
      <c r="E18" s="102" t="s">
        <v>1616</v>
      </c>
      <c r="F18" s="97" t="s">
        <v>1617</v>
      </c>
      <c r="G18" s="102" t="s">
        <v>263</v>
      </c>
      <c r="H18" s="97" t="s">
        <v>1618</v>
      </c>
      <c r="I18" s="23" t="s">
        <v>264</v>
      </c>
      <c r="J18" s="23" t="s">
        <v>265</v>
      </c>
      <c r="K18" s="201" t="s">
        <v>1616</v>
      </c>
      <c r="L18" s="40" t="s">
        <v>365</v>
      </c>
    </row>
    <row r="19" customHeight="1" spans="1:12">
      <c r="A19" s="10">
        <f t="shared" si="0"/>
        <v>9</v>
      </c>
      <c r="B19" s="18" t="s">
        <v>242</v>
      </c>
      <c r="C19" s="102" t="s">
        <v>1619</v>
      </c>
      <c r="D19" s="113" t="s">
        <v>1620</v>
      </c>
      <c r="E19" s="102" t="s">
        <v>1621</v>
      </c>
      <c r="F19" s="210" t="s">
        <v>1622</v>
      </c>
      <c r="G19" s="102" t="s">
        <v>263</v>
      </c>
      <c r="H19" s="97" t="s">
        <v>1655</v>
      </c>
      <c r="I19" s="23" t="s">
        <v>264</v>
      </c>
      <c r="J19" s="23" t="s">
        <v>265</v>
      </c>
      <c r="K19" s="201" t="s">
        <v>1621</v>
      </c>
      <c r="L19" s="40" t="s">
        <v>365</v>
      </c>
    </row>
    <row r="20" customHeight="1" spans="1:8">
      <c r="A20" s="10">
        <f t="shared" si="0"/>
        <v>10</v>
      </c>
      <c r="B20" s="18" t="s">
        <v>242</v>
      </c>
      <c r="C20" s="102" t="s">
        <v>1624</v>
      </c>
      <c r="D20" s="113" t="s">
        <v>1624</v>
      </c>
      <c r="E20" s="102" t="s">
        <v>1625</v>
      </c>
      <c r="F20" s="10" t="s">
        <v>1347</v>
      </c>
      <c r="G20" s="102" t="s">
        <v>282</v>
      </c>
      <c r="H20" s="10"/>
    </row>
    <row r="21" customHeight="1" spans="1:8">
      <c r="A21" s="10">
        <f t="shared" si="0"/>
        <v>11</v>
      </c>
      <c r="B21" s="18" t="s">
        <v>242</v>
      </c>
      <c r="C21" s="102" t="s">
        <v>1626</v>
      </c>
      <c r="D21" s="113" t="s">
        <v>1626</v>
      </c>
      <c r="E21" s="102" t="s">
        <v>286</v>
      </c>
      <c r="F21" s="10" t="s">
        <v>1347</v>
      </c>
      <c r="G21" s="102" t="s">
        <v>282</v>
      </c>
      <c r="H21" s="10"/>
    </row>
    <row r="22" customHeight="1" spans="1:8">
      <c r="A22" s="10">
        <f t="shared" si="0"/>
        <v>12</v>
      </c>
      <c r="B22" s="18"/>
      <c r="C22" s="102" t="s">
        <v>1629</v>
      </c>
      <c r="D22" s="113" t="s">
        <v>1629</v>
      </c>
      <c r="E22" s="102" t="s">
        <v>288</v>
      </c>
      <c r="F22" s="10" t="s">
        <v>1347</v>
      </c>
      <c r="G22" s="102" t="s">
        <v>282</v>
      </c>
      <c r="H22" s="10"/>
    </row>
    <row r="23" customHeight="1" spans="1:8">
      <c r="A23" s="10">
        <f t="shared" si="0"/>
        <v>13</v>
      </c>
      <c r="B23" s="18"/>
      <c r="C23" s="170" t="s">
        <v>1630</v>
      </c>
      <c r="D23" s="179" t="s">
        <v>1630</v>
      </c>
      <c r="E23" s="170" t="s">
        <v>1631</v>
      </c>
      <c r="F23" s="11"/>
      <c r="G23" s="170" t="s">
        <v>248</v>
      </c>
      <c r="H23" s="11"/>
    </row>
    <row r="24" customHeight="1" spans="1:8">
      <c r="A24" s="10">
        <f t="shared" si="0"/>
        <v>14</v>
      </c>
      <c r="B24" s="18" t="s">
        <v>242</v>
      </c>
      <c r="C24" s="102" t="s">
        <v>1632</v>
      </c>
      <c r="D24" s="113" t="s">
        <v>1632</v>
      </c>
      <c r="E24" s="102" t="s">
        <v>1633</v>
      </c>
      <c r="F24" s="10"/>
      <c r="G24" s="102" t="s">
        <v>869</v>
      </c>
      <c r="H24" s="10"/>
    </row>
    <row r="25" customHeight="1" spans="1:8">
      <c r="A25" s="10">
        <f t="shared" si="0"/>
        <v>15</v>
      </c>
      <c r="B25" s="18" t="s">
        <v>242</v>
      </c>
      <c r="C25" s="102" t="s">
        <v>1634</v>
      </c>
      <c r="D25" s="113" t="s">
        <v>1634</v>
      </c>
      <c r="E25" s="102" t="s">
        <v>1635</v>
      </c>
      <c r="F25" s="10"/>
      <c r="G25" s="102" t="s">
        <v>958</v>
      </c>
      <c r="H25" s="10"/>
    </row>
    <row r="26" customHeight="1" spans="1:8">
      <c r="A26" s="10">
        <f t="shared" si="0"/>
        <v>16</v>
      </c>
      <c r="B26" s="18" t="s">
        <v>242</v>
      </c>
      <c r="C26" s="102" t="s">
        <v>1656</v>
      </c>
      <c r="D26" s="113" t="s">
        <v>1656</v>
      </c>
      <c r="E26" s="102" t="s">
        <v>1657</v>
      </c>
      <c r="F26" s="10"/>
      <c r="G26" s="102" t="s">
        <v>306</v>
      </c>
      <c r="H26" s="10"/>
    </row>
    <row r="27" customHeight="1" spans="1:8">
      <c r="A27" s="10">
        <f t="shared" si="0"/>
        <v>17</v>
      </c>
      <c r="B27" s="18" t="s">
        <v>242</v>
      </c>
      <c r="C27" s="102" t="s">
        <v>1658</v>
      </c>
      <c r="D27" s="113" t="s">
        <v>1658</v>
      </c>
      <c r="E27" s="102" t="s">
        <v>1659</v>
      </c>
      <c r="F27" s="10"/>
      <c r="G27" s="102" t="s">
        <v>248</v>
      </c>
      <c r="H27" s="10"/>
    </row>
    <row r="28" customHeight="1" spans="1:8">
      <c r="A28" s="10">
        <f t="shared" si="0"/>
        <v>18</v>
      </c>
      <c r="B28" s="18"/>
      <c r="C28" s="102" t="s">
        <v>1549</v>
      </c>
      <c r="D28" s="113" t="s">
        <v>1549</v>
      </c>
      <c r="E28" s="102" t="s">
        <v>736</v>
      </c>
      <c r="F28" s="10"/>
      <c r="G28" s="102" t="s">
        <v>273</v>
      </c>
      <c r="H28" s="10"/>
    </row>
    <row r="29" customHeight="1" spans="1:8">
      <c r="A29" s="10">
        <f t="shared" si="0"/>
        <v>19</v>
      </c>
      <c r="B29" s="18"/>
      <c r="C29" s="102" t="s">
        <v>1636</v>
      </c>
      <c r="D29" s="113" t="s">
        <v>1636</v>
      </c>
      <c r="E29" s="102" t="s">
        <v>296</v>
      </c>
      <c r="F29" s="10"/>
      <c r="G29" s="102" t="s">
        <v>273</v>
      </c>
      <c r="H29" s="10"/>
    </row>
    <row r="30" customHeight="1" spans="1:8">
      <c r="A30" s="10">
        <f t="shared" si="0"/>
        <v>20</v>
      </c>
      <c r="B30" s="18"/>
      <c r="C30" s="102" t="s">
        <v>1637</v>
      </c>
      <c r="D30" s="113" t="s">
        <v>1637</v>
      </c>
      <c r="E30" s="102" t="s">
        <v>1638</v>
      </c>
      <c r="F30" s="10"/>
      <c r="G30" s="102" t="s">
        <v>273</v>
      </c>
      <c r="H30" s="10"/>
    </row>
    <row r="31" customHeight="1" spans="1:8">
      <c r="A31" s="10">
        <f t="shared" si="0"/>
        <v>21</v>
      </c>
      <c r="B31" s="18"/>
      <c r="C31" s="102" t="s">
        <v>1639</v>
      </c>
      <c r="D31" s="113" t="s">
        <v>1639</v>
      </c>
      <c r="E31" s="102" t="s">
        <v>1640</v>
      </c>
      <c r="F31" s="10"/>
      <c r="G31" s="102" t="s">
        <v>273</v>
      </c>
      <c r="H31" s="10"/>
    </row>
    <row r="32" customHeight="1" spans="1:8">
      <c r="A32" s="10">
        <f t="shared" si="0"/>
        <v>22</v>
      </c>
      <c r="B32" s="18"/>
      <c r="C32" s="102" t="s">
        <v>1660</v>
      </c>
      <c r="D32" s="113" t="s">
        <v>1641</v>
      </c>
      <c r="E32" s="102" t="s">
        <v>1642</v>
      </c>
      <c r="F32" s="10"/>
      <c r="G32" s="102" t="s">
        <v>273</v>
      </c>
      <c r="H32" s="10"/>
    </row>
    <row r="33" customHeight="1" spans="1:8">
      <c r="A33" s="10">
        <f t="shared" si="0"/>
        <v>23</v>
      </c>
      <c r="B33" s="10"/>
      <c r="C33" s="10" t="s">
        <v>237</v>
      </c>
      <c r="D33" s="10" t="s">
        <v>237</v>
      </c>
      <c r="E33" s="10" t="s">
        <v>1643</v>
      </c>
      <c r="F33" s="10"/>
      <c r="G33" s="10" t="s">
        <v>1644</v>
      </c>
      <c r="H33" s="10"/>
    </row>
    <row r="34" customHeight="1" spans="1:8">
      <c r="A34" s="10">
        <f t="shared" si="0"/>
        <v>24</v>
      </c>
      <c r="B34" s="10"/>
      <c r="C34" s="10" t="s">
        <v>1645</v>
      </c>
      <c r="D34" s="10" t="s">
        <v>1645</v>
      </c>
      <c r="E34" s="10" t="s">
        <v>1646</v>
      </c>
      <c r="F34" s="10"/>
      <c r="G34" s="10" t="s">
        <v>1647</v>
      </c>
      <c r="H34"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9"/>
  <sheetViews>
    <sheetView zoomScale="85" zoomScaleNormal="85" topLeftCell="A5" workbookViewId="0">
      <selection activeCell="K13" sqref="K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6.025" style="23" customWidth="1"/>
    <col min="7" max="7" width="21.1666666666667" style="23" customWidth="1"/>
    <col min="8" max="8" width="22.6416666666667" style="23" customWidth="1"/>
    <col min="9" max="9" width="18" style="23" customWidth="1"/>
    <col min="10" max="10" width="12.9333333333333" style="23" customWidth="1"/>
    <col min="11" max="11" width="23.3333333333333" style="23" customWidth="1"/>
    <col min="12" max="16384" width="10.8333333333333" style="23"/>
  </cols>
  <sheetData>
    <row r="1" customHeight="1" spans="1:8">
      <c r="A1" s="1" t="s">
        <v>223</v>
      </c>
      <c r="B1" s="2" t="s">
        <v>1661</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1662</v>
      </c>
      <c r="F4" s="11"/>
      <c r="G4" s="11"/>
      <c r="H4" s="11"/>
    </row>
    <row r="5" customHeight="1" spans="1:8">
      <c r="A5" s="10">
        <v>2</v>
      </c>
      <c r="B5" s="10" t="s">
        <v>228</v>
      </c>
      <c r="C5" s="10"/>
      <c r="D5" s="10"/>
      <c r="E5" s="11" t="s">
        <v>1661</v>
      </c>
      <c r="F5" s="11"/>
      <c r="G5" s="11"/>
      <c r="H5" s="11"/>
    </row>
    <row r="6" customHeight="1" spans="1:8">
      <c r="A6" s="10">
        <v>3</v>
      </c>
      <c r="B6" s="10" t="s">
        <v>229</v>
      </c>
      <c r="C6" s="10"/>
      <c r="D6" s="10"/>
      <c r="E6" s="11"/>
      <c r="F6" s="11"/>
      <c r="G6" s="11"/>
      <c r="H6" s="11"/>
    </row>
    <row r="7" customHeight="1" spans="1:8">
      <c r="A7" s="10">
        <v>4</v>
      </c>
      <c r="B7" s="10" t="s">
        <v>231</v>
      </c>
      <c r="C7" s="10"/>
      <c r="D7" s="10"/>
      <c r="E7" s="11"/>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3" si="0">ROW(A11)-10</f>
        <v>1</v>
      </c>
      <c r="B11" s="18" t="s">
        <v>242</v>
      </c>
      <c r="C11" s="170" t="s">
        <v>243</v>
      </c>
      <c r="D11" s="179" t="s">
        <v>243</v>
      </c>
      <c r="E11" s="170" t="s">
        <v>243</v>
      </c>
      <c r="F11" s="11" t="s">
        <v>244</v>
      </c>
      <c r="G11" s="170" t="s">
        <v>306</v>
      </c>
      <c r="H11" s="11"/>
    </row>
    <row r="12" customHeight="1" spans="1:11">
      <c r="A12" s="10">
        <f t="shared" si="0"/>
        <v>2</v>
      </c>
      <c r="B12" s="18" t="s">
        <v>242</v>
      </c>
      <c r="C12" s="170" t="s">
        <v>1663</v>
      </c>
      <c r="D12" s="207" t="s">
        <v>1664</v>
      </c>
      <c r="E12" s="207" t="s">
        <v>1665</v>
      </c>
      <c r="F12" s="208"/>
      <c r="G12" s="207" t="s">
        <v>306</v>
      </c>
      <c r="H12" s="208"/>
      <c r="I12" s="209"/>
      <c r="J12" s="209"/>
      <c r="K12" s="209"/>
    </row>
    <row r="13" customHeight="1" spans="1:12">
      <c r="A13" s="10">
        <f t="shared" si="0"/>
        <v>3</v>
      </c>
      <c r="B13" s="18" t="s">
        <v>242</v>
      </c>
      <c r="C13" s="170" t="s">
        <v>1558</v>
      </c>
      <c r="D13" s="179" t="s">
        <v>621</v>
      </c>
      <c r="E13" s="170" t="s">
        <v>1443</v>
      </c>
      <c r="F13" s="172" t="s">
        <v>1559</v>
      </c>
      <c r="G13" s="170" t="s">
        <v>263</v>
      </c>
      <c r="H13" s="97" t="s">
        <v>1560</v>
      </c>
      <c r="I13" s="23" t="s">
        <v>264</v>
      </c>
      <c r="J13" s="23" t="s">
        <v>265</v>
      </c>
      <c r="K13" s="201" t="s">
        <v>1443</v>
      </c>
      <c r="L13" s="40" t="s">
        <v>365</v>
      </c>
    </row>
    <row r="14" customHeight="1" spans="1:12">
      <c r="A14" s="10">
        <f t="shared" ref="A14:A19" si="1">ROW(A14)-10</f>
        <v>4</v>
      </c>
      <c r="B14" s="171" t="s">
        <v>242</v>
      </c>
      <c r="C14" s="170" t="s">
        <v>1259</v>
      </c>
      <c r="D14" s="179" t="s">
        <v>1666</v>
      </c>
      <c r="E14" s="170" t="s">
        <v>256</v>
      </c>
      <c r="F14" s="11"/>
      <c r="G14" s="170" t="s">
        <v>248</v>
      </c>
      <c r="H14" s="11"/>
      <c r="I14" s="23" t="s">
        <v>258</v>
      </c>
      <c r="J14" s="23" t="s">
        <v>243</v>
      </c>
      <c r="L14" s="40" t="s">
        <v>365</v>
      </c>
    </row>
    <row r="15" customHeight="1" spans="1:12">
      <c r="A15" s="10">
        <f t="shared" si="1"/>
        <v>5</v>
      </c>
      <c r="B15" s="18"/>
      <c r="C15" s="170" t="s">
        <v>1441</v>
      </c>
      <c r="D15" s="179" t="s">
        <v>1441</v>
      </c>
      <c r="E15" s="170" t="s">
        <v>353</v>
      </c>
      <c r="F15" s="172" t="s">
        <v>1563</v>
      </c>
      <c r="G15" s="170" t="s">
        <v>248</v>
      </c>
      <c r="H15" s="11"/>
      <c r="I15" s="23" t="s">
        <v>352</v>
      </c>
      <c r="J15" s="23" t="s">
        <v>353</v>
      </c>
      <c r="L15" s="40" t="s">
        <v>365</v>
      </c>
    </row>
    <row r="16" customHeight="1" spans="1:8">
      <c r="A16" s="10">
        <f t="shared" si="1"/>
        <v>6</v>
      </c>
      <c r="B16" s="18"/>
      <c r="C16" s="170" t="s">
        <v>1667</v>
      </c>
      <c r="D16" s="179" t="s">
        <v>1667</v>
      </c>
      <c r="E16" s="170" t="s">
        <v>365</v>
      </c>
      <c r="F16" s="172" t="s">
        <v>1565</v>
      </c>
      <c r="G16" s="170" t="s">
        <v>306</v>
      </c>
      <c r="H16" s="11"/>
    </row>
    <row r="17" customHeight="1" spans="1:12">
      <c r="A17" s="10">
        <f t="shared" si="1"/>
        <v>7</v>
      </c>
      <c r="B17" s="18"/>
      <c r="C17" s="170" t="s">
        <v>1668</v>
      </c>
      <c r="D17" s="179" t="s">
        <v>1668</v>
      </c>
      <c r="E17" s="170" t="s">
        <v>247</v>
      </c>
      <c r="F17" s="11" t="s">
        <v>1567</v>
      </c>
      <c r="G17" s="170" t="s">
        <v>248</v>
      </c>
      <c r="H17" s="11"/>
      <c r="I17" s="23" t="s">
        <v>249</v>
      </c>
      <c r="J17" s="23" t="s">
        <v>247</v>
      </c>
      <c r="L17" s="40" t="s">
        <v>365</v>
      </c>
    </row>
    <row r="18" customHeight="1" spans="1:8">
      <c r="A18" s="10">
        <f t="shared" si="1"/>
        <v>8</v>
      </c>
      <c r="B18" s="18" t="s">
        <v>242</v>
      </c>
      <c r="C18" s="102" t="s">
        <v>1503</v>
      </c>
      <c r="D18" s="113" t="s">
        <v>1503</v>
      </c>
      <c r="E18" s="102" t="s">
        <v>560</v>
      </c>
      <c r="F18" s="10"/>
      <c r="G18" s="102" t="s">
        <v>421</v>
      </c>
      <c r="H18" s="10"/>
    </row>
    <row r="19" customHeight="1" spans="1:8">
      <c r="A19" s="10">
        <f t="shared" si="1"/>
        <v>9</v>
      </c>
      <c r="B19" s="18"/>
      <c r="C19" s="102" t="s">
        <v>1549</v>
      </c>
      <c r="D19" s="113" t="s">
        <v>1549</v>
      </c>
      <c r="E19" s="102" t="s">
        <v>736</v>
      </c>
      <c r="F19" s="10"/>
      <c r="G19" s="102" t="s">
        <v>273</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85" zoomScaleNormal="85" topLeftCell="A8" workbookViewId="0">
      <selection activeCell="G21" sqref="G2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7.2" style="23" customWidth="1"/>
    <col min="7" max="7" width="21.1666666666667" style="23" customWidth="1"/>
    <col min="8" max="8" width="17.6416666666667" style="23" customWidth="1"/>
    <col min="9" max="9" width="16.6666666666667" style="23" customWidth="1"/>
    <col min="10" max="10" width="10.8333333333333" style="23"/>
    <col min="11" max="11" width="22.8333333333333" style="23" customWidth="1"/>
    <col min="12" max="16384" width="10.8333333333333" style="23"/>
  </cols>
  <sheetData>
    <row r="1" customHeight="1" spans="1:8">
      <c r="A1" s="1" t="s">
        <v>223</v>
      </c>
      <c r="B1" s="2" t="s">
        <v>1669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1670</v>
      </c>
      <c r="F4" s="11"/>
      <c r="G4" s="11"/>
      <c r="H4" s="11"/>
    </row>
    <row r="5" customHeight="1" spans="1:8">
      <c r="A5" s="10">
        <v>2</v>
      </c>
      <c r="B5" s="10" t="s">
        <v>228</v>
      </c>
      <c r="C5" s="10"/>
      <c r="D5" s="10"/>
      <c r="E5" s="11" t="s">
        <v>1669</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322</v>
      </c>
      <c r="H11" s="11"/>
    </row>
    <row r="12" customHeight="1" spans="1:8">
      <c r="A12" s="10">
        <v>2</v>
      </c>
      <c r="B12" s="18" t="s">
        <v>242</v>
      </c>
      <c r="C12" s="170" t="s">
        <v>1671</v>
      </c>
      <c r="D12" s="179" t="s">
        <v>1671</v>
      </c>
      <c r="E12" s="170" t="s">
        <v>365</v>
      </c>
      <c r="F12" s="11"/>
      <c r="G12" s="170" t="s">
        <v>1352</v>
      </c>
      <c r="H12" s="11"/>
    </row>
    <row r="13" customHeight="1" spans="1:12">
      <c r="A13" s="10">
        <v>3</v>
      </c>
      <c r="B13" s="18" t="s">
        <v>242</v>
      </c>
      <c r="C13" s="170" t="s">
        <v>1448</v>
      </c>
      <c r="D13" s="179" t="s">
        <v>1672</v>
      </c>
      <c r="E13" s="170" t="s">
        <v>256</v>
      </c>
      <c r="F13" s="172"/>
      <c r="G13" s="170" t="s">
        <v>248</v>
      </c>
      <c r="H13" s="11"/>
      <c r="I13" s="23" t="s">
        <v>258</v>
      </c>
      <c r="J13" s="23" t="s">
        <v>243</v>
      </c>
      <c r="L13" s="40" t="s">
        <v>365</v>
      </c>
    </row>
    <row r="14" customHeight="1" spans="1:8">
      <c r="A14" s="10">
        <v>4</v>
      </c>
      <c r="B14" s="18" t="s">
        <v>242</v>
      </c>
      <c r="C14" s="170" t="s">
        <v>1673</v>
      </c>
      <c r="D14" s="179" t="s">
        <v>1673</v>
      </c>
      <c r="E14" s="170" t="s">
        <v>1674</v>
      </c>
      <c r="F14" s="172"/>
      <c r="G14" s="170" t="s">
        <v>320</v>
      </c>
      <c r="H14" s="11"/>
    </row>
    <row r="15" customHeight="1" spans="1:8">
      <c r="A15" s="10">
        <v>5</v>
      </c>
      <c r="B15" s="18" t="s">
        <v>242</v>
      </c>
      <c r="C15" s="170" t="s">
        <v>1124</v>
      </c>
      <c r="D15" s="179" t="s">
        <v>1124</v>
      </c>
      <c r="E15" s="170" t="s">
        <v>299</v>
      </c>
      <c r="F15" s="172" t="s">
        <v>1347</v>
      </c>
      <c r="G15" s="170" t="s">
        <v>282</v>
      </c>
      <c r="H15" s="11"/>
    </row>
    <row r="16" ht="138" spans="1:12">
      <c r="A16" s="10">
        <v>6</v>
      </c>
      <c r="B16" s="18" t="s">
        <v>242</v>
      </c>
      <c r="C16" s="170" t="s">
        <v>1675</v>
      </c>
      <c r="D16" s="179" t="s">
        <v>1676</v>
      </c>
      <c r="E16" s="170" t="s">
        <v>1677</v>
      </c>
      <c r="F16" s="172" t="s">
        <v>1678</v>
      </c>
      <c r="G16" s="170" t="s">
        <v>263</v>
      </c>
      <c r="H16" s="97" t="s">
        <v>1679</v>
      </c>
      <c r="I16" s="23" t="s">
        <v>264</v>
      </c>
      <c r="J16" s="23" t="s">
        <v>265</v>
      </c>
      <c r="K16" s="23" t="s">
        <v>1677</v>
      </c>
      <c r="L16" s="40" t="s">
        <v>365</v>
      </c>
    </row>
    <row r="17" customHeight="1" spans="1:8">
      <c r="A17" s="10">
        <v>7</v>
      </c>
      <c r="B17" s="18" t="s">
        <v>242</v>
      </c>
      <c r="C17" s="170" t="s">
        <v>1538</v>
      </c>
      <c r="D17" s="179" t="s">
        <v>1538</v>
      </c>
      <c r="E17" s="170" t="s">
        <v>1539</v>
      </c>
      <c r="F17" s="10"/>
      <c r="G17" s="170" t="s">
        <v>1540</v>
      </c>
      <c r="H17" s="10"/>
    </row>
    <row r="18" customHeight="1" spans="1:8">
      <c r="A18" s="10">
        <v>8</v>
      </c>
      <c r="B18" s="18" t="s">
        <v>242</v>
      </c>
      <c r="C18" s="102" t="s">
        <v>1545</v>
      </c>
      <c r="D18" s="113" t="s">
        <v>1545</v>
      </c>
      <c r="E18" s="102" t="s">
        <v>1546</v>
      </c>
      <c r="F18" s="10"/>
      <c r="G18" s="102" t="s">
        <v>248</v>
      </c>
      <c r="H18" s="10"/>
    </row>
    <row r="19" customHeight="1" spans="1:12">
      <c r="A19" s="10">
        <v>9</v>
      </c>
      <c r="B19" s="18" t="s">
        <v>242</v>
      </c>
      <c r="C19" s="102" t="s">
        <v>1680</v>
      </c>
      <c r="D19" s="113" t="s">
        <v>1680</v>
      </c>
      <c r="E19" s="102" t="s">
        <v>1681</v>
      </c>
      <c r="F19" s="10" t="s">
        <v>1682</v>
      </c>
      <c r="G19" s="102" t="s">
        <v>248</v>
      </c>
      <c r="H19" s="10"/>
      <c r="I19" s="23" t="s">
        <v>264</v>
      </c>
      <c r="J19" s="23" t="s">
        <v>265</v>
      </c>
      <c r="K19" s="23" t="s">
        <v>1681</v>
      </c>
      <c r="L19" s="40" t="s">
        <v>365</v>
      </c>
    </row>
    <row r="20" customHeight="1" spans="1:8">
      <c r="A20" s="10">
        <v>10</v>
      </c>
      <c r="B20" s="18"/>
      <c r="C20" s="102" t="s">
        <v>1549</v>
      </c>
      <c r="D20" s="113" t="s">
        <v>1549</v>
      </c>
      <c r="E20" s="102" t="s">
        <v>736</v>
      </c>
      <c r="F20" s="10"/>
      <c r="G20" s="102" t="s">
        <v>273</v>
      </c>
      <c r="H20" s="10"/>
    </row>
    <row r="21" customHeight="1" spans="1:8">
      <c r="A21" s="10">
        <v>11</v>
      </c>
      <c r="B21" s="10"/>
      <c r="C21" s="10" t="s">
        <v>1645</v>
      </c>
      <c r="D21" s="10" t="s">
        <v>1645</v>
      </c>
      <c r="E21" s="10" t="s">
        <v>1646</v>
      </c>
      <c r="F21" s="10"/>
      <c r="G21" s="10" t="s">
        <v>1647</v>
      </c>
      <c r="H21"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zoomScale="85" zoomScaleNormal="85" topLeftCell="A4" workbookViewId="0">
      <selection activeCell="A9" sqref="A9:H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1.9083333333333" style="23" customWidth="1"/>
    <col min="7" max="7" width="21.1666666666667" style="23" customWidth="1"/>
    <col min="8" max="8" width="15" style="23" customWidth="1"/>
    <col min="9" max="9" width="18" style="23" customWidth="1"/>
    <col min="10" max="10" width="10.8333333333333" style="23"/>
    <col min="11" max="11" width="23.3333333333333" style="23" customWidth="1"/>
    <col min="12" max="16384" width="10.8333333333333" style="23"/>
  </cols>
  <sheetData>
    <row r="1" customHeight="1" spans="1:8">
      <c r="A1" s="1" t="s">
        <v>223</v>
      </c>
      <c r="B1" s="2" t="s">
        <v>1683</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1684</v>
      </c>
      <c r="F4" s="11"/>
      <c r="G4" s="11"/>
      <c r="H4" s="11"/>
    </row>
    <row r="5" customHeight="1" spans="1:8">
      <c r="A5" s="10">
        <v>2</v>
      </c>
      <c r="B5" s="10" t="s">
        <v>228</v>
      </c>
      <c r="C5" s="10"/>
      <c r="D5" s="10"/>
      <c r="E5" s="11" t="s">
        <v>1683</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3" si="0">ROW(A11)-10</f>
        <v>1</v>
      </c>
      <c r="B11" s="18" t="s">
        <v>242</v>
      </c>
      <c r="C11" s="170" t="s">
        <v>243</v>
      </c>
      <c r="D11" s="179" t="s">
        <v>243</v>
      </c>
      <c r="E11" s="170" t="s">
        <v>243</v>
      </c>
      <c r="F11" s="11" t="s">
        <v>244</v>
      </c>
      <c r="G11" s="170" t="s">
        <v>248</v>
      </c>
      <c r="H11" s="11"/>
    </row>
    <row r="12" customHeight="1" spans="1:12">
      <c r="A12" s="10">
        <f t="shared" si="0"/>
        <v>2</v>
      </c>
      <c r="B12" s="18" t="s">
        <v>242</v>
      </c>
      <c r="C12" s="170" t="s">
        <v>1685</v>
      </c>
      <c r="D12" s="179" t="s">
        <v>1686</v>
      </c>
      <c r="E12" s="170" t="s">
        <v>1687</v>
      </c>
      <c r="F12" s="11"/>
      <c r="G12" s="170" t="s">
        <v>322</v>
      </c>
      <c r="H12" s="11"/>
      <c r="I12" s="23" t="s">
        <v>1670</v>
      </c>
      <c r="J12" s="23" t="s">
        <v>243</v>
      </c>
      <c r="L12" s="40" t="s">
        <v>365</v>
      </c>
    </row>
    <row r="13" customHeight="1" spans="1:12">
      <c r="A13" s="10">
        <f t="shared" si="0"/>
        <v>3</v>
      </c>
      <c r="B13" s="18" t="s">
        <v>242</v>
      </c>
      <c r="C13" s="170" t="s">
        <v>1688</v>
      </c>
      <c r="D13" s="179" t="s">
        <v>1689</v>
      </c>
      <c r="E13" s="170" t="s">
        <v>1443</v>
      </c>
      <c r="F13" s="172" t="s">
        <v>1559</v>
      </c>
      <c r="G13" s="170" t="s">
        <v>263</v>
      </c>
      <c r="H13" s="97" t="s">
        <v>1560</v>
      </c>
      <c r="I13" s="23" t="s">
        <v>264</v>
      </c>
      <c r="J13" s="23" t="s">
        <v>265</v>
      </c>
      <c r="K13" s="23" t="s">
        <v>1443</v>
      </c>
      <c r="L13" s="40" t="s">
        <v>365</v>
      </c>
    </row>
    <row r="14" customHeight="1" spans="1:12">
      <c r="A14" s="10">
        <f t="shared" ref="A14:A20" si="1">ROW(A14)-10</f>
        <v>4</v>
      </c>
      <c r="B14" s="171" t="s">
        <v>242</v>
      </c>
      <c r="C14" s="170" t="s">
        <v>1259</v>
      </c>
      <c r="D14" s="179" t="s">
        <v>1690</v>
      </c>
      <c r="E14" s="170" t="s">
        <v>256</v>
      </c>
      <c r="F14" s="11"/>
      <c r="G14" s="170" t="s">
        <v>248</v>
      </c>
      <c r="H14" s="11"/>
      <c r="I14" s="23" t="s">
        <v>258</v>
      </c>
      <c r="J14" s="23" t="s">
        <v>243</v>
      </c>
      <c r="L14" s="40" t="s">
        <v>365</v>
      </c>
    </row>
    <row r="15" customHeight="1" spans="1:12">
      <c r="A15" s="10">
        <f t="shared" si="1"/>
        <v>5</v>
      </c>
      <c r="B15" s="18"/>
      <c r="C15" s="170" t="s">
        <v>1562</v>
      </c>
      <c r="D15" s="179" t="s">
        <v>1691</v>
      </c>
      <c r="E15" s="170" t="s">
        <v>353</v>
      </c>
      <c r="F15" s="172" t="s">
        <v>1563</v>
      </c>
      <c r="G15" s="170" t="s">
        <v>248</v>
      </c>
      <c r="H15" s="11"/>
      <c r="I15" s="23" t="s">
        <v>352</v>
      </c>
      <c r="J15" s="23" t="s">
        <v>353</v>
      </c>
      <c r="L15" s="40" t="s">
        <v>365</v>
      </c>
    </row>
    <row r="16" customHeight="1" spans="1:8">
      <c r="A16" s="10">
        <f t="shared" si="1"/>
        <v>6</v>
      </c>
      <c r="B16" s="18"/>
      <c r="C16" s="170" t="s">
        <v>1564</v>
      </c>
      <c r="D16" s="179" t="s">
        <v>1564</v>
      </c>
      <c r="E16" s="170" t="s">
        <v>365</v>
      </c>
      <c r="F16" s="172" t="s">
        <v>1565</v>
      </c>
      <c r="G16" s="170" t="s">
        <v>248</v>
      </c>
      <c r="H16" s="11"/>
    </row>
    <row r="17" customHeight="1" spans="1:12">
      <c r="A17" s="10">
        <f t="shared" si="1"/>
        <v>7</v>
      </c>
      <c r="B17" s="18"/>
      <c r="C17" s="102" t="s">
        <v>1566</v>
      </c>
      <c r="D17" s="113" t="s">
        <v>1692</v>
      </c>
      <c r="E17" s="102" t="s">
        <v>247</v>
      </c>
      <c r="F17" s="11" t="s">
        <v>1567</v>
      </c>
      <c r="G17" s="102" t="s">
        <v>248</v>
      </c>
      <c r="H17" s="11"/>
      <c r="I17" s="23" t="s">
        <v>249</v>
      </c>
      <c r="J17" s="23" t="s">
        <v>247</v>
      </c>
      <c r="L17" s="40" t="s">
        <v>365</v>
      </c>
    </row>
    <row r="18" customHeight="1" spans="1:8">
      <c r="A18" s="10">
        <f t="shared" si="1"/>
        <v>8</v>
      </c>
      <c r="B18" s="18" t="s">
        <v>242</v>
      </c>
      <c r="C18" s="102" t="s">
        <v>593</v>
      </c>
      <c r="D18" s="113" t="s">
        <v>593</v>
      </c>
      <c r="E18" s="102" t="s">
        <v>560</v>
      </c>
      <c r="F18" s="11"/>
      <c r="G18" s="102" t="s">
        <v>421</v>
      </c>
      <c r="H18" s="10"/>
    </row>
    <row r="19" customHeight="1" spans="1:8">
      <c r="A19" s="10">
        <f t="shared" si="1"/>
        <v>9</v>
      </c>
      <c r="B19" s="18"/>
      <c r="C19" s="102" t="s">
        <v>1549</v>
      </c>
      <c r="D19" s="113" t="s">
        <v>1549</v>
      </c>
      <c r="E19" s="102" t="s">
        <v>736</v>
      </c>
      <c r="F19" s="11"/>
      <c r="G19" s="102" t="s">
        <v>273</v>
      </c>
      <c r="H19" s="10"/>
    </row>
    <row r="20" customHeight="1" spans="1:12">
      <c r="A20" s="10">
        <f t="shared" si="1"/>
        <v>10</v>
      </c>
      <c r="B20" s="18"/>
      <c r="C20" s="102" t="s">
        <v>1693</v>
      </c>
      <c r="D20" s="113" t="s">
        <v>1694</v>
      </c>
      <c r="E20" s="102" t="s">
        <v>1695</v>
      </c>
      <c r="F20" s="11" t="s">
        <v>1696</v>
      </c>
      <c r="G20" s="102" t="s">
        <v>248</v>
      </c>
      <c r="H20" s="10"/>
      <c r="I20" s="23" t="s">
        <v>264</v>
      </c>
      <c r="J20" s="23" t="s">
        <v>265</v>
      </c>
      <c r="K20" s="23" t="s">
        <v>1695</v>
      </c>
      <c r="L20" s="4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zoomScale="85" zoomScaleNormal="85" topLeftCell="A8" workbookViewId="0">
      <selection activeCell="F12" sqref="F1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1.4666666666667" style="23" customWidth="1"/>
    <col min="7" max="7" width="21.1666666666667" style="23" customWidth="1"/>
    <col min="8" max="8" width="15.7333333333333" style="23" customWidth="1"/>
    <col min="9" max="9" width="17.3333333333333" style="23" customWidth="1"/>
    <col min="10" max="10" width="10.8333333333333" style="23"/>
    <col min="11" max="11" width="21.8333333333333" style="23" customWidth="1"/>
    <col min="12" max="16384" width="10.8333333333333" style="23"/>
  </cols>
  <sheetData>
    <row r="1" customHeight="1" spans="1:8">
      <c r="A1" s="1" t="s">
        <v>223</v>
      </c>
      <c r="B1" s="2" t="s">
        <v>1697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1698</v>
      </c>
      <c r="F4" s="11"/>
      <c r="G4" s="11"/>
      <c r="H4" s="11"/>
    </row>
    <row r="5" customHeight="1" spans="1:8">
      <c r="A5" s="10">
        <v>2</v>
      </c>
      <c r="B5" s="10" t="s">
        <v>228</v>
      </c>
      <c r="C5" s="10"/>
      <c r="D5" s="10"/>
      <c r="E5" s="11" t="s">
        <v>1697</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8">
      <c r="A12" s="10">
        <v>2</v>
      </c>
      <c r="B12" s="18" t="s">
        <v>242</v>
      </c>
      <c r="C12" s="170" t="s">
        <v>1699</v>
      </c>
      <c r="D12" s="179" t="s">
        <v>1699</v>
      </c>
      <c r="E12" s="170" t="s">
        <v>365</v>
      </c>
      <c r="F12" s="11"/>
      <c r="G12" s="170" t="s">
        <v>1352</v>
      </c>
      <c r="H12" s="11"/>
    </row>
    <row r="13" customHeight="1" spans="1:12">
      <c r="A13" s="10">
        <v>3</v>
      </c>
      <c r="B13" s="18" t="s">
        <v>242</v>
      </c>
      <c r="C13" s="170" t="s">
        <v>1448</v>
      </c>
      <c r="D13" s="179" t="s">
        <v>1700</v>
      </c>
      <c r="E13" s="170" t="s">
        <v>256</v>
      </c>
      <c r="F13" s="172"/>
      <c r="G13" s="170" t="s">
        <v>248</v>
      </c>
      <c r="H13" s="11"/>
      <c r="I13" s="23" t="s">
        <v>258</v>
      </c>
      <c r="J13" s="23" t="s">
        <v>243</v>
      </c>
      <c r="L13" s="40" t="s">
        <v>365</v>
      </c>
    </row>
    <row r="14" customHeight="1" spans="1:12">
      <c r="A14" s="10">
        <v>4</v>
      </c>
      <c r="B14" s="18" t="s">
        <v>242</v>
      </c>
      <c r="C14" s="170" t="s">
        <v>1701</v>
      </c>
      <c r="D14" s="179" t="s">
        <v>1701</v>
      </c>
      <c r="E14" s="170" t="s">
        <v>1702</v>
      </c>
      <c r="F14" s="172" t="s">
        <v>1703</v>
      </c>
      <c r="G14" s="170" t="s">
        <v>263</v>
      </c>
      <c r="H14" s="97" t="s">
        <v>1704</v>
      </c>
      <c r="I14" s="23" t="s">
        <v>264</v>
      </c>
      <c r="J14" s="206" t="s">
        <v>265</v>
      </c>
      <c r="K14" s="201" t="s">
        <v>1702</v>
      </c>
      <c r="L14" s="40" t="s">
        <v>365</v>
      </c>
    </row>
    <row r="15" customHeight="1" spans="1:12">
      <c r="A15" s="10">
        <v>5</v>
      </c>
      <c r="B15" s="18" t="s">
        <v>242</v>
      </c>
      <c r="C15" s="170" t="s">
        <v>1705</v>
      </c>
      <c r="D15" s="179" t="s">
        <v>1705</v>
      </c>
      <c r="E15" s="170" t="s">
        <v>1706</v>
      </c>
      <c r="F15" s="172" t="s">
        <v>1707</v>
      </c>
      <c r="G15" s="170" t="s">
        <v>263</v>
      </c>
      <c r="H15" s="97" t="s">
        <v>1708</v>
      </c>
      <c r="I15" s="23" t="s">
        <v>264</v>
      </c>
      <c r="J15" s="206" t="s">
        <v>265</v>
      </c>
      <c r="K15" s="201" t="s">
        <v>1706</v>
      </c>
      <c r="L15" s="40" t="s">
        <v>365</v>
      </c>
    </row>
    <row r="16" customHeight="1" spans="1:8">
      <c r="A16" s="10">
        <v>6</v>
      </c>
      <c r="B16" s="18" t="s">
        <v>242</v>
      </c>
      <c r="C16" s="102" t="s">
        <v>1709</v>
      </c>
      <c r="D16" s="113" t="s">
        <v>1709</v>
      </c>
      <c r="E16" s="102" t="s">
        <v>1710</v>
      </c>
      <c r="F16" s="10"/>
      <c r="G16" s="102" t="s">
        <v>320</v>
      </c>
      <c r="H16" s="10"/>
    </row>
    <row r="17" customHeight="1" spans="1:8">
      <c r="A17" s="10">
        <v>7</v>
      </c>
      <c r="B17" s="18" t="s">
        <v>242</v>
      </c>
      <c r="C17" s="170" t="s">
        <v>1711</v>
      </c>
      <c r="D17" s="179" t="s">
        <v>1711</v>
      </c>
      <c r="E17" s="170" t="s">
        <v>299</v>
      </c>
      <c r="F17" s="11" t="s">
        <v>1347</v>
      </c>
      <c r="G17" s="170" t="s">
        <v>282</v>
      </c>
      <c r="H17" s="11"/>
    </row>
    <row r="18" customHeight="1" spans="1:8">
      <c r="A18" s="10">
        <v>8</v>
      </c>
      <c r="B18" s="18" t="s">
        <v>242</v>
      </c>
      <c r="C18" s="170" t="s">
        <v>1712</v>
      </c>
      <c r="D18" s="179" t="s">
        <v>1712</v>
      </c>
      <c r="E18" s="170" t="s">
        <v>1713</v>
      </c>
      <c r="F18" s="10"/>
      <c r="G18" s="170" t="s">
        <v>320</v>
      </c>
      <c r="H18" s="10"/>
    </row>
    <row r="19" customHeight="1" spans="1:8">
      <c r="A19" s="10">
        <v>9</v>
      </c>
      <c r="B19" s="18" t="s">
        <v>242</v>
      </c>
      <c r="C19" s="102" t="s">
        <v>1714</v>
      </c>
      <c r="D19" s="113" t="s">
        <v>1714</v>
      </c>
      <c r="E19" s="102" t="s">
        <v>1715</v>
      </c>
      <c r="F19" s="10"/>
      <c r="G19" s="102" t="s">
        <v>248</v>
      </c>
      <c r="H19" s="10"/>
    </row>
    <row r="20" customHeight="1" spans="1:8">
      <c r="A20" s="10">
        <v>10</v>
      </c>
      <c r="B20" s="18"/>
      <c r="C20" s="102" t="s">
        <v>1716</v>
      </c>
      <c r="D20" s="113" t="s">
        <v>1716</v>
      </c>
      <c r="E20" s="102" t="s">
        <v>1717</v>
      </c>
      <c r="F20" s="10"/>
      <c r="G20" s="102" t="s">
        <v>359</v>
      </c>
      <c r="H20" s="10"/>
    </row>
    <row r="21" customHeight="1" spans="1:8">
      <c r="A21" s="10">
        <v>11</v>
      </c>
      <c r="B21" s="18"/>
      <c r="C21" s="102" t="s">
        <v>1549</v>
      </c>
      <c r="D21" s="113" t="s">
        <v>1549</v>
      </c>
      <c r="E21" s="102" t="s">
        <v>736</v>
      </c>
      <c r="F21" s="10"/>
      <c r="G21" s="102" t="s">
        <v>273</v>
      </c>
      <c r="H21" s="10"/>
    </row>
    <row r="22" customHeight="1" spans="1:8">
      <c r="A22" s="10">
        <v>12</v>
      </c>
      <c r="B22" s="10"/>
      <c r="C22" s="10" t="s">
        <v>1550</v>
      </c>
      <c r="D22" s="10" t="s">
        <v>1550</v>
      </c>
      <c r="E22" s="10" t="s">
        <v>1551</v>
      </c>
      <c r="F22" s="10"/>
      <c r="G22" s="102" t="s">
        <v>1552</v>
      </c>
      <c r="H22"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3" workbookViewId="0">
      <selection activeCell="K13" sqref="K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3.225" style="23" customWidth="1"/>
    <col min="7" max="7" width="21.1666666666667" style="23" customWidth="1"/>
    <col min="8" max="8" width="22.35" style="23" customWidth="1"/>
    <col min="9" max="9" width="18" style="23" customWidth="1"/>
    <col min="10" max="10" width="10.8333333333333" style="23"/>
    <col min="11" max="11" width="23.3333333333333" style="23" customWidth="1"/>
    <col min="12" max="16384" width="10.8333333333333" style="23"/>
  </cols>
  <sheetData>
    <row r="1" customHeight="1" spans="1:8">
      <c r="A1" s="1" t="s">
        <v>223</v>
      </c>
      <c r="B1" s="2" t="s">
        <v>1718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1719</v>
      </c>
      <c r="F4" s="11"/>
      <c r="G4" s="11"/>
      <c r="H4" s="11"/>
    </row>
    <row r="5" customHeight="1" spans="1:8">
      <c r="A5" s="10">
        <v>2</v>
      </c>
      <c r="B5" s="10" t="s">
        <v>228</v>
      </c>
      <c r="C5" s="10"/>
      <c r="D5" s="10"/>
      <c r="E5" s="11" t="s">
        <v>1718</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3" si="0">ROW(A11)-10</f>
        <v>1</v>
      </c>
      <c r="B11" s="18" t="s">
        <v>242</v>
      </c>
      <c r="C11" s="170" t="s">
        <v>243</v>
      </c>
      <c r="D11" s="179" t="s">
        <v>243</v>
      </c>
      <c r="E11" s="170" t="s">
        <v>243</v>
      </c>
      <c r="F11" s="11" t="s">
        <v>244</v>
      </c>
      <c r="G11" s="170" t="s">
        <v>248</v>
      </c>
      <c r="H11" s="11"/>
    </row>
    <row r="12" customHeight="1" spans="1:12">
      <c r="A12" s="10">
        <f t="shared" si="0"/>
        <v>2</v>
      </c>
      <c r="B12" s="18" t="s">
        <v>242</v>
      </c>
      <c r="C12" s="170" t="s">
        <v>1720</v>
      </c>
      <c r="D12" s="179" t="s">
        <v>1721</v>
      </c>
      <c r="E12" s="170" t="s">
        <v>1722</v>
      </c>
      <c r="F12" s="11"/>
      <c r="G12" s="170" t="s">
        <v>248</v>
      </c>
      <c r="H12" s="11"/>
      <c r="I12" s="23" t="s">
        <v>1698</v>
      </c>
      <c r="J12" s="23" t="s">
        <v>243</v>
      </c>
      <c r="L12" s="40" t="s">
        <v>365</v>
      </c>
    </row>
    <row r="13" customHeight="1" spans="1:12">
      <c r="A13" s="10">
        <f t="shared" si="0"/>
        <v>3</v>
      </c>
      <c r="B13" s="18" t="s">
        <v>242</v>
      </c>
      <c r="C13" s="170" t="s">
        <v>1688</v>
      </c>
      <c r="D13" s="179" t="s">
        <v>1723</v>
      </c>
      <c r="E13" s="170" t="s">
        <v>1443</v>
      </c>
      <c r="F13" s="172" t="s">
        <v>1559</v>
      </c>
      <c r="G13" s="170" t="s">
        <v>263</v>
      </c>
      <c r="H13" s="97" t="s">
        <v>1560</v>
      </c>
      <c r="I13" s="23" t="s">
        <v>264</v>
      </c>
      <c r="J13" s="23" t="s">
        <v>265</v>
      </c>
      <c r="K13" s="23" t="s">
        <v>1443</v>
      </c>
      <c r="L13" s="40" t="s">
        <v>365</v>
      </c>
    </row>
    <row r="14" customHeight="1" spans="1:12">
      <c r="A14" s="10">
        <f t="shared" ref="A14:A19" si="1">ROW(A14)-10</f>
        <v>4</v>
      </c>
      <c r="B14" s="171" t="s">
        <v>242</v>
      </c>
      <c r="C14" s="170" t="s">
        <v>1259</v>
      </c>
      <c r="D14" s="179" t="s">
        <v>1724</v>
      </c>
      <c r="E14" s="170" t="s">
        <v>256</v>
      </c>
      <c r="F14" s="11"/>
      <c r="G14" s="170" t="s">
        <v>248</v>
      </c>
      <c r="H14" s="11"/>
      <c r="I14" s="23" t="s">
        <v>258</v>
      </c>
      <c r="J14" s="23" t="s">
        <v>243</v>
      </c>
      <c r="L14" s="40" t="s">
        <v>365</v>
      </c>
    </row>
    <row r="15" customHeight="1" spans="1:12">
      <c r="A15" s="10">
        <f t="shared" si="1"/>
        <v>5</v>
      </c>
      <c r="B15" s="18"/>
      <c r="C15" s="170" t="s">
        <v>1725</v>
      </c>
      <c r="D15" s="179" t="s">
        <v>1725</v>
      </c>
      <c r="E15" s="170" t="s">
        <v>353</v>
      </c>
      <c r="F15" s="172" t="s">
        <v>1563</v>
      </c>
      <c r="G15" s="170" t="s">
        <v>248</v>
      </c>
      <c r="H15" s="11"/>
      <c r="I15" s="23" t="s">
        <v>352</v>
      </c>
      <c r="J15" s="23" t="s">
        <v>353</v>
      </c>
      <c r="L15" s="40" t="s">
        <v>365</v>
      </c>
    </row>
    <row r="16" customHeight="1" spans="1:8">
      <c r="A16" s="10">
        <f t="shared" si="1"/>
        <v>6</v>
      </c>
      <c r="B16" s="18"/>
      <c r="C16" s="170" t="s">
        <v>1726</v>
      </c>
      <c r="D16" s="179" t="s">
        <v>1726</v>
      </c>
      <c r="E16" s="170" t="s">
        <v>365</v>
      </c>
      <c r="F16" s="172" t="s">
        <v>1565</v>
      </c>
      <c r="G16" s="170" t="s">
        <v>248</v>
      </c>
      <c r="H16" s="11"/>
    </row>
    <row r="17" customHeight="1" spans="1:12">
      <c r="A17" s="10">
        <f t="shared" si="1"/>
        <v>7</v>
      </c>
      <c r="B17" s="18"/>
      <c r="C17" s="170" t="s">
        <v>1727</v>
      </c>
      <c r="D17" s="179" t="s">
        <v>1727</v>
      </c>
      <c r="E17" s="170" t="s">
        <v>247</v>
      </c>
      <c r="F17" s="11" t="s">
        <v>1567</v>
      </c>
      <c r="G17" s="170" t="s">
        <v>248</v>
      </c>
      <c r="H17" s="11"/>
      <c r="I17" s="23" t="s">
        <v>249</v>
      </c>
      <c r="J17" s="23" t="s">
        <v>247</v>
      </c>
      <c r="L17" s="40" t="s">
        <v>365</v>
      </c>
    </row>
    <row r="18" customHeight="1" spans="1:8">
      <c r="A18" s="10">
        <f t="shared" si="1"/>
        <v>8</v>
      </c>
      <c r="B18" s="18" t="s">
        <v>242</v>
      </c>
      <c r="C18" s="102" t="s">
        <v>593</v>
      </c>
      <c r="D18" s="113" t="s">
        <v>593</v>
      </c>
      <c r="E18" s="102" t="s">
        <v>560</v>
      </c>
      <c r="F18" s="10"/>
      <c r="G18" s="102" t="s">
        <v>421</v>
      </c>
      <c r="H18" s="10"/>
    </row>
    <row r="19" customHeight="1" spans="1:8">
      <c r="A19" s="10">
        <f t="shared" si="1"/>
        <v>9</v>
      </c>
      <c r="B19" s="18"/>
      <c r="C19" s="102" t="s">
        <v>1549</v>
      </c>
      <c r="D19" s="113" t="s">
        <v>1549</v>
      </c>
      <c r="E19" s="102" t="s">
        <v>736</v>
      </c>
      <c r="F19" s="10"/>
      <c r="G19" s="102" t="s">
        <v>273</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zoomScale="85" zoomScaleNormal="85" topLeftCell="A8" workbookViewId="0">
      <selection activeCell="E19" sqref="E1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5.3333333333333" style="24" customWidth="1"/>
    <col min="6" max="6" width="41.3166666666667" style="23" customWidth="1"/>
    <col min="7" max="7" width="21.1666666666667" style="23" customWidth="1"/>
    <col min="8" max="8" width="14.85" style="23" customWidth="1"/>
    <col min="9" max="9" width="18" style="23" customWidth="1"/>
    <col min="10" max="10" width="10.8333333333333" style="23"/>
    <col min="11" max="11" width="28.3333333333333" style="23" customWidth="1"/>
    <col min="12" max="16384" width="10.8333333333333" style="23"/>
  </cols>
  <sheetData>
    <row r="1" customHeight="1" spans="1:8">
      <c r="A1" s="1" t="s">
        <v>223</v>
      </c>
      <c r="B1" s="2" t="s">
        <v>1728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1729</v>
      </c>
      <c r="F4" s="11"/>
      <c r="G4" s="11"/>
      <c r="H4" s="11"/>
    </row>
    <row r="5" customHeight="1" spans="1:8">
      <c r="A5" s="10">
        <v>2</v>
      </c>
      <c r="B5" s="10" t="s">
        <v>228</v>
      </c>
      <c r="C5" s="10"/>
      <c r="D5" s="10"/>
      <c r="E5" s="11" t="s">
        <v>1728</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97" t="s">
        <v>244</v>
      </c>
      <c r="G11" s="170" t="s">
        <v>248</v>
      </c>
      <c r="H11" s="11"/>
    </row>
    <row r="12" customHeight="1" spans="1:8">
      <c r="A12" s="10">
        <v>2</v>
      </c>
      <c r="B12" s="18" t="s">
        <v>242</v>
      </c>
      <c r="C12" s="170" t="s">
        <v>1730</v>
      </c>
      <c r="D12" s="179" t="s">
        <v>1730</v>
      </c>
      <c r="E12" s="170" t="s">
        <v>365</v>
      </c>
      <c r="F12" s="97"/>
      <c r="G12" s="170" t="s">
        <v>1352</v>
      </c>
      <c r="H12" s="11"/>
    </row>
    <row r="13" customHeight="1" spans="1:12">
      <c r="A13" s="10">
        <v>3</v>
      </c>
      <c r="B13" s="18" t="s">
        <v>242</v>
      </c>
      <c r="C13" s="170" t="s">
        <v>1448</v>
      </c>
      <c r="D13" s="179" t="s">
        <v>1731</v>
      </c>
      <c r="E13" s="170" t="s">
        <v>256</v>
      </c>
      <c r="F13" s="180"/>
      <c r="G13" s="170" t="s">
        <v>248</v>
      </c>
      <c r="H13" s="11"/>
      <c r="I13" s="23" t="s">
        <v>258</v>
      </c>
      <c r="J13" s="23" t="s">
        <v>243</v>
      </c>
      <c r="L13" s="40" t="s">
        <v>365</v>
      </c>
    </row>
    <row r="14" customHeight="1" spans="1:8">
      <c r="A14" s="10">
        <v>4</v>
      </c>
      <c r="B14" s="18" t="s">
        <v>242</v>
      </c>
      <c r="C14" s="102" t="s">
        <v>1732</v>
      </c>
      <c r="D14" s="113" t="s">
        <v>1732</v>
      </c>
      <c r="E14" s="102" t="s">
        <v>1733</v>
      </c>
      <c r="F14" s="180"/>
      <c r="G14" s="102" t="s">
        <v>320</v>
      </c>
      <c r="H14" s="11"/>
    </row>
    <row r="15" customHeight="1" spans="1:12">
      <c r="A15" s="10">
        <v>5</v>
      </c>
      <c r="B15" s="18" t="s">
        <v>242</v>
      </c>
      <c r="C15" s="102" t="s">
        <v>1461</v>
      </c>
      <c r="D15" s="113" t="s">
        <v>1734</v>
      </c>
      <c r="E15" s="102" t="s">
        <v>1735</v>
      </c>
      <c r="F15" s="180" t="s">
        <v>1736</v>
      </c>
      <c r="G15" s="102" t="s">
        <v>263</v>
      </c>
      <c r="H15" s="97" t="s">
        <v>1737</v>
      </c>
      <c r="I15" s="23" t="s">
        <v>264</v>
      </c>
      <c r="J15" s="206" t="s">
        <v>265</v>
      </c>
      <c r="K15" s="201" t="s">
        <v>1735</v>
      </c>
      <c r="L15" s="40" t="s">
        <v>365</v>
      </c>
    </row>
    <row r="16" customHeight="1" spans="1:12">
      <c r="A16" s="10">
        <v>6</v>
      </c>
      <c r="B16" s="18"/>
      <c r="C16" s="102" t="s">
        <v>1738</v>
      </c>
      <c r="D16" s="113" t="s">
        <v>1739</v>
      </c>
      <c r="E16" s="102" t="s">
        <v>1740</v>
      </c>
      <c r="F16" s="180" t="s">
        <v>1301</v>
      </c>
      <c r="G16" s="102" t="s">
        <v>263</v>
      </c>
      <c r="H16" s="97" t="s">
        <v>1741</v>
      </c>
      <c r="I16" s="23" t="s">
        <v>264</v>
      </c>
      <c r="J16" s="206" t="s">
        <v>265</v>
      </c>
      <c r="K16" s="201" t="s">
        <v>1740</v>
      </c>
      <c r="L16" s="40" t="s">
        <v>365</v>
      </c>
    </row>
    <row r="17" customHeight="1" spans="1:12">
      <c r="A17" s="10">
        <v>7</v>
      </c>
      <c r="B17" s="18" t="s">
        <v>242</v>
      </c>
      <c r="C17" s="102" t="s">
        <v>1465</v>
      </c>
      <c r="D17" s="113" t="s">
        <v>1742</v>
      </c>
      <c r="E17" s="102" t="s">
        <v>1743</v>
      </c>
      <c r="F17" s="180" t="s">
        <v>1744</v>
      </c>
      <c r="G17" s="102" t="s">
        <v>263</v>
      </c>
      <c r="H17" s="97" t="s">
        <v>1737</v>
      </c>
      <c r="I17" s="23" t="s">
        <v>264</v>
      </c>
      <c r="J17" s="206" t="s">
        <v>265</v>
      </c>
      <c r="K17" s="201" t="s">
        <v>1743</v>
      </c>
      <c r="L17" s="40" t="s">
        <v>365</v>
      </c>
    </row>
    <row r="18" customHeight="1" spans="1:8">
      <c r="A18" s="10">
        <v>8</v>
      </c>
      <c r="B18" s="18" t="s">
        <v>242</v>
      </c>
      <c r="C18" s="102" t="s">
        <v>1745</v>
      </c>
      <c r="D18" s="113" t="s">
        <v>1745</v>
      </c>
      <c r="E18" s="102" t="s">
        <v>299</v>
      </c>
      <c r="F18" s="97" t="s">
        <v>1347</v>
      </c>
      <c r="G18" s="102" t="s">
        <v>282</v>
      </c>
      <c r="H18" s="11"/>
    </row>
    <row r="19" customHeight="1" spans="1:8">
      <c r="A19" s="10">
        <v>9</v>
      </c>
      <c r="B19" s="18" t="s">
        <v>242</v>
      </c>
      <c r="C19" s="102" t="s">
        <v>1746</v>
      </c>
      <c r="D19" s="113" t="s">
        <v>1746</v>
      </c>
      <c r="E19" s="102" t="s">
        <v>1747</v>
      </c>
      <c r="F19" s="97"/>
      <c r="G19" s="102" t="s">
        <v>320</v>
      </c>
      <c r="H19" s="10"/>
    </row>
    <row r="20" customHeight="1" spans="1:8">
      <c r="A20" s="10">
        <v>10</v>
      </c>
      <c r="B20" s="18"/>
      <c r="C20" s="102" t="s">
        <v>1549</v>
      </c>
      <c r="D20" s="113" t="s">
        <v>1549</v>
      </c>
      <c r="E20" s="102" t="s">
        <v>736</v>
      </c>
      <c r="F20" s="97"/>
      <c r="G20" s="102" t="s">
        <v>273</v>
      </c>
      <c r="H20" s="10"/>
    </row>
    <row r="21" customHeight="1" spans="1:8">
      <c r="A21" s="10">
        <v>11</v>
      </c>
      <c r="B21" s="18"/>
      <c r="C21" s="25" t="s">
        <v>1748</v>
      </c>
      <c r="D21" s="113" t="s">
        <v>1748</v>
      </c>
      <c r="E21" s="25" t="s">
        <v>1315</v>
      </c>
      <c r="F21" s="205" t="s">
        <v>1749</v>
      </c>
      <c r="G21" s="10" t="s">
        <v>248</v>
      </c>
      <c r="H21" s="97"/>
    </row>
    <row r="22" customHeight="1" spans="1:11">
      <c r="A22" s="10">
        <v>12</v>
      </c>
      <c r="B22" s="18"/>
      <c r="C22" s="10" t="s">
        <v>1750</v>
      </c>
      <c r="D22" s="16" t="s">
        <v>1750</v>
      </c>
      <c r="E22" s="25" t="s">
        <v>1751</v>
      </c>
      <c r="F22" s="10"/>
      <c r="G22" s="10" t="s">
        <v>263</v>
      </c>
      <c r="H22" s="10"/>
      <c r="I22" s="23" t="s">
        <v>264</v>
      </c>
      <c r="J22" s="206" t="s">
        <v>265</v>
      </c>
      <c r="K22" s="23" t="s">
        <v>1751</v>
      </c>
    </row>
    <row r="23" customHeight="1" spans="1:8">
      <c r="A23" s="10">
        <v>13</v>
      </c>
      <c r="B23" s="18"/>
      <c r="C23" s="10" t="s">
        <v>1752</v>
      </c>
      <c r="D23" s="16" t="s">
        <v>1752</v>
      </c>
      <c r="E23" s="25" t="s">
        <v>1753</v>
      </c>
      <c r="F23" s="10"/>
      <c r="G23" s="10" t="s">
        <v>248</v>
      </c>
      <c r="H23"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4" workbookViewId="0">
      <selection activeCell="I14" sqref="I14:J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1.4666666666667" style="23" customWidth="1"/>
    <col min="7" max="7" width="21.1666666666667" style="23" customWidth="1"/>
    <col min="8" max="8" width="14.1166666666667" style="23" customWidth="1"/>
    <col min="9" max="9" width="19.1083333333333" style="23" customWidth="1"/>
    <col min="10" max="10" width="10.8333333333333" style="23"/>
    <col min="11" max="11" width="23.3333333333333" style="23" customWidth="1"/>
    <col min="12" max="16384" width="10.8333333333333" style="23"/>
  </cols>
  <sheetData>
    <row r="1" customHeight="1" spans="1:8">
      <c r="A1" s="1" t="s">
        <v>223</v>
      </c>
      <c r="B1" s="2" t="s">
        <v>1754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1755</v>
      </c>
      <c r="F4" s="11"/>
      <c r="G4" s="11"/>
      <c r="H4" s="11"/>
    </row>
    <row r="5" customHeight="1" spans="1:8">
      <c r="A5" s="10">
        <v>2</v>
      </c>
      <c r="B5" s="10" t="s">
        <v>228</v>
      </c>
      <c r="C5" s="10"/>
      <c r="D5" s="10"/>
      <c r="E5" s="11" t="s">
        <v>1754</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3" si="0">ROW(A11)-10</f>
        <v>1</v>
      </c>
      <c r="B11" s="18" t="s">
        <v>242</v>
      </c>
      <c r="C11" s="170" t="s">
        <v>243</v>
      </c>
      <c r="D11" s="179" t="s">
        <v>243</v>
      </c>
      <c r="E11" s="170" t="s">
        <v>243</v>
      </c>
      <c r="F11" s="11" t="s">
        <v>244</v>
      </c>
      <c r="G11" s="170" t="s">
        <v>248</v>
      </c>
      <c r="H11" s="11"/>
    </row>
    <row r="12" customHeight="1" spans="1:12">
      <c r="A12" s="10">
        <f t="shared" si="0"/>
        <v>2</v>
      </c>
      <c r="B12" s="18" t="s">
        <v>242</v>
      </c>
      <c r="C12" s="170" t="s">
        <v>1756</v>
      </c>
      <c r="D12" s="179" t="s">
        <v>1757</v>
      </c>
      <c r="E12" s="170" t="s">
        <v>1758</v>
      </c>
      <c r="F12" s="11"/>
      <c r="G12" s="170" t="s">
        <v>248</v>
      </c>
      <c r="H12" s="11"/>
      <c r="I12" s="23" t="s">
        <v>1729</v>
      </c>
      <c r="J12" s="23" t="s">
        <v>243</v>
      </c>
      <c r="L12" s="40" t="s">
        <v>365</v>
      </c>
    </row>
    <row r="13" customHeight="1" spans="1:12">
      <c r="A13" s="10">
        <f t="shared" si="0"/>
        <v>3</v>
      </c>
      <c r="B13" s="18" t="s">
        <v>242</v>
      </c>
      <c r="C13" s="170" t="s">
        <v>1688</v>
      </c>
      <c r="D13" s="179" t="s">
        <v>621</v>
      </c>
      <c r="E13" s="170" t="s">
        <v>1443</v>
      </c>
      <c r="F13" s="172" t="s">
        <v>1559</v>
      </c>
      <c r="G13" s="170" t="s">
        <v>263</v>
      </c>
      <c r="H13" s="97" t="s">
        <v>1560</v>
      </c>
      <c r="I13" s="23" t="s">
        <v>264</v>
      </c>
      <c r="J13" s="23" t="s">
        <v>265</v>
      </c>
      <c r="K13" s="23" t="s">
        <v>1443</v>
      </c>
      <c r="L13" s="40" t="s">
        <v>365</v>
      </c>
    </row>
    <row r="14" customHeight="1" spans="1:12">
      <c r="A14" s="10">
        <f t="shared" ref="A14:A19" si="1">ROW(A14)-10</f>
        <v>4</v>
      </c>
      <c r="B14" s="171" t="s">
        <v>242</v>
      </c>
      <c r="C14" s="170" t="s">
        <v>1259</v>
      </c>
      <c r="D14" s="179" t="s">
        <v>1666</v>
      </c>
      <c r="E14" s="170" t="s">
        <v>256</v>
      </c>
      <c r="F14" s="11"/>
      <c r="G14" s="170" t="s">
        <v>248</v>
      </c>
      <c r="H14" s="11"/>
      <c r="I14" s="23" t="s">
        <v>258</v>
      </c>
      <c r="J14" s="23" t="s">
        <v>243</v>
      </c>
      <c r="L14" s="40" t="s">
        <v>365</v>
      </c>
    </row>
    <row r="15" customHeight="1" spans="1:12">
      <c r="A15" s="10">
        <f t="shared" si="1"/>
        <v>5</v>
      </c>
      <c r="B15" s="18"/>
      <c r="C15" s="170" t="s">
        <v>1562</v>
      </c>
      <c r="D15" s="179" t="s">
        <v>1441</v>
      </c>
      <c r="E15" s="170" t="s">
        <v>353</v>
      </c>
      <c r="F15" s="172" t="s">
        <v>1563</v>
      </c>
      <c r="G15" s="170" t="s">
        <v>248</v>
      </c>
      <c r="H15" s="11"/>
      <c r="I15" s="23" t="s">
        <v>352</v>
      </c>
      <c r="J15" s="23" t="s">
        <v>353</v>
      </c>
      <c r="L15" s="40" t="s">
        <v>365</v>
      </c>
    </row>
    <row r="16" customHeight="1" spans="1:8">
      <c r="A16" s="10">
        <f t="shared" si="1"/>
        <v>6</v>
      </c>
      <c r="B16" s="18"/>
      <c r="C16" s="170" t="s">
        <v>1564</v>
      </c>
      <c r="D16" s="179" t="s">
        <v>1667</v>
      </c>
      <c r="E16" s="170" t="s">
        <v>365</v>
      </c>
      <c r="F16" s="172" t="s">
        <v>1565</v>
      </c>
      <c r="G16" s="170" t="s">
        <v>248</v>
      </c>
      <c r="H16" s="11"/>
    </row>
    <row r="17" customHeight="1" spans="1:12">
      <c r="A17" s="10">
        <f t="shared" si="1"/>
        <v>7</v>
      </c>
      <c r="B17" s="18"/>
      <c r="C17" s="170" t="s">
        <v>1566</v>
      </c>
      <c r="D17" s="179" t="s">
        <v>1668</v>
      </c>
      <c r="E17" s="170" t="s">
        <v>247</v>
      </c>
      <c r="F17" s="11" t="s">
        <v>1567</v>
      </c>
      <c r="G17" s="170" t="s">
        <v>248</v>
      </c>
      <c r="H17" s="11"/>
      <c r="I17" s="23" t="s">
        <v>249</v>
      </c>
      <c r="J17" s="23" t="s">
        <v>247</v>
      </c>
      <c r="L17" s="40" t="s">
        <v>365</v>
      </c>
    </row>
    <row r="18" customHeight="1" spans="1:8">
      <c r="A18" s="10">
        <f t="shared" si="1"/>
        <v>8</v>
      </c>
      <c r="B18" s="18" t="s">
        <v>242</v>
      </c>
      <c r="C18" s="102" t="s">
        <v>593</v>
      </c>
      <c r="D18" s="113" t="s">
        <v>593</v>
      </c>
      <c r="E18" s="102" t="s">
        <v>560</v>
      </c>
      <c r="F18" s="10"/>
      <c r="G18" s="102" t="s">
        <v>421</v>
      </c>
      <c r="H18" s="10"/>
    </row>
    <row r="19" customHeight="1" spans="1:8">
      <c r="A19" s="10">
        <f t="shared" si="1"/>
        <v>9</v>
      </c>
      <c r="B19" s="18"/>
      <c r="C19" s="102" t="s">
        <v>1549</v>
      </c>
      <c r="D19" s="113" t="s">
        <v>1549</v>
      </c>
      <c r="E19" s="102" t="s">
        <v>736</v>
      </c>
      <c r="F19" s="10"/>
      <c r="G19" s="102" t="s">
        <v>273</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zoomScale="85" zoomScaleNormal="85" workbookViewId="0">
      <selection activeCell="E15" sqref="E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3.0833333333333" style="23" customWidth="1"/>
    <col min="7" max="7" width="21.1666666666667" style="23" customWidth="1"/>
    <col min="8" max="8" width="15" style="23" customWidth="1"/>
    <col min="9" max="9" width="18" style="23" customWidth="1"/>
    <col min="10" max="16384" width="10.8333333333333" style="23"/>
  </cols>
  <sheetData>
    <row r="1" customHeight="1" spans="1:8">
      <c r="A1" s="1" t="s">
        <v>223</v>
      </c>
      <c r="B1" s="2" t="s">
        <v>1759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1760</v>
      </c>
      <c r="F4" s="11"/>
      <c r="G4" s="11"/>
      <c r="H4" s="11"/>
    </row>
    <row r="5" customHeight="1" spans="1:8">
      <c r="A5" s="10">
        <v>2</v>
      </c>
      <c r="B5" s="10" t="s">
        <v>228</v>
      </c>
      <c r="C5" s="10"/>
      <c r="D5" s="10"/>
      <c r="E5" s="11" t="s">
        <v>1759</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8">
      <c r="A12" s="10">
        <v>2</v>
      </c>
      <c r="B12" s="18" t="s">
        <v>242</v>
      </c>
      <c r="C12" s="170" t="s">
        <v>1590</v>
      </c>
      <c r="D12" s="179" t="s">
        <v>1590</v>
      </c>
      <c r="E12" s="170" t="s">
        <v>365</v>
      </c>
      <c r="F12" s="11"/>
      <c r="G12" s="170" t="s">
        <v>1352</v>
      </c>
      <c r="H12" s="11"/>
    </row>
    <row r="13" customHeight="1" spans="1:12">
      <c r="A13" s="10">
        <v>3</v>
      </c>
      <c r="B13" s="18" t="s">
        <v>242</v>
      </c>
      <c r="C13" s="102" t="s">
        <v>1448</v>
      </c>
      <c r="D13" s="113" t="s">
        <v>1761</v>
      </c>
      <c r="E13" s="102" t="s">
        <v>256</v>
      </c>
      <c r="F13" s="172"/>
      <c r="G13" s="102" t="s">
        <v>248</v>
      </c>
      <c r="H13" s="11"/>
      <c r="I13" s="23" t="s">
        <v>258</v>
      </c>
      <c r="J13" s="23" t="s">
        <v>243</v>
      </c>
      <c r="L13" s="40" t="s">
        <v>365</v>
      </c>
    </row>
    <row r="14" customHeight="1" spans="1:8">
      <c r="A14" s="10">
        <v>4</v>
      </c>
      <c r="B14" s="18" t="s">
        <v>242</v>
      </c>
      <c r="C14" s="102" t="s">
        <v>1762</v>
      </c>
      <c r="D14" s="113" t="s">
        <v>1763</v>
      </c>
      <c r="E14" s="102" t="s">
        <v>299</v>
      </c>
      <c r="F14" s="172" t="s">
        <v>1347</v>
      </c>
      <c r="G14" s="102" t="s">
        <v>282</v>
      </c>
      <c r="H14" s="11"/>
    </row>
    <row r="15" customHeight="1" spans="1:8">
      <c r="A15" s="10">
        <v>5</v>
      </c>
      <c r="B15" s="18" t="s">
        <v>242</v>
      </c>
      <c r="C15" s="102" t="s">
        <v>1764</v>
      </c>
      <c r="D15" s="113" t="s">
        <v>1764</v>
      </c>
      <c r="E15" s="102" t="s">
        <v>1765</v>
      </c>
      <c r="F15" s="172"/>
      <c r="G15" s="102" t="s">
        <v>320</v>
      </c>
      <c r="H15" s="11"/>
    </row>
    <row r="16" customHeight="1" spans="1:8">
      <c r="A16" s="10">
        <v>6</v>
      </c>
      <c r="B16" s="18"/>
      <c r="C16" s="102" t="s">
        <v>1549</v>
      </c>
      <c r="D16" s="113" t="s">
        <v>1549</v>
      </c>
      <c r="E16" s="102" t="s">
        <v>736</v>
      </c>
      <c r="F16" s="10"/>
      <c r="G16" s="102" t="s">
        <v>273</v>
      </c>
      <c r="H16"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C3" workbookViewId="0">
      <selection activeCell="K13" sqref="K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2.3416666666667" style="23" customWidth="1"/>
    <col min="7" max="7" width="21.1666666666667" style="23" customWidth="1"/>
    <col min="8" max="8" width="18.3833333333333" style="23" customWidth="1"/>
    <col min="9" max="9" width="18" style="23" customWidth="1"/>
    <col min="10" max="10" width="10.8333333333333" style="23"/>
    <col min="11" max="11" width="23.3333333333333" style="23" customWidth="1"/>
    <col min="12" max="16384" width="10.8333333333333" style="23"/>
  </cols>
  <sheetData>
    <row r="1" customHeight="1" spans="1:8">
      <c r="A1" s="1" t="s">
        <v>223</v>
      </c>
      <c r="B1" s="2" t="s">
        <v>1766</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1767</v>
      </c>
      <c r="F4" s="11"/>
      <c r="G4" s="11"/>
      <c r="H4" s="11"/>
    </row>
    <row r="5" customHeight="1" spans="1:8">
      <c r="A5" s="10">
        <v>2</v>
      </c>
      <c r="B5" s="10" t="s">
        <v>228</v>
      </c>
      <c r="C5" s="10"/>
      <c r="D5" s="10"/>
      <c r="E5" s="11" t="s">
        <v>1766</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 t="shared" ref="A11:A13" si="0">ROW(A11)-10</f>
        <v>1</v>
      </c>
      <c r="B11" s="18" t="s">
        <v>242</v>
      </c>
      <c r="C11" s="170" t="s">
        <v>243</v>
      </c>
      <c r="D11" s="179" t="s">
        <v>243</v>
      </c>
      <c r="E11" s="170" t="s">
        <v>243</v>
      </c>
      <c r="F11" s="11" t="s">
        <v>244</v>
      </c>
      <c r="G11" s="170" t="s">
        <v>248</v>
      </c>
      <c r="H11" s="11"/>
    </row>
    <row r="12" customHeight="1" spans="1:12">
      <c r="A12" s="10">
        <f t="shared" si="0"/>
        <v>2</v>
      </c>
      <c r="B12" s="18" t="s">
        <v>242</v>
      </c>
      <c r="C12" s="170" t="s">
        <v>1768</v>
      </c>
      <c r="D12" s="179" t="s">
        <v>1769</v>
      </c>
      <c r="E12" s="170" t="s">
        <v>1770</v>
      </c>
      <c r="F12" s="11"/>
      <c r="G12" s="170" t="s">
        <v>248</v>
      </c>
      <c r="H12" s="11"/>
      <c r="I12" s="23" t="s">
        <v>1760</v>
      </c>
      <c r="J12" s="23" t="s">
        <v>243</v>
      </c>
      <c r="L12" s="40" t="s">
        <v>365</v>
      </c>
    </row>
    <row r="13" customHeight="1" spans="1:12">
      <c r="A13" s="10">
        <f t="shared" si="0"/>
        <v>3</v>
      </c>
      <c r="B13" s="18" t="s">
        <v>242</v>
      </c>
      <c r="C13" s="170" t="s">
        <v>1688</v>
      </c>
      <c r="D13" s="179" t="s">
        <v>621</v>
      </c>
      <c r="E13" s="170" t="s">
        <v>1443</v>
      </c>
      <c r="F13" s="172" t="s">
        <v>1559</v>
      </c>
      <c r="G13" s="170" t="s">
        <v>263</v>
      </c>
      <c r="H13" s="97" t="s">
        <v>1560</v>
      </c>
      <c r="I13" s="23" t="s">
        <v>264</v>
      </c>
      <c r="J13" s="23" t="s">
        <v>265</v>
      </c>
      <c r="K13" s="23" t="s">
        <v>1443</v>
      </c>
      <c r="L13" s="40" t="s">
        <v>365</v>
      </c>
    </row>
    <row r="14" customHeight="1" spans="1:12">
      <c r="A14" s="10">
        <f t="shared" ref="A14:A19" si="1">ROW(A14)-10</f>
        <v>4</v>
      </c>
      <c r="B14" s="171" t="s">
        <v>242</v>
      </c>
      <c r="C14" s="170" t="s">
        <v>1259</v>
      </c>
      <c r="D14" s="179" t="s">
        <v>1666</v>
      </c>
      <c r="E14" s="170" t="s">
        <v>256</v>
      </c>
      <c r="F14" s="11"/>
      <c r="G14" s="170" t="s">
        <v>248</v>
      </c>
      <c r="H14" s="11"/>
      <c r="I14" s="23" t="s">
        <v>258</v>
      </c>
      <c r="J14" s="23" t="s">
        <v>243</v>
      </c>
      <c r="L14" s="40" t="s">
        <v>365</v>
      </c>
    </row>
    <row r="15" customHeight="1" spans="1:12">
      <c r="A15" s="10">
        <f t="shared" si="1"/>
        <v>5</v>
      </c>
      <c r="B15" s="18"/>
      <c r="C15" s="170" t="s">
        <v>1771</v>
      </c>
      <c r="D15" s="179" t="s">
        <v>1441</v>
      </c>
      <c r="E15" s="170" t="s">
        <v>353</v>
      </c>
      <c r="F15" s="172" t="s">
        <v>1563</v>
      </c>
      <c r="G15" s="170" t="s">
        <v>248</v>
      </c>
      <c r="H15" s="11"/>
      <c r="I15" s="23" t="s">
        <v>352</v>
      </c>
      <c r="J15" s="23" t="s">
        <v>353</v>
      </c>
      <c r="L15" s="40" t="s">
        <v>365</v>
      </c>
    </row>
    <row r="16" customHeight="1" spans="1:8">
      <c r="A16" s="10">
        <f t="shared" si="1"/>
        <v>6</v>
      </c>
      <c r="B16" s="18"/>
      <c r="C16" s="170" t="s">
        <v>1772</v>
      </c>
      <c r="D16" s="179" t="s">
        <v>1667</v>
      </c>
      <c r="E16" s="170" t="s">
        <v>365</v>
      </c>
      <c r="F16" s="172" t="s">
        <v>1565</v>
      </c>
      <c r="G16" s="170" t="s">
        <v>248</v>
      </c>
      <c r="H16" s="11"/>
    </row>
    <row r="17" customHeight="1" spans="1:12">
      <c r="A17" s="10">
        <f t="shared" si="1"/>
        <v>7</v>
      </c>
      <c r="B17" s="18"/>
      <c r="C17" s="170" t="s">
        <v>1773</v>
      </c>
      <c r="D17" s="179" t="s">
        <v>1668</v>
      </c>
      <c r="E17" s="170" t="s">
        <v>247</v>
      </c>
      <c r="F17" s="11" t="s">
        <v>1567</v>
      </c>
      <c r="G17" s="170" t="s">
        <v>248</v>
      </c>
      <c r="H17" s="11"/>
      <c r="I17" s="23" t="s">
        <v>249</v>
      </c>
      <c r="J17" s="23" t="s">
        <v>247</v>
      </c>
      <c r="L17" s="40" t="s">
        <v>365</v>
      </c>
    </row>
    <row r="18" customHeight="1" spans="1:8">
      <c r="A18" s="10">
        <f t="shared" si="1"/>
        <v>8</v>
      </c>
      <c r="B18" s="18" t="s">
        <v>242</v>
      </c>
      <c r="C18" s="102" t="s">
        <v>593</v>
      </c>
      <c r="D18" s="113" t="s">
        <v>593</v>
      </c>
      <c r="E18" s="102" t="s">
        <v>560</v>
      </c>
      <c r="F18" s="10"/>
      <c r="G18" s="102" t="s">
        <v>421</v>
      </c>
      <c r="H18" s="10"/>
    </row>
    <row r="19" customHeight="1" spans="1:8">
      <c r="A19" s="10">
        <f t="shared" si="1"/>
        <v>9</v>
      </c>
      <c r="B19" s="18"/>
      <c r="C19" s="102" t="s">
        <v>1549</v>
      </c>
      <c r="D19" s="113" t="s">
        <v>1549</v>
      </c>
      <c r="E19" s="102" t="s">
        <v>736</v>
      </c>
      <c r="F19" s="10"/>
      <c r="G19" s="102" t="s">
        <v>273</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I12" sqref="I1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0.125" style="23" customWidth="1"/>
    <col min="7" max="7" width="21.1666666666667" style="23" customWidth="1"/>
    <col min="8" max="8" width="14.625" style="23" customWidth="1"/>
    <col min="9" max="9" width="14.6666666666667" style="23" customWidth="1"/>
    <col min="10" max="10" width="10.8333333333333" style="23"/>
    <col min="11" max="11" width="22.8333333333333" style="23" customWidth="1"/>
    <col min="12" max="16384" width="10.8333333333333" style="23"/>
  </cols>
  <sheetData>
    <row r="1" customHeight="1" spans="1:8">
      <c r="A1" s="1" t="s">
        <v>223</v>
      </c>
      <c r="B1" s="2" t="s">
        <v>1774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1775</v>
      </c>
      <c r="F4" s="11"/>
      <c r="G4" s="11"/>
      <c r="H4" s="11"/>
    </row>
    <row r="5" customHeight="1" spans="1:8">
      <c r="A5" s="10">
        <v>2</v>
      </c>
      <c r="B5" s="10" t="s">
        <v>228</v>
      </c>
      <c r="C5" s="10"/>
      <c r="D5" s="10"/>
      <c r="E5" s="11" t="s">
        <v>1774</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12">
      <c r="A12" s="10">
        <v>2</v>
      </c>
      <c r="B12" s="18" t="s">
        <v>242</v>
      </c>
      <c r="C12" s="170" t="s">
        <v>1776</v>
      </c>
      <c r="D12" s="179" t="s">
        <v>1777</v>
      </c>
      <c r="E12" s="170" t="s">
        <v>1770</v>
      </c>
      <c r="F12" s="11"/>
      <c r="G12" s="170" t="s">
        <v>248</v>
      </c>
      <c r="H12" s="11"/>
      <c r="I12" s="23" t="s">
        <v>1760</v>
      </c>
      <c r="J12" s="23" t="s">
        <v>243</v>
      </c>
      <c r="L12" s="40" t="s">
        <v>365</v>
      </c>
    </row>
    <row r="13" customHeight="1" spans="1:12">
      <c r="A13" s="10">
        <v>3</v>
      </c>
      <c r="B13" s="18" t="s">
        <v>242</v>
      </c>
      <c r="C13" s="102" t="s">
        <v>1778</v>
      </c>
      <c r="D13" s="113" t="s">
        <v>1779</v>
      </c>
      <c r="E13" s="102" t="s">
        <v>1780</v>
      </c>
      <c r="F13" s="172" t="s">
        <v>1781</v>
      </c>
      <c r="G13" s="102" t="s">
        <v>263</v>
      </c>
      <c r="H13" s="97" t="s">
        <v>1782</v>
      </c>
      <c r="I13" s="23" t="s">
        <v>264</v>
      </c>
      <c r="J13" s="23" t="s">
        <v>265</v>
      </c>
      <c r="K13" s="23" t="s">
        <v>1780</v>
      </c>
      <c r="L13" s="4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zoomScale="85" zoomScaleNormal="85" workbookViewId="0">
      <selection activeCell="E4" sqref="E4:H4"/>
    </sheetView>
  </sheetViews>
  <sheetFormatPr defaultColWidth="9" defaultRowHeight="13.5"/>
  <cols>
    <col min="1" max="2" width="6" style="193" customWidth="1"/>
    <col min="3" max="4" width="15.3333333333333" style="193" customWidth="1"/>
    <col min="5" max="5" width="37.8333333333333" style="193" customWidth="1"/>
    <col min="6" max="6" width="34.5" style="193" customWidth="1"/>
    <col min="7" max="7" width="18.5" style="193" customWidth="1"/>
    <col min="8" max="8" width="19.4083333333333" style="193" customWidth="1"/>
    <col min="9" max="9" width="23" customWidth="1"/>
    <col min="10" max="10" width="10.5" customWidth="1"/>
    <col min="11" max="11" width="35.3333333333333" customWidth="1"/>
  </cols>
  <sheetData>
    <row r="1" ht="14.25" spans="1:8">
      <c r="A1" s="181" t="s">
        <v>223</v>
      </c>
      <c r="B1" s="2" t="s">
        <v>1783</v>
      </c>
      <c r="C1" s="3"/>
      <c r="D1" s="3"/>
      <c r="E1" s="3"/>
      <c r="F1" s="3"/>
      <c r="G1" s="3"/>
      <c r="H1" s="3"/>
    </row>
    <row r="2" ht="14.25" spans="1:8">
      <c r="A2" s="182"/>
      <c r="B2" s="3"/>
      <c r="C2" s="3"/>
      <c r="D2" s="3"/>
      <c r="E2" s="3"/>
      <c r="F2" s="3"/>
      <c r="G2" s="3"/>
      <c r="H2" s="3"/>
    </row>
    <row r="3" ht="17.25" spans="1:8">
      <c r="A3" s="167" t="s">
        <v>225</v>
      </c>
      <c r="B3" s="167"/>
      <c r="C3" s="167"/>
      <c r="D3" s="167"/>
      <c r="E3" s="167"/>
      <c r="F3" s="167"/>
      <c r="G3" s="167"/>
      <c r="H3" s="167"/>
    </row>
    <row r="4" ht="17.25" spans="1:8">
      <c r="A4" s="183">
        <v>1</v>
      </c>
      <c r="B4" s="183" t="s">
        <v>226</v>
      </c>
      <c r="C4" s="183"/>
      <c r="D4" s="183"/>
      <c r="E4" s="11" t="s">
        <v>1784</v>
      </c>
      <c r="F4" s="11"/>
      <c r="G4" s="11"/>
      <c r="H4" s="11"/>
    </row>
    <row r="5" ht="17.25" spans="1:8">
      <c r="A5" s="183">
        <v>2</v>
      </c>
      <c r="B5" s="183" t="s">
        <v>228</v>
      </c>
      <c r="C5" s="183"/>
      <c r="D5" s="183"/>
      <c r="E5" s="11" t="s">
        <v>1783</v>
      </c>
      <c r="F5" s="11"/>
      <c r="G5" s="11"/>
      <c r="H5" s="11"/>
    </row>
    <row r="6" ht="17.25" spans="1:8">
      <c r="A6" s="183">
        <v>3</v>
      </c>
      <c r="B6" s="183" t="s">
        <v>229</v>
      </c>
      <c r="C6" s="183"/>
      <c r="D6" s="183"/>
      <c r="E6" s="11"/>
      <c r="F6" s="11"/>
      <c r="G6" s="11"/>
      <c r="H6" s="11"/>
    </row>
    <row r="7" ht="17.25" spans="1:8">
      <c r="A7" s="183">
        <v>4</v>
      </c>
      <c r="B7" s="183" t="s">
        <v>231</v>
      </c>
      <c r="C7" s="183"/>
      <c r="D7" s="183"/>
      <c r="E7" s="11"/>
      <c r="F7" s="11"/>
      <c r="G7" s="11"/>
      <c r="H7" s="11"/>
    </row>
    <row r="8" ht="17.25" spans="1:8">
      <c r="A8" s="183">
        <v>5</v>
      </c>
      <c r="B8" s="183" t="s">
        <v>233</v>
      </c>
      <c r="C8" s="183"/>
      <c r="D8" s="183"/>
      <c r="E8" s="11"/>
      <c r="F8" s="11"/>
      <c r="G8" s="11"/>
      <c r="H8" s="11"/>
    </row>
    <row r="9" ht="17.25" spans="1:8">
      <c r="A9" s="167" t="s">
        <v>234</v>
      </c>
      <c r="B9" s="167"/>
      <c r="C9" s="167"/>
      <c r="D9" s="167"/>
      <c r="E9" s="167"/>
      <c r="F9" s="167"/>
      <c r="G9" s="167"/>
      <c r="H9" s="167"/>
    </row>
    <row r="10" ht="18" spans="1:8">
      <c r="A10" s="184"/>
      <c r="B10" s="185" t="s">
        <v>235</v>
      </c>
      <c r="C10" s="184" t="s">
        <v>236</v>
      </c>
      <c r="D10" s="186" t="s">
        <v>237</v>
      </c>
      <c r="E10" s="187" t="s">
        <v>238</v>
      </c>
      <c r="F10" s="184" t="s">
        <v>239</v>
      </c>
      <c r="G10" s="184" t="s">
        <v>240</v>
      </c>
      <c r="H10" s="184" t="s">
        <v>241</v>
      </c>
    </row>
    <row r="11" ht="34.5" spans="1:8">
      <c r="A11" s="183">
        <v>1</v>
      </c>
      <c r="B11" s="188" t="s">
        <v>242</v>
      </c>
      <c r="C11" s="22" t="s">
        <v>243</v>
      </c>
      <c r="D11" s="87" t="s">
        <v>243</v>
      </c>
      <c r="E11" s="22" t="s">
        <v>243</v>
      </c>
      <c r="F11" s="22" t="s">
        <v>244</v>
      </c>
      <c r="G11" s="22" t="s">
        <v>248</v>
      </c>
      <c r="H11" s="22"/>
    </row>
    <row r="12" ht="27.75" spans="1:12">
      <c r="A12" s="183">
        <v>2</v>
      </c>
      <c r="B12" s="188" t="s">
        <v>242</v>
      </c>
      <c r="C12" s="22" t="s">
        <v>1261</v>
      </c>
      <c r="D12" s="87" t="s">
        <v>1262</v>
      </c>
      <c r="E12" s="22" t="s">
        <v>353</v>
      </c>
      <c r="F12" s="22" t="s">
        <v>1262</v>
      </c>
      <c r="G12" s="22" t="s">
        <v>248</v>
      </c>
      <c r="H12" s="163"/>
      <c r="I12" s="201" t="s">
        <v>352</v>
      </c>
      <c r="J12" s="201" t="s">
        <v>353</v>
      </c>
      <c r="K12" s="202"/>
      <c r="L12" s="40" t="s">
        <v>365</v>
      </c>
    </row>
    <row r="13" ht="27.75" spans="1:12">
      <c r="A13" s="183">
        <v>3</v>
      </c>
      <c r="B13" s="188"/>
      <c r="C13" s="22" t="s">
        <v>1448</v>
      </c>
      <c r="D13" s="87" t="s">
        <v>1785</v>
      </c>
      <c r="E13" s="22" t="s">
        <v>256</v>
      </c>
      <c r="F13" s="22"/>
      <c r="G13" s="22" t="s">
        <v>248</v>
      </c>
      <c r="H13" s="163"/>
      <c r="I13" s="201" t="s">
        <v>258</v>
      </c>
      <c r="J13" s="201" t="s">
        <v>243</v>
      </c>
      <c r="K13" s="202"/>
      <c r="L13" s="40" t="s">
        <v>365</v>
      </c>
    </row>
    <row r="14" ht="30" customHeight="1" spans="1:11">
      <c r="A14" s="183">
        <v>4</v>
      </c>
      <c r="B14" s="194"/>
      <c r="C14" s="163" t="s">
        <v>1786</v>
      </c>
      <c r="D14" s="195" t="s">
        <v>1786</v>
      </c>
      <c r="E14" s="163" t="s">
        <v>1787</v>
      </c>
      <c r="F14" s="163"/>
      <c r="G14" s="22" t="s">
        <v>390</v>
      </c>
      <c r="H14" s="163"/>
      <c r="I14" s="203"/>
      <c r="J14" s="203"/>
      <c r="K14" s="203"/>
    </row>
    <row r="15" ht="27" customHeight="1" spans="1:11">
      <c r="A15" s="183">
        <v>5</v>
      </c>
      <c r="B15" s="194"/>
      <c r="C15" s="196" t="s">
        <v>1788</v>
      </c>
      <c r="D15" s="197" t="s">
        <v>1788</v>
      </c>
      <c r="E15" s="196" t="s">
        <v>1789</v>
      </c>
      <c r="F15" s="196" t="s">
        <v>1790</v>
      </c>
      <c r="G15" s="198" t="s">
        <v>282</v>
      </c>
      <c r="H15" s="196"/>
      <c r="I15" s="203"/>
      <c r="J15" s="203"/>
      <c r="K15" s="203"/>
    </row>
    <row r="16" ht="29" customHeight="1" spans="1:12">
      <c r="A16" s="183">
        <v>6</v>
      </c>
      <c r="B16" s="194"/>
      <c r="C16" s="196" t="s">
        <v>1791</v>
      </c>
      <c r="D16" s="197" t="s">
        <v>1791</v>
      </c>
      <c r="E16" s="196" t="s">
        <v>1792</v>
      </c>
      <c r="F16" s="199"/>
      <c r="G16" s="198" t="s">
        <v>263</v>
      </c>
      <c r="H16" s="200" t="s">
        <v>1793</v>
      </c>
      <c r="I16" s="201" t="s">
        <v>264</v>
      </c>
      <c r="J16" s="201" t="s">
        <v>265</v>
      </c>
      <c r="K16" s="204" t="s">
        <v>1792</v>
      </c>
      <c r="L16" s="40" t="s">
        <v>365</v>
      </c>
    </row>
    <row r="17" ht="33" customHeight="1" spans="1:11">
      <c r="A17" s="183">
        <v>7</v>
      </c>
      <c r="B17" s="194"/>
      <c r="C17" s="196" t="s">
        <v>1533</v>
      </c>
      <c r="D17" s="197" t="s">
        <v>1533</v>
      </c>
      <c r="E17" s="196" t="s">
        <v>299</v>
      </c>
      <c r="F17" s="196" t="s">
        <v>1794</v>
      </c>
      <c r="G17" s="198" t="s">
        <v>282</v>
      </c>
      <c r="H17" s="196"/>
      <c r="I17" s="202"/>
      <c r="J17" s="202"/>
      <c r="K17" s="202"/>
    </row>
    <row r="18" ht="26" customHeight="1" spans="1:12">
      <c r="A18" s="183">
        <v>8</v>
      </c>
      <c r="B18" s="194"/>
      <c r="C18" s="196" t="s">
        <v>1795</v>
      </c>
      <c r="D18" s="197" t="s">
        <v>1795</v>
      </c>
      <c r="E18" s="196" t="s">
        <v>1796</v>
      </c>
      <c r="F18" s="199"/>
      <c r="G18" s="198" t="s">
        <v>263</v>
      </c>
      <c r="H18" s="200" t="s">
        <v>1797</v>
      </c>
      <c r="I18" s="201" t="s">
        <v>264</v>
      </c>
      <c r="J18" s="201" t="s">
        <v>265</v>
      </c>
      <c r="K18" s="204" t="s">
        <v>1796</v>
      </c>
      <c r="L18" s="40" t="s">
        <v>365</v>
      </c>
    </row>
    <row r="19" ht="31" customHeight="1" spans="1:12">
      <c r="A19" s="183">
        <v>9</v>
      </c>
      <c r="B19" s="194"/>
      <c r="C19" s="196" t="s">
        <v>1798</v>
      </c>
      <c r="D19" s="197" t="s">
        <v>1798</v>
      </c>
      <c r="E19" s="196" t="s">
        <v>1799</v>
      </c>
      <c r="F19" s="199"/>
      <c r="G19" s="198" t="s">
        <v>263</v>
      </c>
      <c r="H19" s="196"/>
      <c r="I19" s="201" t="s">
        <v>264</v>
      </c>
      <c r="J19" s="201" t="s">
        <v>265</v>
      </c>
      <c r="K19" s="204" t="s">
        <v>1799</v>
      </c>
      <c r="L19" s="40" t="s">
        <v>365</v>
      </c>
    </row>
    <row r="20" ht="25" customHeight="1" spans="1:12">
      <c r="A20" s="183">
        <v>10</v>
      </c>
      <c r="B20" s="194"/>
      <c r="C20" s="196" t="s">
        <v>1800</v>
      </c>
      <c r="D20" s="197" t="s">
        <v>1800</v>
      </c>
      <c r="E20" s="196" t="s">
        <v>1801</v>
      </c>
      <c r="F20" s="199"/>
      <c r="G20" s="198" t="s">
        <v>263</v>
      </c>
      <c r="H20" s="200" t="s">
        <v>1802</v>
      </c>
      <c r="I20" s="201" t="s">
        <v>264</v>
      </c>
      <c r="J20" s="201" t="s">
        <v>265</v>
      </c>
      <c r="K20" s="204" t="s">
        <v>1801</v>
      </c>
      <c r="L20" s="40" t="s">
        <v>365</v>
      </c>
    </row>
    <row r="21" ht="29" customHeight="1" spans="1:8">
      <c r="A21" s="183">
        <v>11</v>
      </c>
      <c r="B21" s="194"/>
      <c r="C21" s="163" t="s">
        <v>1803</v>
      </c>
      <c r="D21" s="195" t="s">
        <v>1803</v>
      </c>
      <c r="E21" s="163" t="s">
        <v>1804</v>
      </c>
      <c r="F21" s="163"/>
      <c r="G21" s="22" t="s">
        <v>248</v>
      </c>
      <c r="H21" s="163"/>
    </row>
    <row r="22" ht="27" customHeight="1" spans="1:8">
      <c r="A22" s="183">
        <v>12</v>
      </c>
      <c r="B22" s="194"/>
      <c r="C22" s="163" t="s">
        <v>1805</v>
      </c>
      <c r="D22" s="195" t="s">
        <v>1805</v>
      </c>
      <c r="E22" s="163" t="s">
        <v>1806</v>
      </c>
      <c r="F22" s="163"/>
      <c r="G22" s="22" t="s">
        <v>248</v>
      </c>
      <c r="H22" s="163"/>
    </row>
    <row r="23" ht="27" customHeight="1" spans="1:8">
      <c r="A23" s="183">
        <v>13</v>
      </c>
      <c r="B23" s="194"/>
      <c r="C23" s="163" t="s">
        <v>569</v>
      </c>
      <c r="D23" s="195" t="s">
        <v>569</v>
      </c>
      <c r="E23" s="163" t="s">
        <v>570</v>
      </c>
      <c r="F23" s="163"/>
      <c r="G23" s="22" t="s">
        <v>320</v>
      </c>
      <c r="H23"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 right="0.7" top="0.75" bottom="0.75" header="0.3" footer="0.3"/>
  <pageSetup paperSize="9" orientation="portrait"/>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I12" sqref="I12:J12"/>
    </sheetView>
  </sheetViews>
  <sheetFormatPr defaultColWidth="9" defaultRowHeight="13.5"/>
  <cols>
    <col min="1" max="2" width="6" customWidth="1"/>
    <col min="3" max="3" width="13" customWidth="1"/>
    <col min="4" max="4" width="17.1666666666667" customWidth="1"/>
    <col min="5" max="5" width="23.6666666666667" customWidth="1"/>
    <col min="6" max="6" width="38.125" customWidth="1"/>
    <col min="7" max="7" width="17.6666666666667" customWidth="1"/>
    <col min="8" max="8" width="8.16666666666667" customWidth="1"/>
    <col min="9" max="9" width="18" customWidth="1"/>
    <col min="10" max="10" width="11.8333333333333" customWidth="1"/>
    <col min="11" max="11" width="23.3333333333333" customWidth="1"/>
  </cols>
  <sheetData>
    <row r="1" ht="14.25" spans="1:8">
      <c r="A1" s="181" t="s">
        <v>223</v>
      </c>
      <c r="B1" s="2" t="s">
        <v>1807</v>
      </c>
      <c r="C1" s="3"/>
      <c r="D1" s="3"/>
      <c r="E1" s="3"/>
      <c r="F1" s="3"/>
      <c r="G1" s="3"/>
      <c r="H1" s="3"/>
    </row>
    <row r="2" ht="14.25" spans="1:8">
      <c r="A2" s="182"/>
      <c r="B2" s="3"/>
      <c r="C2" s="3"/>
      <c r="D2" s="3"/>
      <c r="E2" s="3"/>
      <c r="F2" s="3"/>
      <c r="G2" s="3"/>
      <c r="H2" s="3"/>
    </row>
    <row r="3" ht="17.25" spans="1:8">
      <c r="A3" s="167" t="s">
        <v>225</v>
      </c>
      <c r="B3" s="167"/>
      <c r="C3" s="167"/>
      <c r="D3" s="167"/>
      <c r="E3" s="167"/>
      <c r="F3" s="167"/>
      <c r="G3" s="167"/>
      <c r="H3" s="167"/>
    </row>
    <row r="4" ht="17.25" spans="1:8">
      <c r="A4" s="183">
        <v>1</v>
      </c>
      <c r="B4" s="183" t="s">
        <v>226</v>
      </c>
      <c r="C4" s="183"/>
      <c r="D4" s="183"/>
      <c r="E4" s="11" t="s">
        <v>1808</v>
      </c>
      <c r="F4" s="11"/>
      <c r="G4" s="11"/>
      <c r="H4" s="11"/>
    </row>
    <row r="5" ht="17.25" spans="1:8">
      <c r="A5" s="183">
        <v>2</v>
      </c>
      <c r="B5" s="183" t="s">
        <v>228</v>
      </c>
      <c r="C5" s="183"/>
      <c r="D5" s="183"/>
      <c r="E5" s="11" t="s">
        <v>1807</v>
      </c>
      <c r="F5" s="11"/>
      <c r="G5" s="11"/>
      <c r="H5" s="11"/>
    </row>
    <row r="6" ht="17.25" spans="1:8">
      <c r="A6" s="183">
        <v>3</v>
      </c>
      <c r="B6" s="183" t="s">
        <v>229</v>
      </c>
      <c r="C6" s="183"/>
      <c r="D6" s="183"/>
      <c r="E6" s="11"/>
      <c r="F6" s="11"/>
      <c r="G6" s="11"/>
      <c r="H6" s="11"/>
    </row>
    <row r="7" ht="17.25" spans="1:8">
      <c r="A7" s="183">
        <v>4</v>
      </c>
      <c r="B7" s="183" t="s">
        <v>231</v>
      </c>
      <c r="C7" s="183"/>
      <c r="D7" s="183"/>
      <c r="E7" s="11" t="s">
        <v>1520</v>
      </c>
      <c r="F7" s="11"/>
      <c r="G7" s="11"/>
      <c r="H7" s="11"/>
    </row>
    <row r="8" ht="17.25" spans="1:8">
      <c r="A8" s="183">
        <v>5</v>
      </c>
      <c r="B8" s="183" t="s">
        <v>233</v>
      </c>
      <c r="C8" s="183"/>
      <c r="D8" s="183"/>
      <c r="E8" s="11"/>
      <c r="F8" s="11"/>
      <c r="G8" s="11"/>
      <c r="H8" s="11"/>
    </row>
    <row r="9" ht="17.25" spans="1:8">
      <c r="A9" s="167" t="s">
        <v>234</v>
      </c>
      <c r="B9" s="167"/>
      <c r="C9" s="167"/>
      <c r="D9" s="167"/>
      <c r="E9" s="167"/>
      <c r="F9" s="167"/>
      <c r="G9" s="167"/>
      <c r="H9" s="167"/>
    </row>
    <row r="10" ht="18" spans="1:8">
      <c r="A10" s="184"/>
      <c r="B10" s="185" t="s">
        <v>235</v>
      </c>
      <c r="C10" s="184" t="s">
        <v>236</v>
      </c>
      <c r="D10" s="186" t="s">
        <v>237</v>
      </c>
      <c r="E10" s="187" t="s">
        <v>238</v>
      </c>
      <c r="F10" s="184" t="s">
        <v>239</v>
      </c>
      <c r="G10" s="184" t="s">
        <v>240</v>
      </c>
      <c r="H10" s="184" t="s">
        <v>241</v>
      </c>
    </row>
    <row r="11" ht="34.5" spans="1:8">
      <c r="A11" s="183">
        <v>1</v>
      </c>
      <c r="B11" s="188" t="s">
        <v>242</v>
      </c>
      <c r="C11" s="13" t="s">
        <v>243</v>
      </c>
      <c r="D11" s="189" t="s">
        <v>243</v>
      </c>
      <c r="E11" s="13" t="s">
        <v>243</v>
      </c>
      <c r="F11" s="13" t="s">
        <v>244</v>
      </c>
      <c r="G11" s="13" t="s">
        <v>248</v>
      </c>
      <c r="H11" s="11"/>
    </row>
    <row r="12" ht="27.75" spans="1:12">
      <c r="A12" s="183">
        <v>2</v>
      </c>
      <c r="B12" s="188" t="s">
        <v>242</v>
      </c>
      <c r="C12" s="13" t="s">
        <v>1809</v>
      </c>
      <c r="D12" s="189" t="s">
        <v>110</v>
      </c>
      <c r="E12" s="13" t="s">
        <v>1810</v>
      </c>
      <c r="F12" s="13"/>
      <c r="G12" s="13" t="s">
        <v>248</v>
      </c>
      <c r="H12" s="11"/>
      <c r="I12" t="s">
        <v>1784</v>
      </c>
      <c r="J12" s="192" t="s">
        <v>243</v>
      </c>
      <c r="L12" s="40" t="s">
        <v>365</v>
      </c>
    </row>
    <row r="13" ht="34.5" spans="1:12">
      <c r="A13" s="183">
        <v>3</v>
      </c>
      <c r="B13" s="45"/>
      <c r="C13" s="13" t="s">
        <v>621</v>
      </c>
      <c r="D13" s="189" t="s">
        <v>621</v>
      </c>
      <c r="E13" s="13" t="s">
        <v>1443</v>
      </c>
      <c r="F13" s="13" t="s">
        <v>1559</v>
      </c>
      <c r="G13" s="13" t="s">
        <v>248</v>
      </c>
      <c r="H13" s="45"/>
      <c r="I13" s="23" t="s">
        <v>264</v>
      </c>
      <c r="J13" s="23" t="s">
        <v>265</v>
      </c>
      <c r="K13" s="23" t="s">
        <v>1443</v>
      </c>
      <c r="L13" s="40" t="s">
        <v>365</v>
      </c>
    </row>
    <row r="14" ht="30" customHeight="1" spans="1:12">
      <c r="A14" s="183">
        <v>4</v>
      </c>
      <c r="B14" s="45"/>
      <c r="C14" s="190" t="s">
        <v>1771</v>
      </c>
      <c r="D14" s="191" t="s">
        <v>1771</v>
      </c>
      <c r="E14" s="190" t="s">
        <v>353</v>
      </c>
      <c r="F14" s="190"/>
      <c r="G14" s="13" t="s">
        <v>248</v>
      </c>
      <c r="H14" s="45"/>
      <c r="I14" s="23" t="s">
        <v>352</v>
      </c>
      <c r="J14" s="23" t="s">
        <v>353</v>
      </c>
      <c r="L14" s="40" t="s">
        <v>365</v>
      </c>
    </row>
    <row r="15" ht="51.75" spans="1:10">
      <c r="A15" s="183">
        <v>5</v>
      </c>
      <c r="B15" s="45"/>
      <c r="C15" s="183" t="s">
        <v>1772</v>
      </c>
      <c r="D15" s="186" t="s">
        <v>1772</v>
      </c>
      <c r="E15" s="183" t="s">
        <v>365</v>
      </c>
      <c r="F15" s="13" t="s">
        <v>1565</v>
      </c>
      <c r="G15" s="13" t="s">
        <v>248</v>
      </c>
      <c r="H15" s="45"/>
      <c r="I15" s="23"/>
      <c r="J15" s="23"/>
    </row>
    <row r="16" ht="27" customHeight="1" spans="1:12">
      <c r="A16" s="183">
        <v>6</v>
      </c>
      <c r="B16" s="45"/>
      <c r="C16" s="183" t="s">
        <v>1773</v>
      </c>
      <c r="D16" s="186" t="s">
        <v>1773</v>
      </c>
      <c r="E16" s="183" t="s">
        <v>247</v>
      </c>
      <c r="F16" s="13"/>
      <c r="G16" s="13" t="s">
        <v>248</v>
      </c>
      <c r="H16" s="45"/>
      <c r="I16" s="23" t="s">
        <v>249</v>
      </c>
      <c r="J16" s="23" t="s">
        <v>247</v>
      </c>
      <c r="L16" s="40" t="s">
        <v>365</v>
      </c>
    </row>
    <row r="17" ht="31" customHeight="1" spans="1:8">
      <c r="A17" s="183">
        <v>7</v>
      </c>
      <c r="B17" s="45"/>
      <c r="C17" s="190" t="s">
        <v>593</v>
      </c>
      <c r="D17" s="191" t="s">
        <v>593</v>
      </c>
      <c r="E17" s="190" t="s">
        <v>560</v>
      </c>
      <c r="F17" s="190"/>
      <c r="G17" s="13" t="s">
        <v>263</v>
      </c>
      <c r="H17" s="45"/>
    </row>
    <row r="18" ht="29" customHeight="1" spans="1:8">
      <c r="A18" s="183">
        <v>8</v>
      </c>
      <c r="B18" s="45"/>
      <c r="C18" s="190" t="s">
        <v>1549</v>
      </c>
      <c r="D18" s="191" t="s">
        <v>1549</v>
      </c>
      <c r="E18" s="190" t="s">
        <v>736</v>
      </c>
      <c r="F18" s="190"/>
      <c r="G18" s="13" t="s">
        <v>263</v>
      </c>
      <c r="H18" s="45"/>
    </row>
    <row r="19" ht="28" customHeight="1" spans="1:12">
      <c r="A19" s="183">
        <v>9</v>
      </c>
      <c r="B19" s="45"/>
      <c r="C19" s="190" t="s">
        <v>1811</v>
      </c>
      <c r="D19" s="191" t="s">
        <v>1449</v>
      </c>
      <c r="E19" s="190" t="s">
        <v>256</v>
      </c>
      <c r="F19" s="190"/>
      <c r="G19" s="13" t="s">
        <v>248</v>
      </c>
      <c r="H19" s="45"/>
      <c r="I19" s="192" t="s">
        <v>258</v>
      </c>
      <c r="J19" s="192" t="s">
        <v>243</v>
      </c>
      <c r="L19" s="4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 right="0.7" top="0.75" bottom="0.75" header="0.3" footer="0.3"/>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zoomScale="70" zoomScaleNormal="70" workbookViewId="0">
      <selection activeCell="G19" sqref="G19"/>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9.55" style="23" customWidth="1"/>
    <col min="7" max="7" width="21.1666666666667" style="23" customWidth="1"/>
    <col min="8" max="8" width="15.1416666666667" style="23" customWidth="1"/>
    <col min="9" max="9" width="22.6666666666667" style="23" customWidth="1"/>
    <col min="10" max="16384" width="10.8333333333333" style="23"/>
  </cols>
  <sheetData>
    <row r="1" customHeight="1" spans="1:8">
      <c r="A1" s="1" t="s">
        <v>223</v>
      </c>
      <c r="B1" s="2" t="s">
        <v>112</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1812</v>
      </c>
      <c r="F4" s="11"/>
      <c r="G4" s="11"/>
      <c r="H4" s="11"/>
    </row>
    <row r="5" customHeight="1" spans="1:8">
      <c r="A5" s="10">
        <v>2</v>
      </c>
      <c r="B5" s="10" t="s">
        <v>228</v>
      </c>
      <c r="C5" s="10"/>
      <c r="D5" s="10"/>
      <c r="E5" s="11" t="s">
        <v>112</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170" t="s">
        <v>243</v>
      </c>
      <c r="D11" s="179" t="s">
        <v>243</v>
      </c>
      <c r="E11" s="170" t="s">
        <v>243</v>
      </c>
      <c r="F11" s="11" t="s">
        <v>244</v>
      </c>
      <c r="G11" s="170" t="s">
        <v>306</v>
      </c>
      <c r="H11" s="11"/>
    </row>
    <row r="12" customHeight="1" spans="1:12">
      <c r="A12" s="10">
        <f>ROW(A12)-10</f>
        <v>2</v>
      </c>
      <c r="B12" s="18" t="s">
        <v>242</v>
      </c>
      <c r="C12" s="170" t="s">
        <v>1448</v>
      </c>
      <c r="D12" s="179" t="s">
        <v>1813</v>
      </c>
      <c r="E12" s="170" t="s">
        <v>256</v>
      </c>
      <c r="F12" s="172"/>
      <c r="G12" s="170" t="s">
        <v>248</v>
      </c>
      <c r="H12" s="11"/>
      <c r="I12" s="23" t="s">
        <v>258</v>
      </c>
      <c r="J12" s="23" t="s">
        <v>243</v>
      </c>
      <c r="L12" s="40" t="s">
        <v>365</v>
      </c>
    </row>
    <row r="13" customHeight="1" spans="1:8">
      <c r="A13" s="10">
        <f t="shared" ref="A13:A19" si="0">ROW(A13)-10</f>
        <v>3</v>
      </c>
      <c r="B13" s="18" t="s">
        <v>242</v>
      </c>
      <c r="C13" s="170" t="s">
        <v>1590</v>
      </c>
      <c r="D13" s="179" t="s">
        <v>1590</v>
      </c>
      <c r="E13" s="170" t="s">
        <v>365</v>
      </c>
      <c r="F13" s="172"/>
      <c r="G13" s="170" t="s">
        <v>303</v>
      </c>
      <c r="H13" s="11"/>
    </row>
    <row r="14" customHeight="1" spans="1:8">
      <c r="A14" s="10">
        <f t="shared" si="0"/>
        <v>4</v>
      </c>
      <c r="B14" s="18" t="s">
        <v>242</v>
      </c>
      <c r="C14" s="102" t="s">
        <v>1814</v>
      </c>
      <c r="D14" s="113" t="s">
        <v>1814</v>
      </c>
      <c r="E14" s="102" t="s">
        <v>286</v>
      </c>
      <c r="F14" s="10" t="s">
        <v>1347</v>
      </c>
      <c r="G14" s="102" t="s">
        <v>282</v>
      </c>
      <c r="H14" s="10"/>
    </row>
    <row r="15" customHeight="1" spans="1:8">
      <c r="A15" s="10">
        <f t="shared" si="0"/>
        <v>5</v>
      </c>
      <c r="B15" s="18"/>
      <c r="C15" s="102" t="s">
        <v>1815</v>
      </c>
      <c r="D15" s="113" t="s">
        <v>1815</v>
      </c>
      <c r="E15" s="102" t="s">
        <v>288</v>
      </c>
      <c r="F15" s="10" t="s">
        <v>1347</v>
      </c>
      <c r="G15" s="102" t="s">
        <v>282</v>
      </c>
      <c r="H15" s="10"/>
    </row>
    <row r="16" customHeight="1" spans="1:8">
      <c r="A16" s="10">
        <f t="shared" si="0"/>
        <v>6</v>
      </c>
      <c r="B16" s="18" t="s">
        <v>242</v>
      </c>
      <c r="C16" s="102" t="s">
        <v>1656</v>
      </c>
      <c r="D16" s="113" t="s">
        <v>1656</v>
      </c>
      <c r="E16" s="102" t="s">
        <v>1816</v>
      </c>
      <c r="F16" s="10"/>
      <c r="G16" s="102" t="s">
        <v>303</v>
      </c>
      <c r="H16" s="10"/>
    </row>
    <row r="17" customHeight="1" spans="1:8">
      <c r="A17" s="10">
        <f t="shared" si="0"/>
        <v>7</v>
      </c>
      <c r="B17" s="18" t="s">
        <v>242</v>
      </c>
      <c r="C17" s="102" t="s">
        <v>1817</v>
      </c>
      <c r="D17" s="113" t="s">
        <v>1817</v>
      </c>
      <c r="E17" s="102" t="s">
        <v>1818</v>
      </c>
      <c r="F17" s="10"/>
      <c r="G17" s="102" t="s">
        <v>248</v>
      </c>
      <c r="H17" s="10"/>
    </row>
    <row r="18" customHeight="1" spans="1:12">
      <c r="A18" s="10">
        <f t="shared" si="0"/>
        <v>8</v>
      </c>
      <c r="B18" s="18" t="s">
        <v>242</v>
      </c>
      <c r="C18" s="170" t="s">
        <v>1435</v>
      </c>
      <c r="D18" s="179" t="s">
        <v>1435</v>
      </c>
      <c r="E18" s="170" t="s">
        <v>353</v>
      </c>
      <c r="F18" s="172"/>
      <c r="G18" s="170" t="s">
        <v>248</v>
      </c>
      <c r="H18" s="11"/>
      <c r="I18" s="23" t="s">
        <v>352</v>
      </c>
      <c r="J18" s="23" t="s">
        <v>353</v>
      </c>
      <c r="L18" s="40" t="s">
        <v>365</v>
      </c>
    </row>
    <row r="19" customHeight="1" spans="1:8">
      <c r="A19" s="10">
        <f t="shared" si="0"/>
        <v>9</v>
      </c>
      <c r="B19" s="18" t="s">
        <v>242</v>
      </c>
      <c r="C19" s="102" t="s">
        <v>1624</v>
      </c>
      <c r="D19" s="113" t="s">
        <v>1624</v>
      </c>
      <c r="E19" s="102" t="s">
        <v>1625</v>
      </c>
      <c r="F19" s="10" t="s">
        <v>1347</v>
      </c>
      <c r="G19" s="102" t="s">
        <v>282</v>
      </c>
      <c r="H19" s="10"/>
    </row>
    <row r="20" customHeight="1" spans="1:8">
      <c r="A20" s="10">
        <f t="shared" ref="A20:A23" si="1">ROW(A20)-10</f>
        <v>10</v>
      </c>
      <c r="B20" s="18"/>
      <c r="C20" s="170" t="s">
        <v>1819</v>
      </c>
      <c r="D20" s="179" t="s">
        <v>1819</v>
      </c>
      <c r="E20" s="170" t="s">
        <v>1820</v>
      </c>
      <c r="F20" s="172"/>
      <c r="G20" s="170" t="s">
        <v>248</v>
      </c>
      <c r="H20" s="11"/>
    </row>
    <row r="21" customHeight="1" spans="1:8">
      <c r="A21" s="10">
        <f t="shared" si="1"/>
        <v>11</v>
      </c>
      <c r="B21" s="18" t="s">
        <v>242</v>
      </c>
      <c r="C21" s="170" t="s">
        <v>1821</v>
      </c>
      <c r="D21" s="179" t="s">
        <v>1821</v>
      </c>
      <c r="E21" s="170" t="s">
        <v>1822</v>
      </c>
      <c r="F21" s="172"/>
      <c r="G21" s="102" t="s">
        <v>282</v>
      </c>
      <c r="H21" s="11"/>
    </row>
    <row r="22" customHeight="1" spans="1:8">
      <c r="A22" s="10">
        <f t="shared" si="1"/>
        <v>12</v>
      </c>
      <c r="B22" s="18" t="s">
        <v>242</v>
      </c>
      <c r="C22" s="102" t="s">
        <v>1823</v>
      </c>
      <c r="D22" s="113" t="s">
        <v>1823</v>
      </c>
      <c r="E22" s="102" t="s">
        <v>1638</v>
      </c>
      <c r="F22" s="10"/>
      <c r="G22" s="102" t="s">
        <v>273</v>
      </c>
      <c r="H22" s="10"/>
    </row>
    <row r="23" customHeight="1" spans="1:8">
      <c r="A23" s="10">
        <f t="shared" si="1"/>
        <v>13</v>
      </c>
      <c r="B23" s="18"/>
      <c r="C23" s="102" t="s">
        <v>1824</v>
      </c>
      <c r="D23" s="113" t="s">
        <v>1824</v>
      </c>
      <c r="E23" s="102" t="s">
        <v>1430</v>
      </c>
      <c r="F23" s="10"/>
      <c r="G23" s="102" t="s">
        <v>282</v>
      </c>
      <c r="H23"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zoomScale="85" zoomScaleNormal="85" workbookViewId="0">
      <selection activeCell="I14" sqref="$A1:$XFD104857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customHeight="1" spans="1:8">
      <c r="A1" s="1" t="s">
        <v>223</v>
      </c>
      <c r="B1" s="2" t="s">
        <v>113</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1825</v>
      </c>
      <c r="F4" s="11"/>
      <c r="G4" s="11"/>
      <c r="H4" s="11"/>
    </row>
    <row r="5" customHeight="1" spans="1:8">
      <c r="A5" s="10">
        <v>2</v>
      </c>
      <c r="B5" s="10" t="s">
        <v>228</v>
      </c>
      <c r="C5" s="10"/>
      <c r="D5" s="10"/>
      <c r="E5" s="11" t="s">
        <v>113</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170" t="s">
        <v>243</v>
      </c>
      <c r="D11" s="179" t="s">
        <v>243</v>
      </c>
      <c r="E11" s="170" t="s">
        <v>243</v>
      </c>
      <c r="F11" s="11" t="s">
        <v>244</v>
      </c>
      <c r="G11" s="170" t="s">
        <v>306</v>
      </c>
      <c r="H11" s="11"/>
    </row>
    <row r="12" customHeight="1" spans="1:12">
      <c r="A12" s="10">
        <f>ROW(A12)-10</f>
        <v>2</v>
      </c>
      <c r="B12" s="18" t="s">
        <v>242</v>
      </c>
      <c r="C12" s="170" t="s">
        <v>1448</v>
      </c>
      <c r="D12" s="179" t="s">
        <v>1449</v>
      </c>
      <c r="E12" s="170" t="s">
        <v>256</v>
      </c>
      <c r="F12" s="172"/>
      <c r="G12" s="170" t="s">
        <v>248</v>
      </c>
      <c r="H12" s="11"/>
      <c r="I12" s="23" t="s">
        <v>258</v>
      </c>
      <c r="J12" s="23" t="s">
        <v>243</v>
      </c>
      <c r="L12" s="40" t="s">
        <v>365</v>
      </c>
    </row>
    <row r="13" customHeight="1" spans="1:8">
      <c r="A13" s="10">
        <f t="shared" ref="A13:A17" si="0">ROW(A13)-10</f>
        <v>3</v>
      </c>
      <c r="B13" s="18" t="s">
        <v>242</v>
      </c>
      <c r="C13" s="170" t="s">
        <v>1699</v>
      </c>
      <c r="D13" s="179" t="s">
        <v>1699</v>
      </c>
      <c r="E13" s="170" t="s">
        <v>365</v>
      </c>
      <c r="F13" s="172"/>
      <c r="G13" s="170" t="s">
        <v>306</v>
      </c>
      <c r="H13" s="11"/>
    </row>
    <row r="14" customHeight="1" spans="1:12">
      <c r="A14" s="10">
        <f t="shared" si="0"/>
        <v>4</v>
      </c>
      <c r="B14" s="18" t="s">
        <v>242</v>
      </c>
      <c r="C14" s="170" t="s">
        <v>1714</v>
      </c>
      <c r="D14" s="179" t="s">
        <v>1714</v>
      </c>
      <c r="E14" s="170" t="s">
        <v>1826</v>
      </c>
      <c r="F14" s="172"/>
      <c r="G14" s="170"/>
      <c r="H14" s="11"/>
      <c r="I14" s="23" t="s">
        <v>1698</v>
      </c>
      <c r="J14" s="23" t="s">
        <v>243</v>
      </c>
      <c r="L14" s="40" t="s">
        <v>365</v>
      </c>
    </row>
    <row r="15" customHeight="1" spans="1:12">
      <c r="A15" s="10">
        <f t="shared" si="0"/>
        <v>5</v>
      </c>
      <c r="B15" s="18" t="s">
        <v>242</v>
      </c>
      <c r="C15" s="170" t="s">
        <v>1827</v>
      </c>
      <c r="D15" s="179" t="s">
        <v>1827</v>
      </c>
      <c r="E15" s="170" t="s">
        <v>1828</v>
      </c>
      <c r="F15" s="180" t="s">
        <v>1829</v>
      </c>
      <c r="G15" s="170"/>
      <c r="H15" s="11"/>
      <c r="I15" s="23" t="s">
        <v>264</v>
      </c>
      <c r="J15" s="23" t="s">
        <v>265</v>
      </c>
      <c r="K15" s="23" t="s">
        <v>1828</v>
      </c>
      <c r="L15" s="40" t="s">
        <v>365</v>
      </c>
    </row>
    <row r="16" customHeight="1" spans="1:12">
      <c r="A16" s="10">
        <f t="shared" si="0"/>
        <v>6</v>
      </c>
      <c r="B16" s="18" t="s">
        <v>242</v>
      </c>
      <c r="C16" s="170" t="s">
        <v>1830</v>
      </c>
      <c r="D16" s="179" t="s">
        <v>1830</v>
      </c>
      <c r="E16" s="170" t="s">
        <v>353</v>
      </c>
      <c r="F16" s="172"/>
      <c r="G16" s="170" t="s">
        <v>248</v>
      </c>
      <c r="H16" s="11"/>
      <c r="I16" s="23" t="s">
        <v>352</v>
      </c>
      <c r="J16" s="23" t="s">
        <v>353</v>
      </c>
      <c r="L16" s="23" t="s">
        <v>365</v>
      </c>
    </row>
    <row r="17" customHeight="1" spans="1:8">
      <c r="A17" s="10">
        <f t="shared" si="0"/>
        <v>7</v>
      </c>
      <c r="B17" s="18" t="s">
        <v>242</v>
      </c>
      <c r="C17" s="102" t="s">
        <v>1831</v>
      </c>
      <c r="D17" s="113" t="s">
        <v>1831</v>
      </c>
      <c r="E17" s="102" t="s">
        <v>1638</v>
      </c>
      <c r="F17" s="10"/>
      <c r="G17" s="102" t="s">
        <v>273</v>
      </c>
      <c r="H17" s="10"/>
    </row>
    <row r="18" customHeight="1" spans="1:8">
      <c r="A18" s="10">
        <f t="shared" ref="A18" si="1">ROW(A18)-10</f>
        <v>8</v>
      </c>
      <c r="B18" s="18"/>
      <c r="C18" s="102" t="s">
        <v>1824</v>
      </c>
      <c r="D18" s="113" t="s">
        <v>1824</v>
      </c>
      <c r="E18" s="102" t="s">
        <v>1430</v>
      </c>
      <c r="F18" s="10"/>
      <c r="G18" s="102"/>
      <c r="H18"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zoomScale="85" zoomScaleNormal="85" workbookViewId="0">
      <selection activeCell="A1" sqref="A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2.5" style="23" customWidth="1"/>
    <col min="7" max="7" width="21.1666666666667" style="23" customWidth="1"/>
    <col min="8" max="8" width="14.875" style="23" customWidth="1"/>
    <col min="9" max="9" width="20.3333333333333" style="23" customWidth="1"/>
    <col min="10" max="16384" width="10.8333333333333" style="23"/>
  </cols>
  <sheetData>
    <row r="1" customHeight="1" spans="1:8">
      <c r="A1" s="1" t="s">
        <v>223</v>
      </c>
      <c r="B1" s="2" t="s">
        <v>114</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1832</v>
      </c>
      <c r="F4" s="11"/>
      <c r="G4" s="11"/>
      <c r="H4" s="11"/>
    </row>
    <row r="5" customHeight="1" spans="1:8">
      <c r="A5" s="10">
        <v>2</v>
      </c>
      <c r="B5" s="10" t="s">
        <v>228</v>
      </c>
      <c r="C5" s="10"/>
      <c r="D5" s="10"/>
      <c r="E5" s="11" t="s">
        <v>114</v>
      </c>
      <c r="F5" s="11"/>
      <c r="G5" s="11"/>
      <c r="H5" s="11"/>
    </row>
    <row r="6" customHeight="1" spans="1:8">
      <c r="A6" s="10">
        <v>3</v>
      </c>
      <c r="B6" s="10" t="s">
        <v>229</v>
      </c>
      <c r="C6" s="10"/>
      <c r="D6" s="10"/>
      <c r="E6" s="11"/>
      <c r="F6" s="11"/>
      <c r="G6" s="11"/>
      <c r="H6" s="11"/>
    </row>
    <row r="7" customHeight="1" spans="1:8">
      <c r="A7" s="10">
        <v>4</v>
      </c>
      <c r="B7" s="10" t="s">
        <v>231</v>
      </c>
      <c r="C7" s="10"/>
      <c r="D7" s="10"/>
      <c r="E7" s="11" t="s">
        <v>1520</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236</v>
      </c>
      <c r="E10" s="17" t="s">
        <v>238</v>
      </c>
      <c r="F10" s="14" t="s">
        <v>239</v>
      </c>
      <c r="G10" s="14" t="s">
        <v>240</v>
      </c>
      <c r="H10" s="14" t="s">
        <v>241</v>
      </c>
    </row>
    <row r="11" customHeight="1" spans="1:8">
      <c r="A11" s="10">
        <v>1</v>
      </c>
      <c r="B11" s="18" t="s">
        <v>242</v>
      </c>
      <c r="C11" s="170" t="s">
        <v>243</v>
      </c>
      <c r="D11" s="179" t="s">
        <v>243</v>
      </c>
      <c r="E11" s="170" t="s">
        <v>243</v>
      </c>
      <c r="F11" s="11" t="s">
        <v>244</v>
      </c>
      <c r="G11" s="170" t="s">
        <v>248</v>
      </c>
      <c r="H11" s="11"/>
    </row>
    <row r="12" customHeight="1" spans="1:12">
      <c r="A12" s="10">
        <v>2</v>
      </c>
      <c r="B12" s="18" t="s">
        <v>242</v>
      </c>
      <c r="C12" s="170" t="s">
        <v>1833</v>
      </c>
      <c r="D12" s="179" t="s">
        <v>1833</v>
      </c>
      <c r="E12" s="170" t="s">
        <v>256</v>
      </c>
      <c r="F12" s="11"/>
      <c r="G12" s="170" t="s">
        <v>248</v>
      </c>
      <c r="H12" s="11"/>
      <c r="I12" s="23" t="s">
        <v>258</v>
      </c>
      <c r="J12" s="23" t="s">
        <v>243</v>
      </c>
      <c r="L12" s="40" t="s">
        <v>365</v>
      </c>
    </row>
    <row r="13" customHeight="1" spans="1:8">
      <c r="A13" s="10">
        <v>3</v>
      </c>
      <c r="B13" s="18" t="s">
        <v>242</v>
      </c>
      <c r="C13" s="102" t="s">
        <v>1834</v>
      </c>
      <c r="D13" s="113" t="s">
        <v>1834</v>
      </c>
      <c r="E13" s="102" t="s">
        <v>736</v>
      </c>
      <c r="F13" s="172" t="s">
        <v>1834</v>
      </c>
      <c r="G13" s="102" t="s">
        <v>273</v>
      </c>
      <c r="H13" s="97"/>
    </row>
    <row r="14" customHeight="1" spans="1:8">
      <c r="A14" s="10">
        <v>4</v>
      </c>
      <c r="B14" s="18" t="s">
        <v>242</v>
      </c>
      <c r="C14" s="102" t="s">
        <v>1835</v>
      </c>
      <c r="D14" s="113" t="s">
        <v>610</v>
      </c>
      <c r="E14" s="102" t="s">
        <v>629</v>
      </c>
      <c r="F14" s="172" t="s">
        <v>1836</v>
      </c>
      <c r="G14" s="102" t="s">
        <v>421</v>
      </c>
      <c r="H14"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opLeftCell="A20" workbookViewId="0">
      <selection activeCell="F17" sqref="F17"/>
    </sheetView>
  </sheetViews>
  <sheetFormatPr defaultColWidth="10.8333333333333" defaultRowHeight="35" customHeight="1"/>
  <cols>
    <col min="1" max="1" width="5.66666666666667" style="23" customWidth="1"/>
    <col min="2" max="2" width="5.83333333333333" style="23" customWidth="1"/>
    <col min="3" max="3" width="33.5" style="23" customWidth="1"/>
    <col min="4" max="4" width="20.5" style="23" customWidth="1"/>
    <col min="5" max="5" width="24.625"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s="23" customFormat="1" customHeight="1" spans="1:8">
      <c r="A1" s="1" t="s">
        <v>223</v>
      </c>
      <c r="B1" s="2" t="s">
        <v>1837</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1838</v>
      </c>
      <c r="F4" s="11"/>
      <c r="G4" s="11"/>
      <c r="H4" s="11"/>
    </row>
    <row r="5" s="23" customFormat="1" customHeight="1" spans="1:8">
      <c r="A5" s="10">
        <v>2</v>
      </c>
      <c r="B5" s="10" t="s">
        <v>228</v>
      </c>
      <c r="C5" s="10"/>
      <c r="D5" s="10"/>
      <c r="E5" s="11" t="s">
        <v>1837</v>
      </c>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1520</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7" t="s">
        <v>237</v>
      </c>
      <c r="E10" s="17" t="s">
        <v>238</v>
      </c>
      <c r="F10" s="14" t="s">
        <v>239</v>
      </c>
      <c r="G10" s="14" t="s">
        <v>240</v>
      </c>
      <c r="H10" s="14" t="s">
        <v>241</v>
      </c>
    </row>
    <row r="11" s="23" customFormat="1" customHeight="1" spans="1:8">
      <c r="A11" s="10">
        <f t="shared" ref="A11:A18" si="0">ROW(A11)-10</f>
        <v>1</v>
      </c>
      <c r="B11" s="18" t="s">
        <v>242</v>
      </c>
      <c r="C11" s="10" t="s">
        <v>243</v>
      </c>
      <c r="D11" s="10"/>
      <c r="E11" s="10" t="s">
        <v>243</v>
      </c>
      <c r="F11" s="10" t="s">
        <v>244</v>
      </c>
      <c r="G11" s="10" t="s">
        <v>303</v>
      </c>
      <c r="H11" s="10"/>
    </row>
    <row r="12" s="23" customFormat="1" customHeight="1" spans="1:12">
      <c r="A12" s="10">
        <f t="shared" si="0"/>
        <v>2</v>
      </c>
      <c r="B12" s="18"/>
      <c r="C12" s="10" t="s">
        <v>1839</v>
      </c>
      <c r="D12" s="10"/>
      <c r="E12" s="10" t="s">
        <v>365</v>
      </c>
      <c r="F12" s="10"/>
      <c r="G12" s="10" t="s">
        <v>303</v>
      </c>
      <c r="H12" s="10"/>
      <c r="I12" s="23"/>
      <c r="J12" s="23"/>
      <c r="L12" s="40"/>
    </row>
    <row r="13" s="23" customFormat="1" customHeight="1" spans="1:8">
      <c r="A13" s="10">
        <f t="shared" si="0"/>
        <v>3</v>
      </c>
      <c r="B13" s="18"/>
      <c r="C13" s="10" t="s">
        <v>1449</v>
      </c>
      <c r="D13" s="10"/>
      <c r="E13" s="10" t="s">
        <v>256</v>
      </c>
      <c r="F13" s="10"/>
      <c r="G13" s="10" t="s">
        <v>303</v>
      </c>
      <c r="H13" s="10"/>
    </row>
    <row r="14" s="23" customFormat="1" customHeight="1" spans="1:12">
      <c r="A14" s="10">
        <f t="shared" si="0"/>
        <v>4</v>
      </c>
      <c r="B14" s="18"/>
      <c r="C14" s="10" t="s">
        <v>1840</v>
      </c>
      <c r="D14" s="10"/>
      <c r="E14" s="10" t="s">
        <v>1841</v>
      </c>
      <c r="F14" s="10"/>
      <c r="G14" s="10" t="s">
        <v>303</v>
      </c>
      <c r="H14" s="10"/>
      <c r="I14" s="23"/>
      <c r="J14" s="23"/>
      <c r="L14" s="40"/>
    </row>
    <row r="15" s="23" customFormat="1" customHeight="1" spans="1:12">
      <c r="A15" s="10">
        <f t="shared" si="0"/>
        <v>5</v>
      </c>
      <c r="B15" s="18"/>
      <c r="C15" s="10" t="s">
        <v>1842</v>
      </c>
      <c r="D15" s="10"/>
      <c r="E15" s="10" t="s">
        <v>1843</v>
      </c>
      <c r="F15" s="10"/>
      <c r="G15" s="10" t="s">
        <v>248</v>
      </c>
      <c r="H15" s="10"/>
      <c r="I15" s="23"/>
      <c r="J15" s="23"/>
      <c r="K15" s="23"/>
      <c r="L15" s="40"/>
    </row>
    <row r="16" s="23" customFormat="1" customHeight="1" spans="1:8">
      <c r="A16" s="10">
        <f t="shared" si="0"/>
        <v>6</v>
      </c>
      <c r="B16" s="18"/>
      <c r="C16" s="10" t="s">
        <v>1844</v>
      </c>
      <c r="D16" s="10"/>
      <c r="E16" s="10" t="s">
        <v>299</v>
      </c>
      <c r="F16" s="10"/>
      <c r="G16" s="10" t="s">
        <v>282</v>
      </c>
      <c r="H16" s="10"/>
    </row>
    <row r="17" s="23" customFormat="1" customHeight="1" spans="1:8">
      <c r="A17" s="10">
        <f t="shared" si="0"/>
        <v>7</v>
      </c>
      <c r="B17" s="18"/>
      <c r="C17" s="10" t="s">
        <v>1845</v>
      </c>
      <c r="D17" s="10"/>
      <c r="E17" s="10" t="s">
        <v>1846</v>
      </c>
      <c r="F17" s="10"/>
      <c r="G17" s="10" t="s">
        <v>248</v>
      </c>
      <c r="H17" s="10"/>
    </row>
    <row r="18" s="23" customFormat="1" customHeight="1" spans="1:8">
      <c r="A18" s="10">
        <f t="shared" si="0"/>
        <v>8</v>
      </c>
      <c r="B18" s="18"/>
      <c r="C18" s="10" t="s">
        <v>1847</v>
      </c>
      <c r="D18" s="10"/>
      <c r="E18" s="10" t="s">
        <v>1848</v>
      </c>
      <c r="F18" s="10"/>
      <c r="G18" s="10" t="s">
        <v>1849</v>
      </c>
      <c r="H18" s="10"/>
    </row>
    <row r="19" customHeight="1" spans="1:8">
      <c r="A19" s="10">
        <f t="shared" ref="A19:A32" si="1">ROW(A19)-10</f>
        <v>9</v>
      </c>
      <c r="B19" s="10"/>
      <c r="C19" s="10" t="s">
        <v>1850</v>
      </c>
      <c r="D19" s="10"/>
      <c r="E19" s="10" t="s">
        <v>1851</v>
      </c>
      <c r="F19" s="10"/>
      <c r="G19" s="10" t="s">
        <v>1849</v>
      </c>
      <c r="H19" s="10"/>
    </row>
    <row r="20" customHeight="1" spans="1:8">
      <c r="A20" s="10">
        <f t="shared" si="1"/>
        <v>10</v>
      </c>
      <c r="B20" s="10"/>
      <c r="C20" s="10" t="s">
        <v>1852</v>
      </c>
      <c r="D20" s="10"/>
      <c r="E20" s="10" t="s">
        <v>1853</v>
      </c>
      <c r="F20" s="10"/>
      <c r="G20" s="10" t="s">
        <v>1849</v>
      </c>
      <c r="H20" s="10"/>
    </row>
    <row r="21" customHeight="1" spans="1:8">
      <c r="A21" s="10">
        <f t="shared" si="1"/>
        <v>11</v>
      </c>
      <c r="B21" s="10"/>
      <c r="C21" s="10" t="s">
        <v>1854</v>
      </c>
      <c r="D21" s="10"/>
      <c r="E21" s="10" t="s">
        <v>1855</v>
      </c>
      <c r="F21" s="10"/>
      <c r="G21" s="10" t="s">
        <v>1849</v>
      </c>
      <c r="H21" s="10"/>
    </row>
    <row r="22" customHeight="1" spans="1:8">
      <c r="A22" s="10">
        <f t="shared" si="1"/>
        <v>12</v>
      </c>
      <c r="B22" s="10"/>
      <c r="C22" s="10" t="s">
        <v>1856</v>
      </c>
      <c r="D22" s="10"/>
      <c r="E22" s="10" t="s">
        <v>1857</v>
      </c>
      <c r="F22" s="10"/>
      <c r="G22" s="10" t="s">
        <v>1849</v>
      </c>
      <c r="H22" s="10"/>
    </row>
    <row r="23" customHeight="1" spans="1:8">
      <c r="A23" s="10">
        <f t="shared" si="1"/>
        <v>13</v>
      </c>
      <c r="B23" s="10"/>
      <c r="C23" s="10" t="s">
        <v>1858</v>
      </c>
      <c r="D23" s="10"/>
      <c r="E23" s="10" t="s">
        <v>1859</v>
      </c>
      <c r="F23" s="10"/>
      <c r="G23" s="10" t="s">
        <v>282</v>
      </c>
      <c r="H23" s="10"/>
    </row>
    <row r="24" customHeight="1" spans="1:8">
      <c r="A24" s="10">
        <f t="shared" si="1"/>
        <v>14</v>
      </c>
      <c r="B24" s="10"/>
      <c r="C24" s="10" t="s">
        <v>1860</v>
      </c>
      <c r="D24" s="10"/>
      <c r="E24" s="10" t="s">
        <v>1861</v>
      </c>
      <c r="F24" s="10"/>
      <c r="G24" s="10" t="s">
        <v>282</v>
      </c>
      <c r="H24" s="10"/>
    </row>
    <row r="25" customHeight="1" spans="1:8">
      <c r="A25" s="10">
        <f t="shared" si="1"/>
        <v>15</v>
      </c>
      <c r="B25" s="10"/>
      <c r="C25" s="10" t="s">
        <v>1862</v>
      </c>
      <c r="D25" s="10"/>
      <c r="E25" s="10" t="s">
        <v>1863</v>
      </c>
      <c r="F25" s="10"/>
      <c r="G25" s="10" t="s">
        <v>1849</v>
      </c>
      <c r="H25" s="10"/>
    </row>
    <row r="26" customHeight="1" spans="1:8">
      <c r="A26" s="10">
        <f t="shared" si="1"/>
        <v>16</v>
      </c>
      <c r="B26" s="10"/>
      <c r="C26" s="10" t="s">
        <v>1864</v>
      </c>
      <c r="D26" s="10"/>
      <c r="E26" s="10" t="s">
        <v>1865</v>
      </c>
      <c r="F26" s="10"/>
      <c r="G26" s="10" t="s">
        <v>282</v>
      </c>
      <c r="H26" s="10"/>
    </row>
    <row r="27" customHeight="1" spans="1:8">
      <c r="A27" s="10">
        <f t="shared" si="1"/>
        <v>17</v>
      </c>
      <c r="B27" s="10"/>
      <c r="C27" s="10" t="s">
        <v>1866</v>
      </c>
      <c r="D27" s="10"/>
      <c r="E27" s="10" t="s">
        <v>1867</v>
      </c>
      <c r="F27" s="10"/>
      <c r="G27" s="10" t="s">
        <v>1552</v>
      </c>
      <c r="H27" s="10"/>
    </row>
    <row r="28" customHeight="1" spans="1:8">
      <c r="A28" s="10">
        <f t="shared" si="1"/>
        <v>18</v>
      </c>
      <c r="B28" s="10"/>
      <c r="C28" s="10" t="s">
        <v>1868</v>
      </c>
      <c r="D28" s="10"/>
      <c r="E28" s="10" t="s">
        <v>555</v>
      </c>
      <c r="F28" s="10"/>
      <c r="G28" s="10" t="s">
        <v>1352</v>
      </c>
      <c r="H28" s="10"/>
    </row>
    <row r="29" customHeight="1" spans="1:8">
      <c r="A29" s="10">
        <f t="shared" si="1"/>
        <v>19</v>
      </c>
      <c r="B29" s="10"/>
      <c r="C29" s="10" t="s">
        <v>1869</v>
      </c>
      <c r="D29" s="10"/>
      <c r="E29" s="10" t="s">
        <v>1870</v>
      </c>
      <c r="F29" s="10"/>
      <c r="G29" s="10" t="s">
        <v>320</v>
      </c>
      <c r="H29" s="10"/>
    </row>
    <row r="30" customHeight="1" spans="1:8">
      <c r="A30" s="10">
        <f t="shared" si="1"/>
        <v>20</v>
      </c>
      <c r="B30" s="10"/>
      <c r="C30" s="10" t="s">
        <v>1871</v>
      </c>
      <c r="D30" s="10"/>
      <c r="E30" s="10" t="s">
        <v>1872</v>
      </c>
      <c r="F30" s="10"/>
      <c r="G30" s="10" t="s">
        <v>1352</v>
      </c>
      <c r="H30" s="10"/>
    </row>
    <row r="31" customHeight="1" spans="1:8">
      <c r="A31" s="10">
        <f t="shared" si="1"/>
        <v>21</v>
      </c>
      <c r="B31" s="10"/>
      <c r="C31" s="10" t="s">
        <v>1873</v>
      </c>
      <c r="D31" s="10"/>
      <c r="E31" s="10" t="s">
        <v>1874</v>
      </c>
      <c r="F31" s="10"/>
      <c r="G31" s="10" t="s">
        <v>472</v>
      </c>
      <c r="H31" s="10"/>
    </row>
    <row r="32" customHeight="1" spans="1:8">
      <c r="A32" s="10">
        <f t="shared" si="1"/>
        <v>22</v>
      </c>
      <c r="B32" s="10"/>
      <c r="C32" s="10" t="s">
        <v>1875</v>
      </c>
      <c r="D32" s="10"/>
      <c r="E32" s="10" t="s">
        <v>1876</v>
      </c>
      <c r="F32" s="10"/>
      <c r="G32" s="10" t="s">
        <v>263</v>
      </c>
      <c r="H32"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18" workbookViewId="0">
      <selection activeCell="F22" sqref="F2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0.25"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s="23" customFormat="1" customHeight="1" spans="1:8">
      <c r="A1" s="1" t="s">
        <v>223</v>
      </c>
      <c r="B1" s="2" t="s">
        <v>1877</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1878</v>
      </c>
      <c r="F4" s="11"/>
      <c r="G4" s="11"/>
      <c r="H4" s="11"/>
    </row>
    <row r="5" s="23" customFormat="1" customHeight="1" spans="1:8">
      <c r="A5" s="10">
        <v>2</v>
      </c>
      <c r="B5" s="10" t="s">
        <v>228</v>
      </c>
      <c r="C5" s="10"/>
      <c r="D5" s="10"/>
      <c r="E5" s="11" t="s">
        <v>1877</v>
      </c>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1520</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6" t="s">
        <v>237</v>
      </c>
      <c r="E10" s="17" t="s">
        <v>238</v>
      </c>
      <c r="F10" s="14" t="s">
        <v>239</v>
      </c>
      <c r="G10" s="14" t="s">
        <v>240</v>
      </c>
      <c r="H10" s="14" t="s">
        <v>241</v>
      </c>
    </row>
    <row r="11" s="23" customFormat="1" customHeight="1" spans="1:8">
      <c r="A11" s="10">
        <f t="shared" ref="A11:A18" si="0">ROW(A11)-10</f>
        <v>1</v>
      </c>
      <c r="B11" s="162" t="s">
        <v>242</v>
      </c>
      <c r="C11" s="10" t="s">
        <v>1879</v>
      </c>
      <c r="D11" s="10" t="s">
        <v>1879</v>
      </c>
      <c r="E11" s="10" t="s">
        <v>243</v>
      </c>
      <c r="F11" s="10" t="s">
        <v>244</v>
      </c>
      <c r="G11" s="10" t="s">
        <v>248</v>
      </c>
      <c r="H11" s="10"/>
    </row>
    <row r="12" s="23" customFormat="1" customHeight="1" spans="1:12">
      <c r="A12" s="10">
        <f t="shared" si="0"/>
        <v>2</v>
      </c>
      <c r="B12" s="162"/>
      <c r="C12" s="10" t="s">
        <v>1880</v>
      </c>
      <c r="D12" s="10" t="s">
        <v>1880</v>
      </c>
      <c r="E12" s="10" t="s">
        <v>365</v>
      </c>
      <c r="F12" s="10"/>
      <c r="G12" s="10" t="s">
        <v>303</v>
      </c>
      <c r="H12" s="10"/>
      <c r="L12" s="40"/>
    </row>
    <row r="13" s="23" customFormat="1" customHeight="1" spans="1:8">
      <c r="A13" s="10">
        <f t="shared" si="0"/>
        <v>3</v>
      </c>
      <c r="B13" s="162"/>
      <c r="C13" s="10" t="s">
        <v>1881</v>
      </c>
      <c r="D13" s="10" t="s">
        <v>1881</v>
      </c>
      <c r="E13" s="10" t="s">
        <v>1882</v>
      </c>
      <c r="F13" s="10"/>
      <c r="G13" s="10" t="s">
        <v>303</v>
      </c>
      <c r="H13" s="10"/>
    </row>
    <row r="14" s="23" customFormat="1" customHeight="1" spans="1:12">
      <c r="A14" s="10">
        <f t="shared" si="0"/>
        <v>4</v>
      </c>
      <c r="B14" s="162"/>
      <c r="C14" s="10" t="s">
        <v>1883</v>
      </c>
      <c r="D14" s="10" t="s">
        <v>1883</v>
      </c>
      <c r="E14" s="10" t="s">
        <v>1884</v>
      </c>
      <c r="F14" s="10"/>
      <c r="G14" s="10" t="s">
        <v>303</v>
      </c>
      <c r="H14" s="10"/>
      <c r="L14" s="40"/>
    </row>
    <row r="15" s="23" customFormat="1" customHeight="1" spans="1:12">
      <c r="A15" s="10">
        <f t="shared" si="0"/>
        <v>5</v>
      </c>
      <c r="B15" s="162"/>
      <c r="C15" s="10" t="s">
        <v>1885</v>
      </c>
      <c r="D15" s="10" t="s">
        <v>1885</v>
      </c>
      <c r="E15" s="10" t="s">
        <v>1434</v>
      </c>
      <c r="F15" s="10"/>
      <c r="G15" s="10" t="s">
        <v>248</v>
      </c>
      <c r="H15" s="10"/>
      <c r="L15" s="40"/>
    </row>
    <row r="16" s="23" customFormat="1" customHeight="1" spans="1:8">
      <c r="A16" s="10">
        <f t="shared" si="0"/>
        <v>6</v>
      </c>
      <c r="B16" s="162"/>
      <c r="C16" s="10" t="s">
        <v>1886</v>
      </c>
      <c r="D16" s="10" t="s">
        <v>1886</v>
      </c>
      <c r="E16" s="10" t="s">
        <v>1436</v>
      </c>
      <c r="F16" s="10"/>
      <c r="G16" s="10" t="s">
        <v>248</v>
      </c>
      <c r="H16" s="10"/>
    </row>
    <row r="17" s="23" customFormat="1" customHeight="1" spans="1:8">
      <c r="A17" s="10">
        <f t="shared" si="0"/>
        <v>7</v>
      </c>
      <c r="B17" s="162"/>
      <c r="C17" s="10" t="s">
        <v>1887</v>
      </c>
      <c r="D17" s="10" t="s">
        <v>1887</v>
      </c>
      <c r="E17" s="10" t="s">
        <v>412</v>
      </c>
      <c r="F17" s="10"/>
      <c r="G17" s="10" t="s">
        <v>248</v>
      </c>
      <c r="H17" s="10"/>
    </row>
    <row r="18" s="23" customFormat="1" customHeight="1" spans="1:8">
      <c r="A18" s="10">
        <f t="shared" si="0"/>
        <v>8</v>
      </c>
      <c r="B18" s="10"/>
      <c r="C18" s="10" t="s">
        <v>1888</v>
      </c>
      <c r="D18" s="10" t="s">
        <v>1888</v>
      </c>
      <c r="E18" s="10" t="s">
        <v>1889</v>
      </c>
      <c r="F18" s="10"/>
      <c r="G18" s="10" t="s">
        <v>248</v>
      </c>
      <c r="H18" s="10"/>
    </row>
    <row r="19" customHeight="1" spans="1:8">
      <c r="A19" s="10">
        <f t="shared" ref="A19:A29" si="1">ROW(A19)-10</f>
        <v>9</v>
      </c>
      <c r="B19" s="10"/>
      <c r="C19" s="10" t="s">
        <v>1890</v>
      </c>
      <c r="D19" s="10" t="s">
        <v>1890</v>
      </c>
      <c r="E19" s="10" t="s">
        <v>1891</v>
      </c>
      <c r="F19" s="10"/>
      <c r="G19" s="10" t="s">
        <v>282</v>
      </c>
      <c r="H19" s="10"/>
    </row>
    <row r="20" customHeight="1" spans="1:8">
      <c r="A20" s="10">
        <f t="shared" si="1"/>
        <v>10</v>
      </c>
      <c r="B20" s="10"/>
      <c r="C20" s="10" t="s">
        <v>1892</v>
      </c>
      <c r="D20" s="10" t="s">
        <v>1892</v>
      </c>
      <c r="E20" s="10" t="s">
        <v>1893</v>
      </c>
      <c r="F20" s="10"/>
      <c r="G20" s="10" t="s">
        <v>303</v>
      </c>
      <c r="H20" s="10"/>
    </row>
    <row r="21" customHeight="1" spans="1:8">
      <c r="A21" s="10">
        <f t="shared" si="1"/>
        <v>11</v>
      </c>
      <c r="B21" s="10"/>
      <c r="C21" s="10" t="s">
        <v>1894</v>
      </c>
      <c r="D21" s="10" t="s">
        <v>1894</v>
      </c>
      <c r="E21" s="10" t="s">
        <v>1895</v>
      </c>
      <c r="F21" s="10"/>
      <c r="G21" s="10" t="s">
        <v>248</v>
      </c>
      <c r="H21" s="10"/>
    </row>
    <row r="22" customHeight="1" spans="1:8">
      <c r="A22" s="10">
        <f t="shared" si="1"/>
        <v>12</v>
      </c>
      <c r="B22" s="10"/>
      <c r="C22" s="10" t="s">
        <v>1896</v>
      </c>
      <c r="D22" s="10" t="s">
        <v>1896</v>
      </c>
      <c r="E22" s="10" t="s">
        <v>1897</v>
      </c>
      <c r="F22" s="10"/>
      <c r="G22" s="10" t="s">
        <v>248</v>
      </c>
      <c r="H22" s="10"/>
    </row>
    <row r="23" customHeight="1" spans="1:8">
      <c r="A23" s="10">
        <f t="shared" si="1"/>
        <v>13</v>
      </c>
      <c r="B23" s="10"/>
      <c r="C23" s="10" t="s">
        <v>1898</v>
      </c>
      <c r="D23" s="10" t="s">
        <v>1898</v>
      </c>
      <c r="E23" s="10" t="s">
        <v>1899</v>
      </c>
      <c r="F23" s="10"/>
      <c r="G23" s="10" t="s">
        <v>248</v>
      </c>
      <c r="H23" s="10"/>
    </row>
    <row r="24" customHeight="1" spans="1:8">
      <c r="A24" s="10">
        <f t="shared" si="1"/>
        <v>14</v>
      </c>
      <c r="B24" s="10"/>
      <c r="C24" s="10" t="s">
        <v>1900</v>
      </c>
      <c r="D24" s="10" t="s">
        <v>1900</v>
      </c>
      <c r="E24" s="10" t="s">
        <v>1901</v>
      </c>
      <c r="F24" s="10"/>
      <c r="G24" s="10" t="s">
        <v>245</v>
      </c>
      <c r="H24" s="10"/>
    </row>
    <row r="25" customHeight="1" spans="1:8">
      <c r="A25" s="10">
        <f t="shared" si="1"/>
        <v>15</v>
      </c>
      <c r="B25" s="10"/>
      <c r="C25" s="10" t="s">
        <v>1902</v>
      </c>
      <c r="D25" s="10" t="s">
        <v>1902</v>
      </c>
      <c r="E25" s="10" t="s">
        <v>1903</v>
      </c>
      <c r="F25" s="10"/>
      <c r="G25" s="10" t="s">
        <v>359</v>
      </c>
      <c r="H25" s="10"/>
    </row>
    <row r="26" customHeight="1" spans="1:8">
      <c r="A26" s="10">
        <f t="shared" si="1"/>
        <v>16</v>
      </c>
      <c r="B26" s="10"/>
      <c r="C26" s="10" t="s">
        <v>1904</v>
      </c>
      <c r="D26" s="10" t="s">
        <v>1904</v>
      </c>
      <c r="E26" s="10" t="s">
        <v>1905</v>
      </c>
      <c r="F26" s="10"/>
      <c r="G26" s="10" t="s">
        <v>303</v>
      </c>
      <c r="H26" s="10"/>
    </row>
    <row r="27" customHeight="1" spans="1:8">
      <c r="A27" s="10">
        <f t="shared" si="1"/>
        <v>17</v>
      </c>
      <c r="B27" s="10"/>
      <c r="C27" s="10" t="s">
        <v>1906</v>
      </c>
      <c r="D27" s="10" t="s">
        <v>1906</v>
      </c>
      <c r="E27" s="10" t="s">
        <v>1907</v>
      </c>
      <c r="F27" s="10"/>
      <c r="G27" s="10" t="s">
        <v>245</v>
      </c>
      <c r="H27" s="10"/>
    </row>
    <row r="28" customHeight="1" spans="1:8">
      <c r="A28" s="10">
        <f t="shared" si="1"/>
        <v>18</v>
      </c>
      <c r="B28" s="10"/>
      <c r="C28" s="10" t="s">
        <v>1908</v>
      </c>
      <c r="D28" s="10" t="s">
        <v>1908</v>
      </c>
      <c r="E28" s="10" t="s">
        <v>1909</v>
      </c>
      <c r="F28" s="10"/>
      <c r="G28" s="10" t="s">
        <v>245</v>
      </c>
      <c r="H28" s="10"/>
    </row>
    <row r="29" customHeight="1" spans="1:8">
      <c r="A29" s="10">
        <f t="shared" si="1"/>
        <v>19</v>
      </c>
      <c r="B29" s="10"/>
      <c r="C29" s="10" t="s">
        <v>569</v>
      </c>
      <c r="D29" s="10" t="s">
        <v>569</v>
      </c>
      <c r="E29" s="10" t="s">
        <v>570</v>
      </c>
      <c r="F29" s="10"/>
      <c r="G29" s="10" t="s">
        <v>1910</v>
      </c>
      <c r="H2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A6" workbookViewId="0">
      <selection activeCell="A20" sqref="$A20:$XFD5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5.125"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s="23" customFormat="1" customHeight="1" spans="1:8">
      <c r="A1" s="1" t="s">
        <v>223</v>
      </c>
      <c r="B1" s="2" t="s">
        <v>1911</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1912</v>
      </c>
      <c r="F4" s="11"/>
      <c r="G4" s="11"/>
      <c r="H4" s="11"/>
    </row>
    <row r="5" s="23" customFormat="1" customHeight="1" spans="1:8">
      <c r="A5" s="10">
        <v>2</v>
      </c>
      <c r="B5" s="10" t="s">
        <v>228</v>
      </c>
      <c r="C5" s="10"/>
      <c r="D5" s="10"/>
      <c r="E5" s="11" t="s">
        <v>1911</v>
      </c>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1520</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6" t="s">
        <v>237</v>
      </c>
      <c r="E10" s="17" t="s">
        <v>238</v>
      </c>
      <c r="F10" s="14" t="s">
        <v>239</v>
      </c>
      <c r="G10" s="14" t="s">
        <v>240</v>
      </c>
      <c r="H10" s="14" t="s">
        <v>241</v>
      </c>
    </row>
    <row r="11" s="23" customFormat="1" customHeight="1" spans="1:8">
      <c r="A11" s="10">
        <f t="shared" ref="A11:A19" si="0">ROW(A11)-10</f>
        <v>1</v>
      </c>
      <c r="B11" s="162" t="s">
        <v>242</v>
      </c>
      <c r="C11" s="10" t="s">
        <v>243</v>
      </c>
      <c r="D11" s="10" t="s">
        <v>243</v>
      </c>
      <c r="E11" s="10" t="s">
        <v>243</v>
      </c>
      <c r="F11" s="10" t="s">
        <v>244</v>
      </c>
      <c r="G11" s="10" t="s">
        <v>306</v>
      </c>
      <c r="H11" s="10"/>
    </row>
    <row r="12" s="23" customFormat="1" customHeight="1" spans="1:12">
      <c r="A12" s="10">
        <f t="shared" si="0"/>
        <v>2</v>
      </c>
      <c r="B12" s="10"/>
      <c r="C12" s="10" t="s">
        <v>1913</v>
      </c>
      <c r="D12" s="10" t="s">
        <v>1913</v>
      </c>
      <c r="E12" s="10" t="s">
        <v>1914</v>
      </c>
      <c r="F12" s="10"/>
      <c r="G12" s="10" t="s">
        <v>306</v>
      </c>
      <c r="H12" s="10"/>
      <c r="L12" s="40"/>
    </row>
    <row r="13" s="23" customFormat="1" customHeight="1" spans="1:8">
      <c r="A13" s="10">
        <f t="shared" si="0"/>
        <v>3</v>
      </c>
      <c r="B13" s="10"/>
      <c r="C13" s="10" t="s">
        <v>1558</v>
      </c>
      <c r="D13" s="10" t="s">
        <v>1558</v>
      </c>
      <c r="E13" s="10" t="s">
        <v>1443</v>
      </c>
      <c r="F13" s="10"/>
      <c r="G13" s="10" t="s">
        <v>263</v>
      </c>
      <c r="H13" s="10"/>
    </row>
    <row r="14" s="23" customFormat="1" customHeight="1" spans="1:12">
      <c r="A14" s="10">
        <f t="shared" si="0"/>
        <v>4</v>
      </c>
      <c r="B14" s="10"/>
      <c r="C14" s="10" t="s">
        <v>1259</v>
      </c>
      <c r="D14" s="10" t="s">
        <v>1259</v>
      </c>
      <c r="E14" s="10" t="s">
        <v>256</v>
      </c>
      <c r="F14" s="10"/>
      <c r="G14" s="10" t="s">
        <v>248</v>
      </c>
      <c r="H14" s="10"/>
      <c r="L14" s="40"/>
    </row>
    <row r="15" s="23" customFormat="1" customHeight="1" spans="1:12">
      <c r="A15" s="10">
        <f t="shared" si="0"/>
        <v>5</v>
      </c>
      <c r="B15" s="10"/>
      <c r="C15" s="10" t="s">
        <v>1441</v>
      </c>
      <c r="D15" s="10" t="s">
        <v>1441</v>
      </c>
      <c r="E15" s="10" t="s">
        <v>353</v>
      </c>
      <c r="F15" s="10"/>
      <c r="G15" s="10" t="s">
        <v>248</v>
      </c>
      <c r="H15" s="10"/>
      <c r="L15" s="40"/>
    </row>
    <row r="16" s="23" customFormat="1" customHeight="1" spans="1:8">
      <c r="A16" s="10">
        <f t="shared" si="0"/>
        <v>6</v>
      </c>
      <c r="B16" s="10"/>
      <c r="C16" s="10" t="s">
        <v>1667</v>
      </c>
      <c r="D16" s="10" t="s">
        <v>1667</v>
      </c>
      <c r="E16" s="10" t="s">
        <v>365</v>
      </c>
      <c r="F16" s="10"/>
      <c r="G16" s="10" t="s">
        <v>306</v>
      </c>
      <c r="H16" s="10"/>
    </row>
    <row r="17" s="23" customFormat="1" customHeight="1" spans="1:8">
      <c r="A17" s="10">
        <f t="shared" si="0"/>
        <v>7</v>
      </c>
      <c r="B17" s="10"/>
      <c r="C17" s="10" t="s">
        <v>1668</v>
      </c>
      <c r="D17" s="10" t="s">
        <v>1668</v>
      </c>
      <c r="E17" s="10" t="s">
        <v>247</v>
      </c>
      <c r="F17" s="10"/>
      <c r="G17" s="10" t="s">
        <v>248</v>
      </c>
      <c r="H17" s="10"/>
    </row>
    <row r="18" s="23" customFormat="1" customHeight="1" spans="1:8">
      <c r="A18" s="10">
        <f t="shared" si="0"/>
        <v>8</v>
      </c>
      <c r="B18" s="10"/>
      <c r="C18" s="10" t="s">
        <v>1503</v>
      </c>
      <c r="D18" s="10" t="s">
        <v>1503</v>
      </c>
      <c r="E18" s="10" t="s">
        <v>560</v>
      </c>
      <c r="F18" s="10"/>
      <c r="G18" s="10" t="s">
        <v>421</v>
      </c>
      <c r="H18" s="10"/>
    </row>
    <row r="19" customHeight="1" spans="1:8">
      <c r="A19" s="10">
        <f t="shared" si="0"/>
        <v>9</v>
      </c>
      <c r="B19" s="10"/>
      <c r="C19" s="10" t="s">
        <v>1549</v>
      </c>
      <c r="D19" s="10" t="s">
        <v>1549</v>
      </c>
      <c r="E19" s="10" t="s">
        <v>736</v>
      </c>
      <c r="F19" s="10"/>
      <c r="G19" s="10" t="s">
        <v>273</v>
      </c>
      <c r="H19"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topLeftCell="A4" workbookViewId="0">
      <selection activeCell="E8" sqref="E8:H8"/>
    </sheetView>
  </sheetViews>
  <sheetFormatPr defaultColWidth="10.8333333333333" defaultRowHeight="35" customHeight="1"/>
  <cols>
    <col min="1" max="1" width="5.66666666666667" style="23" customWidth="1"/>
    <col min="2" max="2" width="5.83333333333333" style="23" customWidth="1"/>
    <col min="3" max="3" width="31.125" style="23" customWidth="1"/>
    <col min="4" max="4" width="27.5" style="23" customWidth="1"/>
    <col min="5" max="5" width="20.8333333333333"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s="23" customFormat="1" customHeight="1" spans="1:8">
      <c r="A1" s="1" t="s">
        <v>223</v>
      </c>
      <c r="B1" s="2" t="s">
        <v>1915</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1916</v>
      </c>
      <c r="F4" s="11"/>
      <c r="G4" s="11"/>
      <c r="H4" s="11"/>
    </row>
    <row r="5" s="23" customFormat="1" customHeight="1" spans="1:8">
      <c r="A5" s="10">
        <v>2</v>
      </c>
      <c r="B5" s="10" t="s">
        <v>228</v>
      </c>
      <c r="C5" s="10"/>
      <c r="D5" s="10"/>
      <c r="E5" s="11" t="s">
        <v>1915</v>
      </c>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1520</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6" t="s">
        <v>237</v>
      </c>
      <c r="E10" s="17" t="s">
        <v>238</v>
      </c>
      <c r="F10" s="14" t="s">
        <v>239</v>
      </c>
      <c r="G10" s="14" t="s">
        <v>240</v>
      </c>
      <c r="H10" s="14" t="s">
        <v>241</v>
      </c>
    </row>
    <row r="11" s="23" customFormat="1" customHeight="1" spans="1:8">
      <c r="A11" s="10">
        <f t="shared" ref="A11:A16" si="0">ROW(A11)-10</f>
        <v>1</v>
      </c>
      <c r="B11" s="18" t="s">
        <v>242</v>
      </c>
      <c r="C11" s="10" t="s">
        <v>1879</v>
      </c>
      <c r="D11" s="10" t="s">
        <v>1879</v>
      </c>
      <c r="E11" s="10" t="s">
        <v>243</v>
      </c>
      <c r="F11" s="10" t="s">
        <v>244</v>
      </c>
      <c r="G11" s="10" t="s">
        <v>303</v>
      </c>
      <c r="H11" s="10"/>
    </row>
    <row r="12" s="23" customFormat="1" customHeight="1" spans="1:12">
      <c r="A12" s="10">
        <f t="shared" si="0"/>
        <v>2</v>
      </c>
      <c r="B12" s="18"/>
      <c r="C12" s="10" t="s">
        <v>1590</v>
      </c>
      <c r="D12" s="10" t="s">
        <v>1590</v>
      </c>
      <c r="E12" s="10" t="s">
        <v>365</v>
      </c>
      <c r="F12" s="10"/>
      <c r="G12" s="10" t="s">
        <v>303</v>
      </c>
      <c r="H12" s="10"/>
      <c r="L12" s="40"/>
    </row>
    <row r="13" s="23" customFormat="1" customHeight="1" spans="1:8">
      <c r="A13" s="10">
        <f t="shared" si="0"/>
        <v>3</v>
      </c>
      <c r="B13" s="18"/>
      <c r="C13" s="10" t="s">
        <v>1917</v>
      </c>
      <c r="D13" s="10" t="s">
        <v>1917</v>
      </c>
      <c r="E13" s="10" t="s">
        <v>1918</v>
      </c>
      <c r="F13" s="10"/>
      <c r="G13" s="10" t="s">
        <v>1644</v>
      </c>
      <c r="H13" s="10"/>
    </row>
    <row r="14" s="23" customFormat="1" customHeight="1" spans="1:12">
      <c r="A14" s="10">
        <f t="shared" si="0"/>
        <v>4</v>
      </c>
      <c r="B14" s="18"/>
      <c r="C14" s="10" t="s">
        <v>1919</v>
      </c>
      <c r="D14" s="10" t="s">
        <v>1919</v>
      </c>
      <c r="E14" s="10" t="s">
        <v>1646</v>
      </c>
      <c r="F14" s="10"/>
      <c r="G14" s="10" t="s">
        <v>1647</v>
      </c>
      <c r="H14" s="10"/>
      <c r="L14" s="40"/>
    </row>
    <row r="15" s="23" customFormat="1" customHeight="1" spans="1:12">
      <c r="A15" s="10">
        <f t="shared" si="0"/>
        <v>5</v>
      </c>
      <c r="B15" s="18"/>
      <c r="C15" s="10" t="s">
        <v>1920</v>
      </c>
      <c r="D15" s="10" t="s">
        <v>1920</v>
      </c>
      <c r="E15" s="10" t="s">
        <v>1665</v>
      </c>
      <c r="F15" s="10"/>
      <c r="G15" s="10" t="s">
        <v>303</v>
      </c>
      <c r="H15" s="10"/>
      <c r="L15" s="40"/>
    </row>
    <row r="16" customHeight="1" spans="1:8">
      <c r="A16" s="10">
        <f t="shared" si="0"/>
        <v>6</v>
      </c>
      <c r="B16" s="10"/>
      <c r="C16" s="10" t="s">
        <v>1921</v>
      </c>
      <c r="D16" s="10" t="s">
        <v>1921</v>
      </c>
      <c r="E16" s="10" t="s">
        <v>299</v>
      </c>
      <c r="F16" s="10"/>
      <c r="G16" s="10" t="s">
        <v>282</v>
      </c>
      <c r="H16"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4"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30.875"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s="23" customFormat="1" customHeight="1" spans="1:8">
      <c r="A1" s="1" t="s">
        <v>223</v>
      </c>
      <c r="B1" s="2" t="s">
        <v>1922</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1923</v>
      </c>
      <c r="F4" s="11"/>
      <c r="G4" s="11"/>
      <c r="H4" s="11"/>
    </row>
    <row r="5" s="23" customFormat="1" customHeight="1" spans="1:8">
      <c r="A5" s="10">
        <v>2</v>
      </c>
      <c r="B5" s="10" t="s">
        <v>228</v>
      </c>
      <c r="C5" s="10"/>
      <c r="D5" s="10"/>
      <c r="E5" s="11" t="s">
        <v>1922</v>
      </c>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1520</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6" t="s">
        <v>237</v>
      </c>
      <c r="E10" s="17" t="s">
        <v>238</v>
      </c>
      <c r="F10" s="14" t="s">
        <v>239</v>
      </c>
      <c r="G10" s="14" t="s">
        <v>240</v>
      </c>
      <c r="H10" s="14" t="s">
        <v>241</v>
      </c>
    </row>
    <row r="11" s="23" customFormat="1" customHeight="1" spans="1:8">
      <c r="A11" s="10">
        <f t="shared" ref="A11:A18" si="0">ROW(A11)-10</f>
        <v>1</v>
      </c>
      <c r="B11" s="162" t="s">
        <v>242</v>
      </c>
      <c r="C11" s="10" t="s">
        <v>243</v>
      </c>
      <c r="D11" s="10" t="s">
        <v>243</v>
      </c>
      <c r="E11" s="10" t="s">
        <v>243</v>
      </c>
      <c r="F11" s="10" t="s">
        <v>244</v>
      </c>
      <c r="G11" s="10" t="s">
        <v>1059</v>
      </c>
      <c r="H11" s="10"/>
    </row>
    <row r="12" s="23" customFormat="1" customHeight="1" spans="1:12">
      <c r="A12" s="10">
        <f t="shared" si="0"/>
        <v>2</v>
      </c>
      <c r="B12" s="10"/>
      <c r="C12" s="10" t="s">
        <v>1924</v>
      </c>
      <c r="D12" s="10" t="s">
        <v>1924</v>
      </c>
      <c r="E12" s="10" t="s">
        <v>1925</v>
      </c>
      <c r="F12" s="10"/>
      <c r="G12" s="10" t="s">
        <v>421</v>
      </c>
      <c r="H12" s="10"/>
      <c r="L12" s="40"/>
    </row>
    <row r="13" s="23" customFormat="1" customHeight="1" spans="1:8">
      <c r="A13" s="10">
        <f t="shared" si="0"/>
        <v>3</v>
      </c>
      <c r="B13" s="10"/>
      <c r="C13" s="10" t="s">
        <v>569</v>
      </c>
      <c r="D13" s="10" t="s">
        <v>569</v>
      </c>
      <c r="E13" s="10" t="s">
        <v>570</v>
      </c>
      <c r="F13" s="10"/>
      <c r="G13" s="10" t="s">
        <v>306</v>
      </c>
      <c r="H13" s="10"/>
    </row>
    <row r="14" s="23" customFormat="1" customHeight="1" spans="1:12">
      <c r="A14" s="10">
        <f t="shared" si="0"/>
        <v>4</v>
      </c>
      <c r="B14" s="10"/>
      <c r="C14" s="10" t="s">
        <v>1926</v>
      </c>
      <c r="D14" s="10" t="s">
        <v>1926</v>
      </c>
      <c r="E14" s="10" t="s">
        <v>299</v>
      </c>
      <c r="F14" s="10"/>
      <c r="G14" s="10" t="s">
        <v>1059</v>
      </c>
      <c r="H14" s="10"/>
      <c r="L14" s="40"/>
    </row>
    <row r="15" s="23" customFormat="1" customHeight="1" spans="1:12">
      <c r="A15" s="10">
        <f t="shared" si="0"/>
        <v>5</v>
      </c>
      <c r="B15" s="10"/>
      <c r="C15" s="10" t="s">
        <v>1449</v>
      </c>
      <c r="D15" s="10" t="s">
        <v>1449</v>
      </c>
      <c r="E15" s="10" t="s">
        <v>256</v>
      </c>
      <c r="F15" s="10"/>
      <c r="G15" s="10" t="s">
        <v>1059</v>
      </c>
      <c r="H15" s="10"/>
      <c r="L15" s="40"/>
    </row>
    <row r="16" s="23" customFormat="1" customHeight="1" spans="1:8">
      <c r="A16" s="10">
        <f t="shared" si="0"/>
        <v>6</v>
      </c>
      <c r="B16" s="10"/>
      <c r="C16" s="10" t="s">
        <v>1927</v>
      </c>
      <c r="D16" s="10" t="s">
        <v>1927</v>
      </c>
      <c r="E16" s="10" t="s">
        <v>1928</v>
      </c>
      <c r="F16" s="10"/>
      <c r="G16" s="10" t="s">
        <v>1059</v>
      </c>
      <c r="H16" s="10"/>
    </row>
    <row r="17" s="23" customFormat="1" customHeight="1" spans="1:8">
      <c r="A17" s="10">
        <f t="shared" si="0"/>
        <v>7</v>
      </c>
      <c r="B17" s="10"/>
      <c r="C17" s="10" t="s">
        <v>1929</v>
      </c>
      <c r="D17" s="10" t="s">
        <v>1929</v>
      </c>
      <c r="E17" s="10" t="s">
        <v>1930</v>
      </c>
      <c r="F17" s="10"/>
      <c r="G17" s="10" t="s">
        <v>1059</v>
      </c>
      <c r="H17" s="10"/>
    </row>
    <row r="18" s="23" customFormat="1" customHeight="1" spans="1:8">
      <c r="A18" s="10">
        <f t="shared" si="0"/>
        <v>8</v>
      </c>
      <c r="B18" s="10"/>
      <c r="C18" s="10" t="s">
        <v>1931</v>
      </c>
      <c r="D18" s="10" t="s">
        <v>1931</v>
      </c>
      <c r="E18" s="10" t="s">
        <v>1932</v>
      </c>
      <c r="F18" s="10"/>
      <c r="G18" s="10" t="s">
        <v>1059</v>
      </c>
      <c r="H18" s="10"/>
    </row>
    <row r="19" customHeight="1" spans="1:8">
      <c r="A19" s="10">
        <f t="shared" ref="A19:A28" si="1">ROW(A19)-10</f>
        <v>9</v>
      </c>
      <c r="B19" s="10"/>
      <c r="C19" s="10" t="s">
        <v>1933</v>
      </c>
      <c r="D19" s="10" t="s">
        <v>1933</v>
      </c>
      <c r="E19" s="10" t="s">
        <v>1934</v>
      </c>
      <c r="F19" s="10"/>
      <c r="G19" s="10" t="s">
        <v>1059</v>
      </c>
      <c r="H19" s="10"/>
    </row>
    <row r="20" customHeight="1" spans="1:8">
      <c r="A20" s="10">
        <f t="shared" si="1"/>
        <v>10</v>
      </c>
      <c r="B20" s="10"/>
      <c r="C20" s="10" t="s">
        <v>1935</v>
      </c>
      <c r="D20" s="10" t="s">
        <v>1935</v>
      </c>
      <c r="E20" s="10" t="s">
        <v>1936</v>
      </c>
      <c r="F20" s="10"/>
      <c r="G20" s="10" t="s">
        <v>1059</v>
      </c>
      <c r="H20" s="10"/>
    </row>
    <row r="21" customHeight="1" spans="1:8">
      <c r="A21" s="10">
        <f t="shared" si="1"/>
        <v>11</v>
      </c>
      <c r="B21" s="10"/>
      <c r="C21" s="10" t="s">
        <v>1937</v>
      </c>
      <c r="D21" s="10" t="s">
        <v>1937</v>
      </c>
      <c r="E21" s="10" t="s">
        <v>365</v>
      </c>
      <c r="F21" s="10"/>
      <c r="G21" s="10" t="s">
        <v>1059</v>
      </c>
      <c r="H21" s="10"/>
    </row>
    <row r="22" customHeight="1" spans="1:8">
      <c r="A22" s="10">
        <f t="shared" si="1"/>
        <v>12</v>
      </c>
      <c r="B22" s="10"/>
      <c r="C22" s="10" t="s">
        <v>1938</v>
      </c>
      <c r="D22" s="10" t="s">
        <v>1938</v>
      </c>
      <c r="E22" s="10" t="s">
        <v>332</v>
      </c>
      <c r="F22" s="10"/>
      <c r="G22" s="10" t="s">
        <v>1939</v>
      </c>
      <c r="H22" s="10"/>
    </row>
    <row r="23" customHeight="1" spans="1:8">
      <c r="A23" s="10">
        <f t="shared" si="1"/>
        <v>13</v>
      </c>
      <c r="B23" s="10"/>
      <c r="C23" s="10" t="s">
        <v>1940</v>
      </c>
      <c r="D23" s="10" t="s">
        <v>1940</v>
      </c>
      <c r="E23" s="10" t="s">
        <v>1941</v>
      </c>
      <c r="F23" s="10"/>
      <c r="G23" s="10" t="s">
        <v>248</v>
      </c>
      <c r="H23" s="10"/>
    </row>
    <row r="24" customHeight="1" spans="1:8">
      <c r="A24" s="10">
        <f t="shared" si="1"/>
        <v>14</v>
      </c>
      <c r="B24" s="10"/>
      <c r="C24" s="10" t="s">
        <v>1940</v>
      </c>
      <c r="D24" s="10" t="s">
        <v>1940</v>
      </c>
      <c r="E24" s="10" t="s">
        <v>1942</v>
      </c>
      <c r="F24" s="10"/>
      <c r="G24" s="10" t="s">
        <v>248</v>
      </c>
      <c r="H24" s="10"/>
    </row>
    <row r="25" customHeight="1" spans="1:8">
      <c r="A25" s="10">
        <f t="shared" si="1"/>
        <v>15</v>
      </c>
      <c r="B25" s="10"/>
      <c r="C25" s="10" t="s">
        <v>1943</v>
      </c>
      <c r="D25" s="10" t="s">
        <v>1943</v>
      </c>
      <c r="E25" s="10" t="s">
        <v>1944</v>
      </c>
      <c r="F25" s="10"/>
      <c r="G25" s="10" t="s">
        <v>1939</v>
      </c>
      <c r="H25" s="10"/>
    </row>
    <row r="26" customHeight="1" spans="1:8">
      <c r="A26" s="10">
        <f t="shared" si="1"/>
        <v>16</v>
      </c>
      <c r="B26" s="10"/>
      <c r="C26" s="10" t="s">
        <v>1945</v>
      </c>
      <c r="D26" s="10" t="s">
        <v>1945</v>
      </c>
      <c r="E26" s="10" t="s">
        <v>1946</v>
      </c>
      <c r="F26" s="10"/>
      <c r="G26" s="10" t="s">
        <v>869</v>
      </c>
      <c r="H26" s="10"/>
    </row>
    <row r="27" customHeight="1" spans="1:8">
      <c r="A27" s="10">
        <f t="shared" si="1"/>
        <v>17</v>
      </c>
      <c r="B27" s="10"/>
      <c r="C27" s="10" t="s">
        <v>1947</v>
      </c>
      <c r="D27" s="10" t="s">
        <v>1947</v>
      </c>
      <c r="E27" s="10" t="s">
        <v>629</v>
      </c>
      <c r="F27" s="10"/>
      <c r="G27" s="10" t="s">
        <v>869</v>
      </c>
      <c r="H27" s="10"/>
    </row>
    <row r="28" customHeight="1" spans="1:8">
      <c r="A28" s="10">
        <f t="shared" si="1"/>
        <v>18</v>
      </c>
      <c r="B28" s="10"/>
      <c r="C28" s="10" t="s">
        <v>1948</v>
      </c>
      <c r="D28" s="10" t="s">
        <v>1948</v>
      </c>
      <c r="E28" s="10" t="s">
        <v>1949</v>
      </c>
      <c r="F28" s="10"/>
      <c r="G28" s="10" t="s">
        <v>359</v>
      </c>
      <c r="H28"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A12" workbookViewId="0">
      <selection activeCell="E26" sqref="E2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4.25" style="24" customWidth="1"/>
    <col min="6" max="6" width="41.4583333333333" style="23" customWidth="1"/>
    <col min="7" max="7" width="21.1666666666667" style="23" customWidth="1"/>
    <col min="8" max="8" width="18.0833333333333" style="23" customWidth="1"/>
    <col min="9" max="9" width="17.1666666666667" style="23" customWidth="1"/>
    <col min="10" max="10" width="10.8333333333333" style="23"/>
    <col min="11" max="11" width="25.5" style="23" customWidth="1"/>
    <col min="12" max="16384" width="10.8333333333333" style="23"/>
  </cols>
  <sheetData>
    <row r="1" s="23" customFormat="1" customHeight="1" spans="1:8">
      <c r="A1" s="1" t="s">
        <v>223</v>
      </c>
      <c r="B1" s="2" t="s">
        <v>1950</v>
      </c>
      <c r="C1" s="3"/>
      <c r="D1" s="3"/>
      <c r="E1" s="3"/>
      <c r="F1" s="3"/>
      <c r="G1" s="3"/>
      <c r="H1" s="3"/>
    </row>
    <row r="2" s="23" customFormat="1" customHeight="1" spans="1:8">
      <c r="A2" s="5"/>
      <c r="B2" s="3"/>
      <c r="C2" s="3"/>
      <c r="D2" s="3"/>
      <c r="E2" s="3"/>
      <c r="F2" s="3"/>
      <c r="G2" s="3"/>
      <c r="H2" s="3"/>
    </row>
    <row r="3" s="23" customFormat="1" customHeight="1" spans="1:8">
      <c r="A3" s="167" t="s">
        <v>225</v>
      </c>
      <c r="B3" s="167"/>
      <c r="C3" s="167"/>
      <c r="D3" s="167"/>
      <c r="E3" s="167"/>
      <c r="F3" s="167"/>
      <c r="G3" s="167"/>
      <c r="H3" s="167"/>
    </row>
    <row r="4" s="23" customFormat="1" customHeight="1" spans="1:8">
      <c r="A4" s="10">
        <v>1</v>
      </c>
      <c r="B4" s="10" t="s">
        <v>226</v>
      </c>
      <c r="C4" s="10"/>
      <c r="D4" s="10"/>
      <c r="E4" s="11" t="s">
        <v>1951</v>
      </c>
      <c r="F4" s="11"/>
      <c r="G4" s="11"/>
      <c r="H4" s="11"/>
    </row>
    <row r="5" s="23" customFormat="1" customHeight="1" spans="1:8">
      <c r="A5" s="10">
        <v>2</v>
      </c>
      <c r="B5" s="10" t="s">
        <v>228</v>
      </c>
      <c r="C5" s="10"/>
      <c r="D5" s="10"/>
      <c r="E5" s="11" t="s">
        <v>1950</v>
      </c>
      <c r="F5" s="11"/>
      <c r="G5" s="11"/>
      <c r="H5" s="11"/>
    </row>
    <row r="6" s="23" customFormat="1" customHeight="1" spans="1:8">
      <c r="A6" s="10">
        <v>3</v>
      </c>
      <c r="B6" s="10" t="s">
        <v>229</v>
      </c>
      <c r="C6" s="10"/>
      <c r="D6" s="10"/>
      <c r="E6" s="11"/>
      <c r="F6" s="11"/>
      <c r="G6" s="11"/>
      <c r="H6" s="11"/>
    </row>
    <row r="7" s="23" customFormat="1" customHeight="1" spans="1:8">
      <c r="A7" s="10">
        <v>4</v>
      </c>
      <c r="B7" s="10" t="s">
        <v>231</v>
      </c>
      <c r="C7" s="10"/>
      <c r="D7" s="10"/>
      <c r="E7" s="11" t="s">
        <v>1520</v>
      </c>
      <c r="F7" s="11"/>
      <c r="G7" s="11"/>
      <c r="H7" s="11"/>
    </row>
    <row r="8" s="23" customFormat="1" customHeight="1" spans="1:8">
      <c r="A8" s="10">
        <v>5</v>
      </c>
      <c r="B8" s="10" t="s">
        <v>233</v>
      </c>
      <c r="C8" s="10"/>
      <c r="D8" s="10"/>
      <c r="E8" s="11"/>
      <c r="F8" s="11"/>
      <c r="G8" s="11"/>
      <c r="H8" s="11"/>
    </row>
    <row r="9" s="23" customFormat="1" customHeight="1" spans="1:8">
      <c r="A9" s="167" t="s">
        <v>234</v>
      </c>
      <c r="B9" s="167"/>
      <c r="C9" s="167"/>
      <c r="D9" s="167"/>
      <c r="E9" s="167"/>
      <c r="F9" s="167"/>
      <c r="G9" s="167"/>
      <c r="H9" s="167"/>
    </row>
    <row r="10" s="23" customFormat="1" customHeight="1" spans="1:8">
      <c r="A10" s="14"/>
      <c r="B10" s="15" t="s">
        <v>235</v>
      </c>
      <c r="C10" s="14" t="s">
        <v>236</v>
      </c>
      <c r="D10" s="16" t="s">
        <v>237</v>
      </c>
      <c r="E10" s="17" t="s">
        <v>238</v>
      </c>
      <c r="F10" s="14" t="s">
        <v>239</v>
      </c>
      <c r="G10" s="14" t="s">
        <v>240</v>
      </c>
      <c r="H10" s="14" t="s">
        <v>241</v>
      </c>
    </row>
    <row r="11" s="23" customFormat="1" customHeight="1" spans="1:8">
      <c r="A11" s="10">
        <f>ROW(A11)-10</f>
        <v>1</v>
      </c>
      <c r="B11" s="162" t="s">
        <v>242</v>
      </c>
      <c r="C11" s="10" t="s">
        <v>243</v>
      </c>
      <c r="D11" s="10" t="s">
        <v>243</v>
      </c>
      <c r="E11" s="10" t="s">
        <v>243</v>
      </c>
      <c r="F11" s="10" t="s">
        <v>244</v>
      </c>
      <c r="G11" s="10" t="s">
        <v>1059</v>
      </c>
      <c r="H11" s="10"/>
    </row>
    <row r="12" s="23" customFormat="1" customHeight="1" spans="1:8">
      <c r="A12" s="10"/>
      <c r="B12" s="162"/>
      <c r="C12" s="10" t="s">
        <v>1952</v>
      </c>
      <c r="D12" s="10" t="s">
        <v>1952</v>
      </c>
      <c r="E12" s="10" t="s">
        <v>1953</v>
      </c>
      <c r="F12" s="10"/>
      <c r="G12" s="10" t="s">
        <v>248</v>
      </c>
      <c r="H12" s="10"/>
    </row>
    <row r="13" s="23" customFormat="1" customHeight="1" spans="1:12">
      <c r="A13" s="10">
        <f t="shared" ref="A13:A19" si="0">ROW(A13)-10</f>
        <v>3</v>
      </c>
      <c r="B13" s="10"/>
      <c r="C13" s="10" t="s">
        <v>1259</v>
      </c>
      <c r="D13" s="10" t="s">
        <v>1259</v>
      </c>
      <c r="E13" s="10" t="s">
        <v>256</v>
      </c>
      <c r="F13" s="10"/>
      <c r="G13" s="10" t="s">
        <v>248</v>
      </c>
      <c r="H13" s="10"/>
      <c r="L13" s="40"/>
    </row>
    <row r="14" s="23" customFormat="1" customHeight="1" spans="1:8">
      <c r="A14" s="10">
        <f t="shared" si="0"/>
        <v>4</v>
      </c>
      <c r="B14" s="10"/>
      <c r="C14" s="10" t="s">
        <v>1954</v>
      </c>
      <c r="D14" s="10" t="s">
        <v>1954</v>
      </c>
      <c r="E14" s="10" t="s">
        <v>1955</v>
      </c>
      <c r="F14" s="10"/>
      <c r="G14" s="10" t="s">
        <v>359</v>
      </c>
      <c r="H14" s="10"/>
    </row>
    <row r="15" s="23" customFormat="1" customHeight="1" spans="1:12">
      <c r="A15" s="10">
        <f t="shared" si="0"/>
        <v>5</v>
      </c>
      <c r="B15" s="10"/>
      <c r="C15" s="10" t="s">
        <v>1564</v>
      </c>
      <c r="D15" s="10" t="s">
        <v>1564</v>
      </c>
      <c r="E15" s="10" t="s">
        <v>365</v>
      </c>
      <c r="F15" s="10"/>
      <c r="G15" s="10" t="s">
        <v>248</v>
      </c>
      <c r="H15" s="10"/>
      <c r="L15" s="40"/>
    </row>
    <row r="16" s="23" customFormat="1" customHeight="1" spans="1:12">
      <c r="A16" s="10">
        <f t="shared" si="0"/>
        <v>6</v>
      </c>
      <c r="B16" s="10"/>
      <c r="C16" s="10" t="s">
        <v>593</v>
      </c>
      <c r="D16" s="10" t="s">
        <v>593</v>
      </c>
      <c r="E16" s="10" t="s">
        <v>560</v>
      </c>
      <c r="F16" s="10"/>
      <c r="G16" s="10" t="s">
        <v>421</v>
      </c>
      <c r="H16" s="10"/>
      <c r="L16" s="40"/>
    </row>
    <row r="17" s="23" customFormat="1" customHeight="1" spans="1:8">
      <c r="A17" s="10">
        <f t="shared" si="0"/>
        <v>7</v>
      </c>
      <c r="B17" s="10"/>
      <c r="C17" s="10" t="s">
        <v>1558</v>
      </c>
      <c r="D17" s="10" t="s">
        <v>1558</v>
      </c>
      <c r="E17" s="10" t="s">
        <v>1443</v>
      </c>
      <c r="F17" s="10"/>
      <c r="G17" s="10" t="s">
        <v>263</v>
      </c>
      <c r="H17" s="10"/>
    </row>
    <row r="18" s="23" customFormat="1" customHeight="1" spans="1:8">
      <c r="A18" s="10">
        <f t="shared" si="0"/>
        <v>8</v>
      </c>
      <c r="B18" s="10"/>
      <c r="C18" s="10" t="s">
        <v>1938</v>
      </c>
      <c r="D18" s="10" t="s">
        <v>1938</v>
      </c>
      <c r="E18" s="10" t="s">
        <v>332</v>
      </c>
      <c r="F18" s="10"/>
      <c r="G18" s="10" t="s">
        <v>1939</v>
      </c>
      <c r="H18" s="10"/>
    </row>
    <row r="19" s="23" customFormat="1" customHeight="1" spans="1:8">
      <c r="A19" s="10">
        <f t="shared" si="0"/>
        <v>9</v>
      </c>
      <c r="B19" s="10"/>
      <c r="C19" s="10" t="s">
        <v>1549</v>
      </c>
      <c r="D19" s="10" t="s">
        <v>1549</v>
      </c>
      <c r="E19" s="10" t="s">
        <v>736</v>
      </c>
      <c r="F19" s="10"/>
      <c r="G19" s="10" t="s">
        <v>273</v>
      </c>
      <c r="H19" s="10"/>
    </row>
    <row r="20" customHeight="1" spans="1:8">
      <c r="A20" s="10">
        <f t="shared" ref="A20:A26" si="1">ROW(A20)-10</f>
        <v>10</v>
      </c>
      <c r="B20" s="10"/>
      <c r="C20" s="10" t="s">
        <v>1566</v>
      </c>
      <c r="D20" s="10" t="s">
        <v>1566</v>
      </c>
      <c r="E20" s="10" t="s">
        <v>247</v>
      </c>
      <c r="F20" s="10"/>
      <c r="G20" s="10" t="s">
        <v>248</v>
      </c>
      <c r="H20" s="10"/>
    </row>
    <row r="21" customHeight="1" spans="1:8">
      <c r="A21" s="10">
        <f t="shared" si="1"/>
        <v>11</v>
      </c>
      <c r="B21" s="10"/>
      <c r="C21" s="10" t="s">
        <v>1956</v>
      </c>
      <c r="D21" s="10" t="s">
        <v>1956</v>
      </c>
      <c r="E21" s="10" t="s">
        <v>1941</v>
      </c>
      <c r="F21" s="10"/>
      <c r="G21" s="10" t="s">
        <v>248</v>
      </c>
      <c r="H21" s="10"/>
    </row>
    <row r="22" customHeight="1" spans="1:8">
      <c r="A22" s="10">
        <f t="shared" si="1"/>
        <v>12</v>
      </c>
      <c r="B22" s="10"/>
      <c r="C22" s="10" t="s">
        <v>1957</v>
      </c>
      <c r="D22" s="10" t="s">
        <v>1957</v>
      </c>
      <c r="E22" s="10" t="s">
        <v>1942</v>
      </c>
      <c r="F22" s="10"/>
      <c r="G22" s="10" t="s">
        <v>248</v>
      </c>
      <c r="H22" s="10"/>
    </row>
    <row r="23" customHeight="1" spans="1:8">
      <c r="A23" s="10">
        <f t="shared" si="1"/>
        <v>13</v>
      </c>
      <c r="B23" s="10"/>
      <c r="C23" s="10" t="s">
        <v>1943</v>
      </c>
      <c r="D23" s="10" t="s">
        <v>1943</v>
      </c>
      <c r="E23" s="10" t="s">
        <v>1944</v>
      </c>
      <c r="F23" s="10"/>
      <c r="G23" s="10" t="s">
        <v>1939</v>
      </c>
      <c r="H23" s="10"/>
    </row>
    <row r="24" customHeight="1" spans="1:8">
      <c r="A24" s="10">
        <f t="shared" si="1"/>
        <v>14</v>
      </c>
      <c r="B24" s="10"/>
      <c r="C24" s="10" t="s">
        <v>1945</v>
      </c>
      <c r="D24" s="10" t="s">
        <v>1945</v>
      </c>
      <c r="E24" s="10" t="s">
        <v>1946</v>
      </c>
      <c r="F24" s="10"/>
      <c r="G24" s="10" t="s">
        <v>869</v>
      </c>
      <c r="H24" s="10"/>
    </row>
    <row r="25" customHeight="1" spans="1:8">
      <c r="A25" s="10">
        <f t="shared" si="1"/>
        <v>15</v>
      </c>
      <c r="B25" s="10"/>
      <c r="C25" s="10" t="s">
        <v>1562</v>
      </c>
      <c r="D25" s="10" t="s">
        <v>1562</v>
      </c>
      <c r="E25" s="10" t="s">
        <v>353</v>
      </c>
      <c r="F25" s="10"/>
      <c r="G25" s="10" t="s">
        <v>248</v>
      </c>
      <c r="H25" s="10"/>
    </row>
    <row r="26" customHeight="1" spans="1:8">
      <c r="A26" s="10">
        <f t="shared" si="1"/>
        <v>16</v>
      </c>
      <c r="B26" s="10"/>
      <c r="C26" s="10" t="s">
        <v>1835</v>
      </c>
      <c r="D26" s="10" t="s">
        <v>1835</v>
      </c>
      <c r="E26" s="10" t="s">
        <v>629</v>
      </c>
      <c r="F26" s="10"/>
      <c r="G26" s="10" t="s">
        <v>869</v>
      </c>
      <c r="H26" s="1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2" workbookViewId="0">
      <selection activeCell="A17" sqref="A17:A28"/>
    </sheetView>
  </sheetViews>
  <sheetFormatPr defaultColWidth="9" defaultRowHeight="13.5"/>
  <cols>
    <col min="1" max="1" width="9" style="100"/>
    <col min="2" max="2" width="6" style="100" customWidth="1"/>
    <col min="3" max="3" width="21.125" style="100" customWidth="1"/>
    <col min="4" max="4" width="20.3333333333333" style="100" customWidth="1"/>
    <col min="5" max="5" width="17.75" style="100" customWidth="1"/>
    <col min="6" max="6" width="34.625" style="100" customWidth="1"/>
    <col min="7" max="7" width="28.5" style="100" customWidth="1"/>
    <col min="8" max="8" width="9.5" style="100" customWidth="1"/>
    <col min="9" max="9" width="17.5" style="100" customWidth="1"/>
    <col min="10" max="10" width="14.125" style="100" customWidth="1"/>
    <col min="11" max="11" width="19.6666666666667" style="100" customWidth="1"/>
    <col min="12" max="16384" width="9" style="100"/>
  </cols>
  <sheetData>
    <row r="1" ht="14.25" spans="1:8">
      <c r="A1" s="135" t="s">
        <v>223</v>
      </c>
      <c r="B1" s="176" t="s">
        <v>1958</v>
      </c>
      <c r="C1" s="176"/>
      <c r="D1" s="176"/>
      <c r="E1" s="176"/>
      <c r="F1" s="176"/>
      <c r="G1" s="176"/>
      <c r="H1" s="176"/>
    </row>
    <row r="2" ht="17.25" spans="1:8">
      <c r="A2" s="139"/>
      <c r="B2" s="176"/>
      <c r="C2" s="176"/>
      <c r="D2" s="176"/>
      <c r="E2" s="176"/>
      <c r="F2" s="176"/>
      <c r="G2" s="176"/>
      <c r="H2" s="176"/>
    </row>
    <row r="3" ht="17.25" spans="1:8">
      <c r="A3" s="177" t="s">
        <v>225</v>
      </c>
      <c r="B3" s="177"/>
      <c r="C3" s="177"/>
      <c r="D3" s="177"/>
      <c r="E3" s="177"/>
      <c r="F3" s="177"/>
      <c r="G3" s="177"/>
      <c r="H3" s="177"/>
    </row>
    <row r="4" ht="17.25" spans="1:8">
      <c r="A4" s="139">
        <v>1</v>
      </c>
      <c r="B4" s="157" t="s">
        <v>226</v>
      </c>
      <c r="C4" s="157"/>
      <c r="D4" s="157"/>
      <c r="E4" s="139" t="s">
        <v>1959</v>
      </c>
      <c r="F4" s="139"/>
      <c r="G4" s="139"/>
      <c r="H4" s="139"/>
    </row>
    <row r="5" ht="17.25" spans="1:8">
      <c r="A5" s="139">
        <v>2</v>
      </c>
      <c r="B5" s="157" t="s">
        <v>228</v>
      </c>
      <c r="C5" s="157"/>
      <c r="D5" s="157"/>
      <c r="E5" s="139" t="s">
        <v>1960</v>
      </c>
      <c r="F5" s="139"/>
      <c r="G5" s="139"/>
      <c r="H5" s="139"/>
    </row>
    <row r="6" ht="17.25" spans="1:8">
      <c r="A6" s="139">
        <v>3</v>
      </c>
      <c r="B6" s="157" t="s">
        <v>229</v>
      </c>
      <c r="C6" s="157"/>
      <c r="D6" s="157"/>
      <c r="E6" s="139"/>
      <c r="F6" s="139"/>
      <c r="G6" s="139"/>
      <c r="H6" s="139"/>
    </row>
    <row r="7" ht="17.25" spans="1:8">
      <c r="A7" s="139">
        <v>4</v>
      </c>
      <c r="B7" s="157" t="s">
        <v>231</v>
      </c>
      <c r="C7" s="157"/>
      <c r="D7" s="157"/>
      <c r="E7" s="139" t="s">
        <v>1961</v>
      </c>
      <c r="F7" s="139"/>
      <c r="G7" s="139"/>
      <c r="H7" s="139"/>
    </row>
    <row r="8" ht="17.25" spans="1:8">
      <c r="A8" s="139">
        <v>5</v>
      </c>
      <c r="B8" s="157" t="s">
        <v>627</v>
      </c>
      <c r="C8" s="157"/>
      <c r="D8" s="157"/>
      <c r="E8" s="139"/>
      <c r="F8" s="139"/>
      <c r="G8" s="139"/>
      <c r="H8" s="139"/>
    </row>
    <row r="9" ht="17.25" spans="1:8">
      <c r="A9" s="177" t="s">
        <v>234</v>
      </c>
      <c r="B9" s="177"/>
      <c r="C9" s="177"/>
      <c r="D9" s="177"/>
      <c r="E9" s="177"/>
      <c r="F9" s="177"/>
      <c r="G9" s="177"/>
      <c r="H9" s="177"/>
    </row>
    <row r="10" ht="17.25" spans="1:8">
      <c r="A10" s="152"/>
      <c r="B10" s="153" t="s">
        <v>235</v>
      </c>
      <c r="C10" s="152" t="s">
        <v>236</v>
      </c>
      <c r="D10" s="152" t="s">
        <v>237</v>
      </c>
      <c r="E10" s="152" t="s">
        <v>238</v>
      </c>
      <c r="F10" s="153" t="s">
        <v>239</v>
      </c>
      <c r="G10" s="152" t="s">
        <v>240</v>
      </c>
      <c r="H10" s="153" t="s">
        <v>241</v>
      </c>
    </row>
    <row r="11" ht="25.25" customHeight="1" spans="1:8">
      <c r="A11" s="139">
        <v>1</v>
      </c>
      <c r="B11" s="156" t="s">
        <v>242</v>
      </c>
      <c r="C11" s="139" t="s">
        <v>243</v>
      </c>
      <c r="D11" s="139" t="s">
        <v>243</v>
      </c>
      <c r="E11" s="139" t="s">
        <v>243</v>
      </c>
      <c r="F11" s="157"/>
      <c r="G11" s="139" t="s">
        <v>306</v>
      </c>
      <c r="H11" s="157"/>
    </row>
    <row r="12" ht="25.25" customHeight="1" spans="1:12">
      <c r="A12" s="139">
        <v>2</v>
      </c>
      <c r="B12" s="156" t="s">
        <v>242</v>
      </c>
      <c r="C12" s="139" t="s">
        <v>246</v>
      </c>
      <c r="D12" s="139" t="s">
        <v>246</v>
      </c>
      <c r="E12" s="139" t="s">
        <v>247</v>
      </c>
      <c r="F12" s="157"/>
      <c r="G12" s="139" t="s">
        <v>248</v>
      </c>
      <c r="H12" s="157"/>
      <c r="I12" s="100" t="s">
        <v>249</v>
      </c>
      <c r="J12" s="100" t="s">
        <v>247</v>
      </c>
      <c r="L12" s="40" t="s">
        <v>365</v>
      </c>
    </row>
    <row r="13" ht="25.25" customHeight="1" spans="1:8">
      <c r="A13" s="139">
        <v>3</v>
      </c>
      <c r="B13" s="156" t="s">
        <v>242</v>
      </c>
      <c r="C13" s="139" t="s">
        <v>1962</v>
      </c>
      <c r="D13" s="139" t="s">
        <v>1962</v>
      </c>
      <c r="E13" s="139" t="s">
        <v>1963</v>
      </c>
      <c r="F13" s="139"/>
      <c r="G13" s="139" t="s">
        <v>248</v>
      </c>
      <c r="H13" s="139"/>
    </row>
    <row r="14" ht="25.25" customHeight="1" spans="1:8">
      <c r="A14" s="139">
        <v>4</v>
      </c>
      <c r="B14" s="156" t="s">
        <v>242</v>
      </c>
      <c r="C14" s="139" t="s">
        <v>717</v>
      </c>
      <c r="D14" s="139" t="s">
        <v>717</v>
      </c>
      <c r="E14" s="139" t="s">
        <v>718</v>
      </c>
      <c r="F14" s="139"/>
      <c r="G14" s="139" t="s">
        <v>248</v>
      </c>
      <c r="H14" s="139"/>
    </row>
    <row r="15" ht="25.25" customHeight="1" spans="1:12">
      <c r="A15" s="139">
        <v>5</v>
      </c>
      <c r="B15" s="156" t="s">
        <v>242</v>
      </c>
      <c r="C15" s="139" t="s">
        <v>1964</v>
      </c>
      <c r="D15" s="139" t="s">
        <v>1964</v>
      </c>
      <c r="E15" s="139" t="s">
        <v>1965</v>
      </c>
      <c r="F15" s="139" t="s">
        <v>1966</v>
      </c>
      <c r="G15" s="139" t="s">
        <v>248</v>
      </c>
      <c r="H15" s="149"/>
      <c r="I15" s="159" t="s">
        <v>264</v>
      </c>
      <c r="J15" s="159" t="s">
        <v>265</v>
      </c>
      <c r="K15" s="159" t="s">
        <v>1965</v>
      </c>
      <c r="L15" s="40" t="s">
        <v>365</v>
      </c>
    </row>
    <row r="16" ht="25.25" customHeight="1" spans="1:12">
      <c r="A16" s="139">
        <v>6</v>
      </c>
      <c r="B16" s="156" t="s">
        <v>242</v>
      </c>
      <c r="C16" s="139" t="s">
        <v>800</v>
      </c>
      <c r="D16" s="139" t="s">
        <v>800</v>
      </c>
      <c r="E16" s="139" t="s">
        <v>1967</v>
      </c>
      <c r="F16" s="139" t="s">
        <v>1968</v>
      </c>
      <c r="G16" s="139" t="s">
        <v>248</v>
      </c>
      <c r="H16" s="149"/>
      <c r="I16" s="159" t="s">
        <v>264</v>
      </c>
      <c r="J16" s="159" t="s">
        <v>265</v>
      </c>
      <c r="K16" s="159" t="s">
        <v>1967</v>
      </c>
      <c r="L16" s="40" t="s">
        <v>365</v>
      </c>
    </row>
    <row r="17" ht="25.25" customHeight="1" spans="1:11">
      <c r="A17" s="139">
        <v>7</v>
      </c>
      <c r="B17" s="156"/>
      <c r="C17" s="139" t="s">
        <v>1969</v>
      </c>
      <c r="D17" s="139" t="s">
        <v>1970</v>
      </c>
      <c r="E17" s="139" t="s">
        <v>908</v>
      </c>
      <c r="F17" s="139"/>
      <c r="G17" s="139" t="s">
        <v>248</v>
      </c>
      <c r="H17" s="149"/>
      <c r="I17" s="159" t="s">
        <v>903</v>
      </c>
      <c r="J17" s="159" t="s">
        <v>243</v>
      </c>
      <c r="K17" s="130"/>
    </row>
    <row r="18" ht="25.25" customHeight="1" spans="1:8">
      <c r="A18" s="139">
        <v>8</v>
      </c>
      <c r="B18" s="156"/>
      <c r="C18" s="139" t="s">
        <v>1971</v>
      </c>
      <c r="D18" s="139" t="s">
        <v>1971</v>
      </c>
      <c r="E18" s="139" t="s">
        <v>1972</v>
      </c>
      <c r="F18" s="139"/>
      <c r="G18" s="139" t="s">
        <v>248</v>
      </c>
      <c r="H18" s="139"/>
    </row>
    <row r="19" ht="25.25" customHeight="1" spans="1:8">
      <c r="A19" s="139">
        <v>9</v>
      </c>
      <c r="B19" s="156"/>
      <c r="C19" s="139" t="s">
        <v>1973</v>
      </c>
      <c r="D19" s="139" t="s">
        <v>1973</v>
      </c>
      <c r="E19" s="139" t="s">
        <v>1974</v>
      </c>
      <c r="F19" s="139"/>
      <c r="G19" s="139" t="s">
        <v>248</v>
      </c>
      <c r="H19" s="139"/>
    </row>
    <row r="20" ht="25.25" customHeight="1" spans="1:8">
      <c r="A20" s="139">
        <v>10</v>
      </c>
      <c r="B20" s="156"/>
      <c r="C20" s="139" t="s">
        <v>1975</v>
      </c>
      <c r="D20" s="139" t="s">
        <v>1975</v>
      </c>
      <c r="E20" s="139" t="s">
        <v>1976</v>
      </c>
      <c r="F20" s="139"/>
      <c r="G20" s="139" t="s">
        <v>248</v>
      </c>
      <c r="H20" s="139"/>
    </row>
    <row r="21" ht="25.25" customHeight="1" spans="1:8">
      <c r="A21" s="139">
        <v>11</v>
      </c>
      <c r="B21" s="156" t="s">
        <v>242</v>
      </c>
      <c r="C21" s="139" t="s">
        <v>1977</v>
      </c>
      <c r="D21" s="139" t="s">
        <v>1977</v>
      </c>
      <c r="E21" s="139" t="s">
        <v>1978</v>
      </c>
      <c r="F21" s="139" t="s">
        <v>782</v>
      </c>
      <c r="G21" s="139" t="s">
        <v>421</v>
      </c>
      <c r="H21" s="139"/>
    </row>
    <row r="22" ht="25.25" customHeight="1" spans="1:8">
      <c r="A22" s="139">
        <v>12</v>
      </c>
      <c r="B22" s="156"/>
      <c r="C22" s="139" t="s">
        <v>1979</v>
      </c>
      <c r="D22" s="139" t="s">
        <v>1979</v>
      </c>
      <c r="E22" s="139" t="s">
        <v>1980</v>
      </c>
      <c r="F22" s="139"/>
      <c r="G22" s="139" t="s">
        <v>248</v>
      </c>
      <c r="H22" s="139"/>
    </row>
    <row r="23" ht="25.25" customHeight="1" spans="1:8">
      <c r="A23" s="139">
        <v>13</v>
      </c>
      <c r="B23" s="156" t="s">
        <v>242</v>
      </c>
      <c r="C23" s="139" t="s">
        <v>1981</v>
      </c>
      <c r="D23" s="139" t="s">
        <v>1981</v>
      </c>
      <c r="E23" s="139" t="s">
        <v>1982</v>
      </c>
      <c r="F23" s="139" t="s">
        <v>1983</v>
      </c>
      <c r="G23" s="139" t="s">
        <v>248</v>
      </c>
      <c r="H23" s="139"/>
    </row>
    <row r="24" ht="25.25" customHeight="1" spans="1:8">
      <c r="A24" s="139">
        <v>14</v>
      </c>
      <c r="B24" s="156" t="s">
        <v>242</v>
      </c>
      <c r="C24" s="139" t="s">
        <v>1984</v>
      </c>
      <c r="D24" s="139" t="s">
        <v>1984</v>
      </c>
      <c r="E24" s="139" t="s">
        <v>1985</v>
      </c>
      <c r="F24" s="139" t="s">
        <v>1986</v>
      </c>
      <c r="G24" s="139" t="s">
        <v>248</v>
      </c>
      <c r="H24" s="139"/>
    </row>
    <row r="25" ht="25.25" customHeight="1" spans="1:7">
      <c r="A25" s="139">
        <v>15</v>
      </c>
      <c r="B25" s="156"/>
      <c r="C25" s="175" t="s">
        <v>1987</v>
      </c>
      <c r="D25" s="175" t="s">
        <v>1987</v>
      </c>
      <c r="E25" s="175" t="s">
        <v>1988</v>
      </c>
      <c r="F25" s="100" t="s">
        <v>1989</v>
      </c>
      <c r="G25" s="178" t="s">
        <v>248</v>
      </c>
    </row>
    <row r="26" ht="25.25" customHeight="1" spans="1:8">
      <c r="A26" s="139">
        <v>16</v>
      </c>
      <c r="B26" s="156" t="s">
        <v>242</v>
      </c>
      <c r="C26" s="139" t="s">
        <v>1990</v>
      </c>
      <c r="D26" s="139" t="s">
        <v>1990</v>
      </c>
      <c r="E26" s="139" t="s">
        <v>1991</v>
      </c>
      <c r="F26" s="111" t="s">
        <v>782</v>
      </c>
      <c r="G26" s="139" t="s">
        <v>248</v>
      </c>
      <c r="H26" s="111"/>
    </row>
    <row r="27" ht="25.25" customHeight="1" spans="1:8">
      <c r="A27" s="139">
        <v>17</v>
      </c>
      <c r="B27" s="156" t="s">
        <v>242</v>
      </c>
      <c r="C27" s="139" t="s">
        <v>1992</v>
      </c>
      <c r="D27" s="139" t="s">
        <v>1992</v>
      </c>
      <c r="E27" s="139" t="s">
        <v>1993</v>
      </c>
      <c r="F27" s="111" t="s">
        <v>782</v>
      </c>
      <c r="G27" s="139" t="s">
        <v>248</v>
      </c>
      <c r="H27" s="111"/>
    </row>
    <row r="28" ht="25.25" customHeight="1" spans="1:8">
      <c r="A28" s="139">
        <v>18</v>
      </c>
      <c r="B28" s="156"/>
      <c r="C28" s="139" t="s">
        <v>1994</v>
      </c>
      <c r="D28" s="139" t="s">
        <v>1994</v>
      </c>
      <c r="E28" s="139" t="s">
        <v>1995</v>
      </c>
      <c r="F28" s="111"/>
      <c r="G28" s="139" t="s">
        <v>248</v>
      </c>
      <c r="H28"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
  <sheetViews>
    <sheetView workbookViewId="0">
      <selection activeCell="K16" sqref="K16"/>
    </sheetView>
  </sheetViews>
  <sheetFormatPr defaultColWidth="9" defaultRowHeight="13.5"/>
  <cols>
    <col min="1" max="1" width="4.83333333333333" style="127" customWidth="1"/>
    <col min="2" max="2" width="5.83333333333333" style="100" customWidth="1"/>
    <col min="3" max="5" width="20.8333333333333" style="127" customWidth="1"/>
    <col min="6" max="6" width="24.75" style="100" customWidth="1"/>
    <col min="7" max="7" width="20.8333333333333" style="127" customWidth="1"/>
    <col min="8" max="8" width="22.25" style="100" customWidth="1"/>
    <col min="9" max="9" width="11" style="100" customWidth="1"/>
    <col min="10" max="16384" width="9" style="100"/>
  </cols>
  <sheetData>
    <row r="1" ht="23" customHeight="1" spans="1:8">
      <c r="A1" s="135" t="s">
        <v>223</v>
      </c>
      <c r="B1" s="136" t="s">
        <v>1996</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1997</v>
      </c>
      <c r="F4" s="150"/>
      <c r="G4" s="150"/>
      <c r="H4" s="151"/>
    </row>
    <row r="5" ht="17.25" spans="1:8">
      <c r="A5" s="139">
        <v>2</v>
      </c>
      <c r="B5" s="146" t="s">
        <v>228</v>
      </c>
      <c r="C5" s="147"/>
      <c r="D5" s="148"/>
      <c r="E5" s="149" t="s">
        <v>1998</v>
      </c>
      <c r="F5" s="150"/>
      <c r="G5" s="150"/>
      <c r="H5" s="151"/>
    </row>
    <row r="6" ht="17.25" spans="1:8">
      <c r="A6" s="139">
        <v>3</v>
      </c>
      <c r="B6" s="146" t="s">
        <v>229</v>
      </c>
      <c r="C6" s="147"/>
      <c r="D6" s="148"/>
      <c r="E6" s="149"/>
      <c r="F6" s="150"/>
      <c r="G6" s="150"/>
      <c r="H6" s="151"/>
    </row>
    <row r="7" ht="17.25" spans="1:8">
      <c r="A7" s="139">
        <v>4</v>
      </c>
      <c r="B7" s="146" t="s">
        <v>231</v>
      </c>
      <c r="C7" s="147"/>
      <c r="D7" s="148"/>
      <c r="E7" s="149" t="s">
        <v>1999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4.25" customHeight="1" spans="1:8">
      <c r="A11" s="139">
        <v>1</v>
      </c>
      <c r="B11" s="161" t="s">
        <v>242</v>
      </c>
      <c r="C11" s="139" t="s">
        <v>243</v>
      </c>
      <c r="D11" s="87" t="s">
        <v>243</v>
      </c>
      <c r="E11" s="139" t="s">
        <v>243</v>
      </c>
      <c r="F11" s="157"/>
      <c r="G11" s="139" t="s">
        <v>306</v>
      </c>
      <c r="H11" s="157"/>
    </row>
    <row r="12" ht="24.25" customHeight="1" spans="1:13">
      <c r="A12" s="139">
        <v>2</v>
      </c>
      <c r="B12" s="161" t="s">
        <v>242</v>
      </c>
      <c r="C12" s="139" t="s">
        <v>246</v>
      </c>
      <c r="D12" s="87" t="s">
        <v>246</v>
      </c>
      <c r="E12" s="139" t="s">
        <v>247</v>
      </c>
      <c r="F12" s="157"/>
      <c r="G12" s="139" t="s">
        <v>248</v>
      </c>
      <c r="H12" s="157"/>
      <c r="I12" s="100" t="s">
        <v>249</v>
      </c>
      <c r="J12" s="100" t="s">
        <v>247</v>
      </c>
      <c r="M12" s="40" t="s">
        <v>365</v>
      </c>
    </row>
    <row r="13" ht="24.25" customHeight="1" spans="1:8">
      <c r="A13" s="139">
        <v>3</v>
      </c>
      <c r="B13" s="161" t="s">
        <v>242</v>
      </c>
      <c r="C13" s="139" t="s">
        <v>1921</v>
      </c>
      <c r="D13" s="87" t="s">
        <v>1921</v>
      </c>
      <c r="E13" s="139" t="s">
        <v>299</v>
      </c>
      <c r="F13" s="157" t="s">
        <v>1989</v>
      </c>
      <c r="G13" s="139" t="s">
        <v>248</v>
      </c>
      <c r="H13" s="157"/>
    </row>
    <row r="14" ht="24.25" customHeight="1" spans="1:8">
      <c r="A14" s="139">
        <v>4</v>
      </c>
      <c r="B14" s="161" t="s">
        <v>242</v>
      </c>
      <c r="C14" s="139" t="s">
        <v>330</v>
      </c>
      <c r="D14" s="87" t="s">
        <v>330</v>
      </c>
      <c r="E14" s="139" t="s">
        <v>332</v>
      </c>
      <c r="F14" s="157"/>
      <c r="G14" s="139" t="s">
        <v>248</v>
      </c>
      <c r="H14" s="157"/>
    </row>
    <row r="15" ht="24.25" customHeight="1" spans="1:8">
      <c r="A15" s="139">
        <v>5</v>
      </c>
      <c r="B15" s="161" t="s">
        <v>242</v>
      </c>
      <c r="C15" s="139" t="s">
        <v>335</v>
      </c>
      <c r="D15" s="87" t="s">
        <v>335</v>
      </c>
      <c r="E15" s="139" t="s">
        <v>337</v>
      </c>
      <c r="F15" s="157"/>
      <c r="G15" s="139" t="s">
        <v>248</v>
      </c>
      <c r="H15" s="157"/>
    </row>
    <row r="16" ht="24.25" customHeight="1" spans="1:13">
      <c r="A16" s="139">
        <v>6</v>
      </c>
      <c r="B16" s="161" t="s">
        <v>242</v>
      </c>
      <c r="C16" s="139" t="s">
        <v>2000</v>
      </c>
      <c r="D16" s="87" t="s">
        <v>2000</v>
      </c>
      <c r="E16" s="139" t="s">
        <v>2001</v>
      </c>
      <c r="F16" s="157" t="s">
        <v>2002</v>
      </c>
      <c r="G16" s="139" t="s">
        <v>248</v>
      </c>
      <c r="H16" s="139" t="s">
        <v>2003</v>
      </c>
      <c r="I16" s="100" t="s">
        <v>264</v>
      </c>
      <c r="J16" s="100" t="s">
        <v>265</v>
      </c>
      <c r="K16" s="100" t="s">
        <v>2001</v>
      </c>
      <c r="M16" s="40" t="s">
        <v>365</v>
      </c>
    </row>
    <row r="17" ht="24.25" customHeight="1" spans="1:8">
      <c r="A17" s="139">
        <v>7</v>
      </c>
      <c r="B17" s="161" t="s">
        <v>242</v>
      </c>
      <c r="C17" s="139" t="s">
        <v>2004</v>
      </c>
      <c r="D17" s="87" t="s">
        <v>2004</v>
      </c>
      <c r="E17" s="139" t="s">
        <v>2005</v>
      </c>
      <c r="F17" s="157"/>
      <c r="G17" s="139" t="s">
        <v>248</v>
      </c>
      <c r="H17" s="157"/>
    </row>
    <row r="18" ht="24.25" customHeight="1" spans="1:8">
      <c r="A18" s="139">
        <v>8</v>
      </c>
      <c r="B18" s="139"/>
      <c r="C18" s="139" t="s">
        <v>569</v>
      </c>
      <c r="D18" s="87" t="s">
        <v>569</v>
      </c>
      <c r="E18" s="139" t="s">
        <v>570</v>
      </c>
      <c r="F18" s="139"/>
      <c r="G18" s="139" t="s">
        <v>306</v>
      </c>
      <c r="H18"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E4" sqref="E4:H4"/>
    </sheetView>
  </sheetViews>
  <sheetFormatPr defaultColWidth="9" defaultRowHeight="13.5"/>
  <cols>
    <col min="1" max="1" width="4.83333333333333" style="127" customWidth="1"/>
    <col min="2" max="2" width="5.83333333333333" style="100" customWidth="1"/>
    <col min="3" max="5" width="20.8333333333333" style="127" customWidth="1"/>
    <col min="6" max="6" width="28.625" style="100" customWidth="1"/>
    <col min="7" max="7" width="20.8333333333333" style="127" customWidth="1"/>
    <col min="8" max="8" width="21.5" style="100" customWidth="1"/>
    <col min="9" max="9" width="11.25" style="100" customWidth="1"/>
    <col min="10" max="10" width="9" style="100"/>
    <col min="11" max="11" width="18.8333333333333" style="100" customWidth="1"/>
    <col min="12" max="16384" width="9" style="100"/>
  </cols>
  <sheetData>
    <row r="1" ht="23" customHeight="1" spans="1:8">
      <c r="A1" s="135" t="s">
        <v>223</v>
      </c>
      <c r="B1" s="136" t="s">
        <v>2006</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2007</v>
      </c>
      <c r="F4" s="150"/>
      <c r="G4" s="150"/>
      <c r="H4" s="151"/>
    </row>
    <row r="5" ht="17.25" spans="1:8">
      <c r="A5" s="139">
        <v>2</v>
      </c>
      <c r="B5" s="146" t="s">
        <v>228</v>
      </c>
      <c r="C5" s="147"/>
      <c r="D5" s="148"/>
      <c r="E5" s="149" t="s">
        <v>2008</v>
      </c>
      <c r="F5" s="150"/>
      <c r="G5" s="150"/>
      <c r="H5" s="151"/>
    </row>
    <row r="6" ht="17.25" spans="1:8">
      <c r="A6" s="139">
        <v>3</v>
      </c>
      <c r="B6" s="146" t="s">
        <v>229</v>
      </c>
      <c r="C6" s="147"/>
      <c r="D6" s="148"/>
      <c r="E6" s="149"/>
      <c r="F6" s="150"/>
      <c r="G6" s="150"/>
      <c r="H6" s="151"/>
    </row>
    <row r="7" ht="17.25" spans="1:8">
      <c r="A7" s="139">
        <v>4</v>
      </c>
      <c r="B7" s="146" t="s">
        <v>231</v>
      </c>
      <c r="C7" s="147"/>
      <c r="D7" s="148"/>
      <c r="E7" s="149" t="s">
        <v>1999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4.25" customHeight="1" spans="1:8">
      <c r="A11" s="139">
        <v>1</v>
      </c>
      <c r="B11" s="156" t="s">
        <v>242</v>
      </c>
      <c r="C11" s="139" t="s">
        <v>243</v>
      </c>
      <c r="D11" s="87" t="s">
        <v>243</v>
      </c>
      <c r="E11" s="139" t="s">
        <v>243</v>
      </c>
      <c r="F11" s="157"/>
      <c r="G11" s="139" t="s">
        <v>306</v>
      </c>
      <c r="H11" s="157"/>
    </row>
    <row r="12" ht="24.25" customHeight="1" spans="1:12">
      <c r="A12" s="139">
        <v>2</v>
      </c>
      <c r="B12" s="156" t="s">
        <v>242</v>
      </c>
      <c r="C12" s="139" t="s">
        <v>246</v>
      </c>
      <c r="D12" s="87" t="s">
        <v>246</v>
      </c>
      <c r="E12" s="139" t="s">
        <v>247</v>
      </c>
      <c r="F12" s="157"/>
      <c r="G12" s="139" t="s">
        <v>248</v>
      </c>
      <c r="H12" s="157"/>
      <c r="I12" s="100" t="s">
        <v>249</v>
      </c>
      <c r="J12" s="100" t="s">
        <v>247</v>
      </c>
      <c r="L12" s="40" t="s">
        <v>365</v>
      </c>
    </row>
    <row r="13" ht="24.25" customHeight="1" spans="1:8">
      <c r="A13" s="139">
        <v>3</v>
      </c>
      <c r="B13" s="156" t="s">
        <v>242</v>
      </c>
      <c r="C13" s="139" t="s">
        <v>1921</v>
      </c>
      <c r="D13" s="87" t="s">
        <v>1921</v>
      </c>
      <c r="E13" s="139" t="s">
        <v>299</v>
      </c>
      <c r="F13" s="157" t="s">
        <v>1989</v>
      </c>
      <c r="G13" s="139" t="s">
        <v>248</v>
      </c>
      <c r="H13" s="157"/>
    </row>
    <row r="14" ht="24.25" customHeight="1" spans="1:8">
      <c r="A14" s="139">
        <v>4</v>
      </c>
      <c r="B14" s="156" t="s">
        <v>242</v>
      </c>
      <c r="C14" s="139" t="s">
        <v>330</v>
      </c>
      <c r="D14" s="87" t="s">
        <v>330</v>
      </c>
      <c r="E14" s="139" t="s">
        <v>332</v>
      </c>
      <c r="F14" s="157"/>
      <c r="G14" s="139" t="s">
        <v>248</v>
      </c>
      <c r="H14" s="157"/>
    </row>
    <row r="15" ht="24.25" customHeight="1" spans="1:8">
      <c r="A15" s="139">
        <v>5</v>
      </c>
      <c r="B15" s="156" t="s">
        <v>242</v>
      </c>
      <c r="C15" s="139" t="s">
        <v>335</v>
      </c>
      <c r="D15" s="87" t="s">
        <v>335</v>
      </c>
      <c r="E15" s="139" t="s">
        <v>337</v>
      </c>
      <c r="F15" s="157"/>
      <c r="G15" s="139" t="s">
        <v>248</v>
      </c>
      <c r="H15" s="157"/>
    </row>
    <row r="16" ht="24.25" customHeight="1" spans="1:12">
      <c r="A16" s="139">
        <v>6</v>
      </c>
      <c r="B16" s="156" t="s">
        <v>242</v>
      </c>
      <c r="C16" s="139" t="s">
        <v>2009</v>
      </c>
      <c r="D16" s="87" t="s">
        <v>2009</v>
      </c>
      <c r="E16" s="139" t="s">
        <v>2010</v>
      </c>
      <c r="F16" s="157" t="s">
        <v>2011</v>
      </c>
      <c r="G16" s="139" t="s">
        <v>248</v>
      </c>
      <c r="H16" s="157" t="s">
        <v>2012</v>
      </c>
      <c r="I16" s="100" t="s">
        <v>264</v>
      </c>
      <c r="J16" s="100" t="s">
        <v>265</v>
      </c>
      <c r="K16" s="139" t="s">
        <v>2010</v>
      </c>
      <c r="L16" s="40" t="s">
        <v>365</v>
      </c>
    </row>
    <row r="17" ht="24.25" customHeight="1" spans="1:8">
      <c r="A17" s="139">
        <v>7</v>
      </c>
      <c r="B17" s="156" t="s">
        <v>242</v>
      </c>
      <c r="C17" s="139" t="s">
        <v>2013</v>
      </c>
      <c r="D17" s="87" t="s">
        <v>2013</v>
      </c>
      <c r="E17" s="139" t="s">
        <v>2014</v>
      </c>
      <c r="F17" s="157"/>
      <c r="G17" s="139" t="s">
        <v>248</v>
      </c>
      <c r="H17" s="157"/>
    </row>
    <row r="18" ht="24.25" customHeight="1" spans="1:8">
      <c r="A18" s="139">
        <v>8</v>
      </c>
      <c r="B18" s="156" t="s">
        <v>242</v>
      </c>
      <c r="C18" s="139" t="s">
        <v>2015</v>
      </c>
      <c r="D18" s="87" t="s">
        <v>2015</v>
      </c>
      <c r="E18" s="139" t="s">
        <v>2016</v>
      </c>
      <c r="F18" s="157"/>
      <c r="G18" s="139" t="s">
        <v>248</v>
      </c>
      <c r="H18" s="157"/>
    </row>
    <row r="19" ht="24.25" customHeight="1" spans="1:8">
      <c r="A19" s="139">
        <v>9</v>
      </c>
      <c r="B19" s="139"/>
      <c r="C19" s="139" t="s">
        <v>569</v>
      </c>
      <c r="D19" s="87"/>
      <c r="E19" s="139" t="s">
        <v>570</v>
      </c>
      <c r="F19" s="139"/>
      <c r="G19" s="139" t="s">
        <v>306</v>
      </c>
      <c r="H19"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zoomScale="90" zoomScaleNormal="90" topLeftCell="A2" workbookViewId="0">
      <selection activeCell="A16" sqref="A16:A20"/>
    </sheetView>
  </sheetViews>
  <sheetFormatPr defaultColWidth="9" defaultRowHeight="13.5"/>
  <cols>
    <col min="1" max="1" width="4.83333333333333" style="127" customWidth="1"/>
    <col min="2" max="2" width="5.83333333333333" style="100" customWidth="1"/>
    <col min="3" max="5" width="20.8333333333333" style="127" customWidth="1"/>
    <col min="6" max="6" width="25.5416666666667" style="100" customWidth="1"/>
    <col min="7" max="7" width="20.8333333333333" style="127" customWidth="1"/>
    <col min="8" max="8" width="14.85" style="100" customWidth="1"/>
    <col min="9" max="9" width="13.1833333333333" style="100" customWidth="1"/>
    <col min="10" max="10" width="11.2416666666667" style="100" customWidth="1"/>
    <col min="11" max="11" width="17" style="100" customWidth="1"/>
    <col min="12" max="12" width="11.6666666666667" style="100" customWidth="1"/>
    <col min="13" max="16384" width="9" style="100"/>
  </cols>
  <sheetData>
    <row r="1" ht="23" customHeight="1" spans="1:8">
      <c r="A1" s="135" t="s">
        <v>223</v>
      </c>
      <c r="B1" s="136" t="s">
        <v>2017</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2018</v>
      </c>
      <c r="F4" s="150"/>
      <c r="G4" s="150"/>
      <c r="H4" s="151"/>
    </row>
    <row r="5" ht="17.25" spans="1:8">
      <c r="A5" s="139">
        <v>2</v>
      </c>
      <c r="B5" s="146" t="s">
        <v>228</v>
      </c>
      <c r="C5" s="147"/>
      <c r="D5" s="148"/>
      <c r="E5" s="149" t="s">
        <v>2019</v>
      </c>
      <c r="F5" s="150"/>
      <c r="G5" s="150"/>
      <c r="H5" s="151"/>
    </row>
    <row r="6" ht="17.25" spans="1:8">
      <c r="A6" s="139">
        <v>3</v>
      </c>
      <c r="B6" s="146" t="s">
        <v>229</v>
      </c>
      <c r="C6" s="147"/>
      <c r="D6" s="148"/>
      <c r="E6" s="149"/>
      <c r="F6" s="150"/>
      <c r="G6" s="150"/>
      <c r="H6" s="151"/>
    </row>
    <row r="7" ht="17.25" spans="1:8">
      <c r="A7" s="139">
        <v>4</v>
      </c>
      <c r="B7" s="146" t="s">
        <v>231</v>
      </c>
      <c r="C7" s="147"/>
      <c r="D7" s="148"/>
      <c r="E7" s="149" t="s">
        <v>1999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5.25" customHeight="1" spans="1:8">
      <c r="A11" s="139">
        <v>1</v>
      </c>
      <c r="B11" s="156" t="s">
        <v>242</v>
      </c>
      <c r="C11" s="139" t="s">
        <v>243</v>
      </c>
      <c r="D11" s="87" t="s">
        <v>243</v>
      </c>
      <c r="E11" s="139" t="s">
        <v>243</v>
      </c>
      <c r="F11" s="157"/>
      <c r="G11" s="139" t="s">
        <v>306</v>
      </c>
      <c r="H11" s="157"/>
    </row>
    <row r="12" ht="25.25" customHeight="1" spans="1:12">
      <c r="A12" s="139">
        <v>2</v>
      </c>
      <c r="B12" s="156" t="s">
        <v>242</v>
      </c>
      <c r="C12" s="139" t="s">
        <v>246</v>
      </c>
      <c r="D12" s="87" t="s">
        <v>246</v>
      </c>
      <c r="E12" s="139" t="s">
        <v>247</v>
      </c>
      <c r="F12" s="157"/>
      <c r="G12" s="139" t="s">
        <v>248</v>
      </c>
      <c r="H12" s="157"/>
      <c r="I12" s="100" t="s">
        <v>249</v>
      </c>
      <c r="J12" s="100" t="s">
        <v>247</v>
      </c>
      <c r="L12" s="40" t="s">
        <v>365</v>
      </c>
    </row>
    <row r="13" ht="25.25" customHeight="1" spans="1:8">
      <c r="A13" s="139">
        <v>3</v>
      </c>
      <c r="B13" s="156" t="s">
        <v>242</v>
      </c>
      <c r="C13" s="139" t="s">
        <v>1921</v>
      </c>
      <c r="D13" s="87" t="s">
        <v>1921</v>
      </c>
      <c r="E13" s="139" t="s">
        <v>299</v>
      </c>
      <c r="F13" s="157" t="s">
        <v>1989</v>
      </c>
      <c r="G13" s="139" t="s">
        <v>248</v>
      </c>
      <c r="H13" s="157"/>
    </row>
    <row r="14" ht="25.25" customHeight="1" spans="1:8">
      <c r="A14" s="139">
        <v>4</v>
      </c>
      <c r="B14" s="156" t="s">
        <v>242</v>
      </c>
      <c r="C14" s="139" t="s">
        <v>330</v>
      </c>
      <c r="D14" s="87" t="s">
        <v>330</v>
      </c>
      <c r="E14" s="139" t="s">
        <v>332</v>
      </c>
      <c r="F14" s="157"/>
      <c r="G14" s="139" t="s">
        <v>248</v>
      </c>
      <c r="H14" s="157"/>
    </row>
    <row r="15" ht="25.25" customHeight="1" spans="1:8">
      <c r="A15" s="139">
        <v>5</v>
      </c>
      <c r="B15" s="156" t="s">
        <v>242</v>
      </c>
      <c r="C15" s="139" t="s">
        <v>335</v>
      </c>
      <c r="D15" s="87" t="s">
        <v>335</v>
      </c>
      <c r="E15" s="139" t="s">
        <v>337</v>
      </c>
      <c r="F15" s="157"/>
      <c r="G15" s="139" t="s">
        <v>248</v>
      </c>
      <c r="H15" s="157"/>
    </row>
    <row r="16" ht="25.25" customHeight="1" spans="1:12">
      <c r="A16" s="139">
        <v>6</v>
      </c>
      <c r="B16" s="156" t="s">
        <v>242</v>
      </c>
      <c r="C16" s="139" t="s">
        <v>2020</v>
      </c>
      <c r="D16" s="87" t="s">
        <v>2020</v>
      </c>
      <c r="E16" s="139" t="s">
        <v>2021</v>
      </c>
      <c r="F16" s="139" t="s">
        <v>2002</v>
      </c>
      <c r="G16" s="139" t="s">
        <v>248</v>
      </c>
      <c r="H16" s="157" t="s">
        <v>2022</v>
      </c>
      <c r="I16" s="100" t="s">
        <v>264</v>
      </c>
      <c r="J16" s="100" t="s">
        <v>265</v>
      </c>
      <c r="K16" s="139" t="s">
        <v>2021</v>
      </c>
      <c r="L16" s="40" t="s">
        <v>365</v>
      </c>
    </row>
    <row r="17" ht="25.25" customHeight="1" spans="1:12">
      <c r="A17" s="139">
        <v>7</v>
      </c>
      <c r="B17" s="156" t="s">
        <v>242</v>
      </c>
      <c r="C17" s="139" t="s">
        <v>2023</v>
      </c>
      <c r="D17" s="87" t="s">
        <v>2023</v>
      </c>
      <c r="E17" s="139" t="s">
        <v>2024</v>
      </c>
      <c r="F17" s="139" t="s">
        <v>2025</v>
      </c>
      <c r="G17" s="139" t="s">
        <v>248</v>
      </c>
      <c r="H17" s="157" t="s">
        <v>2022</v>
      </c>
      <c r="I17" s="100" t="s">
        <v>264</v>
      </c>
      <c r="J17" s="100" t="s">
        <v>265</v>
      </c>
      <c r="K17" s="139" t="s">
        <v>2024</v>
      </c>
      <c r="L17" s="40" t="s">
        <v>365</v>
      </c>
    </row>
    <row r="18" ht="25.25" customHeight="1" spans="1:8">
      <c r="A18" s="139">
        <v>8</v>
      </c>
      <c r="B18" s="156" t="s">
        <v>242</v>
      </c>
      <c r="C18" s="139" t="s">
        <v>2026</v>
      </c>
      <c r="D18" s="87" t="s">
        <v>2026</v>
      </c>
      <c r="E18" s="139" t="s">
        <v>2027</v>
      </c>
      <c r="F18" s="157"/>
      <c r="G18" s="139" t="s">
        <v>248</v>
      </c>
      <c r="H18" s="157"/>
    </row>
    <row r="19" ht="25.25" customHeight="1" spans="1:8">
      <c r="A19" s="139">
        <v>9</v>
      </c>
      <c r="B19" s="156" t="s">
        <v>242</v>
      </c>
      <c r="C19" s="139" t="s">
        <v>2028</v>
      </c>
      <c r="D19" s="87" t="s">
        <v>2028</v>
      </c>
      <c r="E19" s="139" t="s">
        <v>2029</v>
      </c>
      <c r="F19" s="157"/>
      <c r="G19" s="139" t="s">
        <v>248</v>
      </c>
      <c r="H19" s="157"/>
    </row>
    <row r="20" ht="25.25" customHeight="1" spans="1:8">
      <c r="A20" s="139">
        <v>10</v>
      </c>
      <c r="B20" s="139"/>
      <c r="C20" s="139" t="s">
        <v>569</v>
      </c>
      <c r="D20" s="87"/>
      <c r="E20" s="139" t="s">
        <v>570</v>
      </c>
      <c r="F20" s="139"/>
      <c r="G20" s="139" t="s">
        <v>306</v>
      </c>
      <c r="H20"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A16" sqref="A16:A20"/>
    </sheetView>
  </sheetViews>
  <sheetFormatPr defaultColWidth="9" defaultRowHeight="13.5"/>
  <cols>
    <col min="1" max="1" width="4.83333333333333" style="127" customWidth="1"/>
    <col min="2" max="2" width="5.83333333333333" style="100" customWidth="1"/>
    <col min="3" max="5" width="20.8333333333333" style="127" customWidth="1"/>
    <col min="6" max="6" width="24.375" style="100" customWidth="1"/>
    <col min="7" max="7" width="20.8333333333333" style="127" customWidth="1"/>
    <col min="8" max="8" width="24" style="100" customWidth="1"/>
    <col min="9" max="9" width="14.75" style="100" customWidth="1"/>
    <col min="10" max="10" width="9" style="100"/>
    <col min="11" max="11" width="24" style="100" customWidth="1"/>
    <col min="12" max="16384" width="9" style="100"/>
  </cols>
  <sheetData>
    <row r="1" ht="23" customHeight="1" spans="1:8">
      <c r="A1" s="135" t="s">
        <v>223</v>
      </c>
      <c r="B1" s="136" t="s">
        <v>2030</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2031</v>
      </c>
      <c r="F4" s="150"/>
      <c r="G4" s="150"/>
      <c r="H4" s="151"/>
    </row>
    <row r="5" ht="17.25" spans="1:8">
      <c r="A5" s="139">
        <v>2</v>
      </c>
      <c r="B5" s="146" t="s">
        <v>228</v>
      </c>
      <c r="C5" s="147"/>
      <c r="D5" s="148"/>
      <c r="E5" s="149" t="s">
        <v>2032</v>
      </c>
      <c r="F5" s="150"/>
      <c r="G5" s="150"/>
      <c r="H5" s="151"/>
    </row>
    <row r="6" ht="17.25" spans="1:8">
      <c r="A6" s="139">
        <v>3</v>
      </c>
      <c r="B6" s="146" t="s">
        <v>229</v>
      </c>
      <c r="C6" s="147"/>
      <c r="D6" s="148"/>
      <c r="E6" s="149"/>
      <c r="F6" s="150"/>
      <c r="G6" s="150"/>
      <c r="H6" s="151"/>
    </row>
    <row r="7" ht="17.25" spans="1:8">
      <c r="A7" s="139">
        <v>4</v>
      </c>
      <c r="B7" s="146" t="s">
        <v>231</v>
      </c>
      <c r="C7" s="147"/>
      <c r="D7" s="148"/>
      <c r="E7" s="149" t="s">
        <v>1961</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5.25" customHeight="1" spans="1:8">
      <c r="A11" s="139">
        <v>1</v>
      </c>
      <c r="B11" s="156" t="s">
        <v>242</v>
      </c>
      <c r="C11" s="139" t="s">
        <v>243</v>
      </c>
      <c r="D11" s="87" t="s">
        <v>243</v>
      </c>
      <c r="E11" s="139" t="s">
        <v>243</v>
      </c>
      <c r="F11" s="157"/>
      <c r="G11" s="139" t="s">
        <v>306</v>
      </c>
      <c r="H11" s="157"/>
    </row>
    <row r="12" ht="25.25" customHeight="1" spans="1:12">
      <c r="A12" s="139">
        <v>2</v>
      </c>
      <c r="B12" s="156" t="s">
        <v>242</v>
      </c>
      <c r="C12" s="139" t="s">
        <v>246</v>
      </c>
      <c r="D12" s="87" t="s">
        <v>246</v>
      </c>
      <c r="E12" s="139" t="s">
        <v>247</v>
      </c>
      <c r="F12" s="157"/>
      <c r="G12" s="139" t="s">
        <v>248</v>
      </c>
      <c r="H12" s="157"/>
      <c r="I12" s="139" t="s">
        <v>249</v>
      </c>
      <c r="J12" s="139" t="s">
        <v>247</v>
      </c>
      <c r="K12" s="139"/>
      <c r="L12" s="139" t="s">
        <v>365</v>
      </c>
    </row>
    <row r="13" ht="25.25" customHeight="1" spans="1:12">
      <c r="A13" s="139">
        <v>3</v>
      </c>
      <c r="B13" s="156" t="s">
        <v>242</v>
      </c>
      <c r="C13" s="139" t="s">
        <v>1921</v>
      </c>
      <c r="D13" s="87" t="s">
        <v>1921</v>
      </c>
      <c r="E13" s="139" t="s">
        <v>299</v>
      </c>
      <c r="F13" s="157" t="s">
        <v>1989</v>
      </c>
      <c r="G13" s="139" t="s">
        <v>248</v>
      </c>
      <c r="H13" s="157"/>
      <c r="I13" s="139"/>
      <c r="J13" s="139"/>
      <c r="K13" s="139"/>
      <c r="L13" s="139"/>
    </row>
    <row r="14" ht="25.25" customHeight="1" spans="1:12">
      <c r="A14" s="139">
        <v>4</v>
      </c>
      <c r="B14" s="156" t="s">
        <v>242</v>
      </c>
      <c r="C14" s="139" t="s">
        <v>330</v>
      </c>
      <c r="D14" s="87" t="s">
        <v>330</v>
      </c>
      <c r="E14" s="139" t="s">
        <v>332</v>
      </c>
      <c r="F14" s="157"/>
      <c r="G14" s="139" t="s">
        <v>248</v>
      </c>
      <c r="H14" s="157"/>
      <c r="I14" s="139"/>
      <c r="J14" s="139"/>
      <c r="K14" s="139"/>
      <c r="L14" s="139"/>
    </row>
    <row r="15" ht="25.25" customHeight="1" spans="1:12">
      <c r="A15" s="139">
        <v>5</v>
      </c>
      <c r="B15" s="156" t="s">
        <v>242</v>
      </c>
      <c r="C15" s="139" t="s">
        <v>335</v>
      </c>
      <c r="D15" s="87" t="s">
        <v>335</v>
      </c>
      <c r="E15" s="139" t="s">
        <v>337</v>
      </c>
      <c r="F15" s="157"/>
      <c r="G15" s="139" t="s">
        <v>248</v>
      </c>
      <c r="H15" s="157"/>
      <c r="I15" s="139"/>
      <c r="J15" s="139"/>
      <c r="K15" s="139"/>
      <c r="L15" s="139"/>
    </row>
    <row r="16" ht="25.25" customHeight="1" spans="1:12">
      <c r="A16" s="139">
        <v>6</v>
      </c>
      <c r="B16" s="156" t="s">
        <v>242</v>
      </c>
      <c r="C16" s="139" t="s">
        <v>2033</v>
      </c>
      <c r="D16" s="87" t="s">
        <v>2033</v>
      </c>
      <c r="E16" s="139" t="s">
        <v>2034</v>
      </c>
      <c r="F16" s="157" t="s">
        <v>2002</v>
      </c>
      <c r="G16" s="139" t="s">
        <v>248</v>
      </c>
      <c r="H16" s="157" t="s">
        <v>2035</v>
      </c>
      <c r="I16" s="139" t="s">
        <v>264</v>
      </c>
      <c r="J16" s="139" t="s">
        <v>265</v>
      </c>
      <c r="K16" s="139" t="s">
        <v>2034</v>
      </c>
      <c r="L16" s="139" t="s">
        <v>365</v>
      </c>
    </row>
    <row r="17" ht="25.25" customHeight="1" spans="1:12">
      <c r="A17" s="139">
        <v>7</v>
      </c>
      <c r="B17" s="156" t="s">
        <v>242</v>
      </c>
      <c r="C17" s="139" t="s">
        <v>2036</v>
      </c>
      <c r="D17" s="87" t="s">
        <v>2036</v>
      </c>
      <c r="E17" s="139" t="s">
        <v>2037</v>
      </c>
      <c r="F17" s="139" t="s">
        <v>2038</v>
      </c>
      <c r="G17" s="139" t="s">
        <v>248</v>
      </c>
      <c r="H17" s="157" t="s">
        <v>2039</v>
      </c>
      <c r="I17" s="139" t="s">
        <v>264</v>
      </c>
      <c r="J17" s="139" t="s">
        <v>265</v>
      </c>
      <c r="K17" s="139" t="s">
        <v>2037</v>
      </c>
      <c r="L17" s="139" t="s">
        <v>365</v>
      </c>
    </row>
    <row r="18" ht="25.25" customHeight="1" spans="1:8">
      <c r="A18" s="139">
        <v>8</v>
      </c>
      <c r="B18" s="156" t="s">
        <v>242</v>
      </c>
      <c r="C18" s="139" t="s">
        <v>2040</v>
      </c>
      <c r="D18" s="87" t="s">
        <v>2040</v>
      </c>
      <c r="E18" s="139" t="s">
        <v>2041</v>
      </c>
      <c r="F18" s="157"/>
      <c r="G18" s="139" t="s">
        <v>248</v>
      </c>
      <c r="H18" s="157"/>
    </row>
    <row r="19" ht="25.25" customHeight="1" spans="1:8">
      <c r="A19" s="139">
        <v>9</v>
      </c>
      <c r="B19" s="156" t="s">
        <v>242</v>
      </c>
      <c r="C19" s="139" t="s">
        <v>2042</v>
      </c>
      <c r="D19" s="87" t="s">
        <v>2042</v>
      </c>
      <c r="E19" s="139" t="s">
        <v>2043</v>
      </c>
      <c r="F19" s="157"/>
      <c r="G19" s="139" t="s">
        <v>248</v>
      </c>
      <c r="H19" s="157"/>
    </row>
    <row r="20" ht="25.25" customHeight="1" spans="1:8">
      <c r="A20" s="139">
        <v>10</v>
      </c>
      <c r="B20" s="139"/>
      <c r="C20" s="139" t="s">
        <v>569</v>
      </c>
      <c r="D20" s="87"/>
      <c r="E20" s="139" t="s">
        <v>570</v>
      </c>
      <c r="F20" s="139"/>
      <c r="G20" s="139" t="s">
        <v>306</v>
      </c>
      <c r="H20"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topLeftCell="A3" workbookViewId="0">
      <selection activeCell="K16" sqref="K16"/>
    </sheetView>
  </sheetViews>
  <sheetFormatPr defaultColWidth="9" defaultRowHeight="13.5"/>
  <cols>
    <col min="1" max="1" width="4.83333333333333" style="127" customWidth="1"/>
    <col min="2" max="2" width="5.83333333333333" style="100" customWidth="1"/>
    <col min="3" max="4" width="20.8333333333333" style="127" customWidth="1"/>
    <col min="5" max="5" width="26" style="127" customWidth="1"/>
    <col min="6" max="6" width="32.375" style="100" customWidth="1"/>
    <col min="7" max="7" width="20.8333333333333" style="127" customWidth="1"/>
    <col min="8" max="8" width="11.125" style="100" customWidth="1"/>
    <col min="9" max="9" width="15.625" style="100" customWidth="1"/>
    <col min="10" max="10" width="9" style="100"/>
    <col min="11" max="11" width="18.5" style="100" customWidth="1"/>
    <col min="12" max="16384" width="9" style="100"/>
  </cols>
  <sheetData>
    <row r="1" ht="23" customHeight="1" spans="1:8">
      <c r="A1" s="135" t="s">
        <v>223</v>
      </c>
      <c r="B1" s="136" t="s">
        <v>2044</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2045</v>
      </c>
      <c r="F4" s="150"/>
      <c r="G4" s="150"/>
      <c r="H4" s="151"/>
    </row>
    <row r="5" ht="17.25" spans="1:8">
      <c r="A5" s="139">
        <v>2</v>
      </c>
      <c r="B5" s="146" t="s">
        <v>228</v>
      </c>
      <c r="C5" s="147"/>
      <c r="D5" s="148"/>
      <c r="E5" s="149" t="s">
        <v>68</v>
      </c>
      <c r="F5" s="150"/>
      <c r="G5" s="150"/>
      <c r="H5" s="151"/>
    </row>
    <row r="6" ht="17.25" spans="1:8">
      <c r="A6" s="139">
        <v>3</v>
      </c>
      <c r="B6" s="146" t="s">
        <v>229</v>
      </c>
      <c r="C6" s="147"/>
      <c r="D6" s="148"/>
      <c r="E6" s="149"/>
      <c r="F6" s="150"/>
      <c r="G6" s="150"/>
      <c r="H6" s="151"/>
    </row>
    <row r="7" ht="17.25" spans="1:8">
      <c r="A7" s="139">
        <v>4</v>
      </c>
      <c r="B7" s="146" t="s">
        <v>231</v>
      </c>
      <c r="C7" s="147"/>
      <c r="D7" s="148"/>
      <c r="E7" s="149" t="s">
        <v>1999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152" t="s">
        <v>236</v>
      </c>
      <c r="E10" s="152" t="s">
        <v>238</v>
      </c>
      <c r="F10" s="153" t="s">
        <v>239</v>
      </c>
      <c r="G10" s="152" t="s">
        <v>240</v>
      </c>
      <c r="H10" s="153" t="s">
        <v>241</v>
      </c>
    </row>
    <row r="11" ht="25.25" customHeight="1" spans="1:8">
      <c r="A11" s="139">
        <f>ROW(A11)-10</f>
        <v>1</v>
      </c>
      <c r="B11" s="156" t="s">
        <v>242</v>
      </c>
      <c r="C11" s="139" t="s">
        <v>243</v>
      </c>
      <c r="D11" s="139" t="s">
        <v>243</v>
      </c>
      <c r="E11" s="139" t="s">
        <v>243</v>
      </c>
      <c r="F11" s="157"/>
      <c r="G11" s="139" t="s">
        <v>322</v>
      </c>
      <c r="H11" s="157"/>
    </row>
    <row r="12" ht="25.25" customHeight="1" spans="1:12">
      <c r="A12" s="139">
        <f t="shared" ref="A12:A21" si="0">ROW(A12)-10</f>
        <v>2</v>
      </c>
      <c r="B12" s="156" t="s">
        <v>242</v>
      </c>
      <c r="C12" s="139" t="s">
        <v>246</v>
      </c>
      <c r="D12" s="139" t="s">
        <v>246</v>
      </c>
      <c r="E12" s="139" t="s">
        <v>247</v>
      </c>
      <c r="F12" s="157"/>
      <c r="G12" s="139" t="s">
        <v>248</v>
      </c>
      <c r="H12" s="157"/>
      <c r="I12" s="139" t="s">
        <v>249</v>
      </c>
      <c r="J12" s="139" t="s">
        <v>247</v>
      </c>
      <c r="K12" s="139"/>
      <c r="L12" s="40" t="s">
        <v>365</v>
      </c>
    </row>
    <row r="13" ht="25.25" customHeight="1" spans="1:11">
      <c r="A13" s="139">
        <f t="shared" si="0"/>
        <v>3</v>
      </c>
      <c r="B13" s="156" t="s">
        <v>242</v>
      </c>
      <c r="C13" s="139" t="s">
        <v>2046</v>
      </c>
      <c r="D13" s="139" t="s">
        <v>2046</v>
      </c>
      <c r="E13" s="139" t="s">
        <v>332</v>
      </c>
      <c r="F13" s="157"/>
      <c r="G13" s="139" t="s">
        <v>334</v>
      </c>
      <c r="H13" s="157"/>
      <c r="I13" s="139"/>
      <c r="J13" s="139"/>
      <c r="K13" s="139"/>
    </row>
    <row r="14" ht="25.25" customHeight="1" spans="1:12">
      <c r="A14" s="139">
        <f t="shared" si="0"/>
        <v>4</v>
      </c>
      <c r="B14" s="156" t="s">
        <v>242</v>
      </c>
      <c r="C14" s="139" t="s">
        <v>2047</v>
      </c>
      <c r="D14" s="139" t="s">
        <v>2047</v>
      </c>
      <c r="E14" s="139" t="s">
        <v>2048</v>
      </c>
      <c r="F14" s="139" t="s">
        <v>2049</v>
      </c>
      <c r="G14" s="139" t="s">
        <v>248</v>
      </c>
      <c r="H14" s="157"/>
      <c r="I14" s="139" t="s">
        <v>264</v>
      </c>
      <c r="J14" s="139" t="s">
        <v>265</v>
      </c>
      <c r="K14" s="139" t="s">
        <v>2048</v>
      </c>
      <c r="L14" s="40" t="s">
        <v>365</v>
      </c>
    </row>
    <row r="15" ht="25.25" customHeight="1" spans="1:12">
      <c r="A15" s="139">
        <f t="shared" si="0"/>
        <v>5</v>
      </c>
      <c r="B15" s="156" t="s">
        <v>242</v>
      </c>
      <c r="C15" s="139" t="s">
        <v>2050</v>
      </c>
      <c r="D15" s="139" t="s">
        <v>2050</v>
      </c>
      <c r="E15" s="139" t="s">
        <v>2051</v>
      </c>
      <c r="F15" s="139" t="s">
        <v>2052</v>
      </c>
      <c r="G15" s="139" t="s">
        <v>248</v>
      </c>
      <c r="H15" s="157"/>
      <c r="I15" s="139" t="s">
        <v>264</v>
      </c>
      <c r="J15" s="139" t="s">
        <v>265</v>
      </c>
      <c r="K15" s="139" t="s">
        <v>2051</v>
      </c>
      <c r="L15" s="40" t="s">
        <v>365</v>
      </c>
    </row>
    <row r="16" ht="25.25" customHeight="1" spans="1:12">
      <c r="A16" s="139">
        <f t="shared" si="0"/>
        <v>6</v>
      </c>
      <c r="B16" s="156" t="s">
        <v>242</v>
      </c>
      <c r="C16" s="139" t="s">
        <v>2053</v>
      </c>
      <c r="D16" s="139" t="s">
        <v>2053</v>
      </c>
      <c r="E16" s="139" t="s">
        <v>2054</v>
      </c>
      <c r="F16" s="139" t="s">
        <v>2055</v>
      </c>
      <c r="G16" s="139" t="s">
        <v>248</v>
      </c>
      <c r="H16" s="157"/>
      <c r="I16" s="139" t="s">
        <v>264</v>
      </c>
      <c r="J16" s="139" t="s">
        <v>265</v>
      </c>
      <c r="K16" s="139" t="s">
        <v>2054</v>
      </c>
      <c r="L16" s="40" t="s">
        <v>365</v>
      </c>
    </row>
    <row r="17" ht="25.25" customHeight="1" spans="1:8">
      <c r="A17" s="139">
        <f t="shared" si="0"/>
        <v>7</v>
      </c>
      <c r="B17" s="139"/>
      <c r="C17" s="139" t="s">
        <v>2056</v>
      </c>
      <c r="D17" s="139" t="s">
        <v>2056</v>
      </c>
      <c r="E17" s="139" t="s">
        <v>2057</v>
      </c>
      <c r="F17" s="139"/>
      <c r="G17" s="139" t="s">
        <v>282</v>
      </c>
      <c r="H17" s="139"/>
    </row>
    <row r="18" ht="25.25" customHeight="1" spans="1:8">
      <c r="A18" s="139">
        <f t="shared" si="0"/>
        <v>8</v>
      </c>
      <c r="B18" s="139"/>
      <c r="C18" s="139" t="s">
        <v>2058</v>
      </c>
      <c r="D18" s="139" t="s">
        <v>2058</v>
      </c>
      <c r="E18" s="175" t="s">
        <v>2059</v>
      </c>
      <c r="F18" s="139"/>
      <c r="G18" s="139" t="s">
        <v>273</v>
      </c>
      <c r="H18" s="139"/>
    </row>
    <row r="19" ht="25.25" customHeight="1" spans="1:8">
      <c r="A19" s="139">
        <f t="shared" si="0"/>
        <v>9</v>
      </c>
      <c r="B19" s="139"/>
      <c r="C19" s="139" t="s">
        <v>2060</v>
      </c>
      <c r="D19" s="139" t="s">
        <v>2060</v>
      </c>
      <c r="E19" s="139" t="s">
        <v>2061</v>
      </c>
      <c r="F19" s="139"/>
      <c r="G19" s="139" t="s">
        <v>958</v>
      </c>
      <c r="H19" s="139"/>
    </row>
    <row r="20" ht="25.25" customHeight="1" spans="1:8">
      <c r="A20" s="139">
        <f t="shared" si="0"/>
        <v>10</v>
      </c>
      <c r="B20" s="139"/>
      <c r="C20" s="139" t="s">
        <v>2062</v>
      </c>
      <c r="D20" s="139" t="s">
        <v>2062</v>
      </c>
      <c r="E20" s="139" t="s">
        <v>2063</v>
      </c>
      <c r="F20" s="139"/>
      <c r="G20" s="139" t="s">
        <v>359</v>
      </c>
      <c r="H20" s="139"/>
    </row>
    <row r="21" ht="25.25" customHeight="1" spans="1:8">
      <c r="A21" s="139">
        <f t="shared" si="0"/>
        <v>11</v>
      </c>
      <c r="B21" s="139"/>
      <c r="C21" s="139" t="s">
        <v>569</v>
      </c>
      <c r="D21" s="139"/>
      <c r="E21" s="139" t="s">
        <v>570</v>
      </c>
      <c r="F21" s="139"/>
      <c r="G21" s="139" t="s">
        <v>320</v>
      </c>
      <c r="H21"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topLeftCell="A2" workbookViewId="0">
      <selection activeCell="K18" sqref="K18"/>
    </sheetView>
  </sheetViews>
  <sheetFormatPr defaultColWidth="9" defaultRowHeight="13.5"/>
  <cols>
    <col min="1" max="1" width="4.83333333333333" style="127" customWidth="1"/>
    <col min="2" max="2" width="5.83333333333333" style="100" customWidth="1"/>
    <col min="3" max="4" width="20.8333333333333" style="127" customWidth="1"/>
    <col min="5" max="5" width="33" style="127" customWidth="1"/>
    <col min="6" max="6" width="24.625" style="100" customWidth="1"/>
    <col min="7" max="7" width="20.8333333333333" style="127" customWidth="1"/>
    <col min="8" max="8" width="11.625" style="127" customWidth="1"/>
    <col min="9" max="9" width="21.375" style="100" customWidth="1"/>
    <col min="10" max="10" width="9.875" style="100" customWidth="1"/>
    <col min="11" max="11" width="17.5" style="100" customWidth="1"/>
    <col min="12" max="16384" width="9" style="100"/>
  </cols>
  <sheetData>
    <row r="1" ht="23" customHeight="1" spans="1:8">
      <c r="A1" s="135" t="s">
        <v>223</v>
      </c>
      <c r="B1" s="136" t="s">
        <v>2064</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2065</v>
      </c>
      <c r="F4" s="150"/>
      <c r="G4" s="150"/>
      <c r="H4" s="151"/>
    </row>
    <row r="5" ht="17.25" spans="1:8">
      <c r="A5" s="139">
        <v>2</v>
      </c>
      <c r="B5" s="146" t="s">
        <v>228</v>
      </c>
      <c r="C5" s="147"/>
      <c r="D5" s="148"/>
      <c r="E5" s="149"/>
      <c r="F5" s="150"/>
      <c r="G5" s="150"/>
      <c r="H5" s="151"/>
    </row>
    <row r="6" ht="17.25" spans="1:8">
      <c r="A6" s="139">
        <v>3</v>
      </c>
      <c r="B6" s="146" t="s">
        <v>229</v>
      </c>
      <c r="C6" s="147"/>
      <c r="D6" s="148"/>
      <c r="E6" s="149"/>
      <c r="F6" s="150"/>
      <c r="G6" s="150"/>
      <c r="H6" s="151"/>
    </row>
    <row r="7" ht="17.25" spans="1:8">
      <c r="A7" s="139">
        <v>4</v>
      </c>
      <c r="B7" s="146" t="s">
        <v>231</v>
      </c>
      <c r="C7" s="147"/>
      <c r="D7" s="148"/>
      <c r="E7" s="149"/>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2" t="s">
        <v>241</v>
      </c>
    </row>
    <row r="11" ht="25.25" customHeight="1" spans="1:8">
      <c r="A11" s="139">
        <v>1</v>
      </c>
      <c r="B11" s="161" t="s">
        <v>242</v>
      </c>
      <c r="C11" s="139" t="s">
        <v>243</v>
      </c>
      <c r="D11" s="87" t="s">
        <v>243</v>
      </c>
      <c r="E11" s="139" t="s">
        <v>243</v>
      </c>
      <c r="F11" s="157"/>
      <c r="G11" s="139" t="s">
        <v>306</v>
      </c>
      <c r="H11" s="139"/>
    </row>
    <row r="12" ht="25.25" customHeight="1" spans="1:12">
      <c r="A12" s="139">
        <v>2</v>
      </c>
      <c r="B12" s="161" t="s">
        <v>242</v>
      </c>
      <c r="C12" s="139" t="s">
        <v>246</v>
      </c>
      <c r="D12" s="87" t="s">
        <v>246</v>
      </c>
      <c r="E12" s="139" t="s">
        <v>247</v>
      </c>
      <c r="F12" s="157"/>
      <c r="G12" s="139" t="s">
        <v>248</v>
      </c>
      <c r="H12" s="139"/>
      <c r="I12" s="139" t="s">
        <v>249</v>
      </c>
      <c r="J12" s="139" t="s">
        <v>247</v>
      </c>
      <c r="K12" s="139"/>
      <c r="L12" s="139" t="s">
        <v>365</v>
      </c>
    </row>
    <row r="13" ht="25.25" customHeight="1" spans="1:12">
      <c r="A13" s="139">
        <v>3</v>
      </c>
      <c r="B13" s="161" t="s">
        <v>242</v>
      </c>
      <c r="C13" s="139" t="s">
        <v>330</v>
      </c>
      <c r="D13" s="87" t="s">
        <v>330</v>
      </c>
      <c r="E13" s="139" t="s">
        <v>332</v>
      </c>
      <c r="F13" s="157"/>
      <c r="G13" s="139" t="s">
        <v>334</v>
      </c>
      <c r="H13" s="139"/>
      <c r="I13" s="139"/>
      <c r="J13" s="139"/>
      <c r="K13" s="139"/>
      <c r="L13" s="139"/>
    </row>
    <row r="14" ht="25.25" customHeight="1" spans="1:12">
      <c r="A14" s="139">
        <v>4</v>
      </c>
      <c r="B14" s="161" t="s">
        <v>242</v>
      </c>
      <c r="C14" s="139" t="s">
        <v>335</v>
      </c>
      <c r="D14" s="87" t="s">
        <v>335</v>
      </c>
      <c r="E14" s="139" t="s">
        <v>337</v>
      </c>
      <c r="F14" s="157"/>
      <c r="G14" s="139" t="s">
        <v>282</v>
      </c>
      <c r="H14" s="139"/>
      <c r="I14" s="139"/>
      <c r="J14" s="139"/>
      <c r="K14" s="139"/>
      <c r="L14" s="139"/>
    </row>
    <row r="15" ht="25.25" customHeight="1" spans="1:12">
      <c r="A15" s="139">
        <v>5</v>
      </c>
      <c r="B15" s="161" t="s">
        <v>242</v>
      </c>
      <c r="C15" s="139" t="s">
        <v>2066</v>
      </c>
      <c r="D15" s="87" t="s">
        <v>2067</v>
      </c>
      <c r="E15" s="139" t="s">
        <v>2068</v>
      </c>
      <c r="F15" s="157" t="s">
        <v>2069</v>
      </c>
      <c r="G15" s="139" t="s">
        <v>263</v>
      </c>
      <c r="H15" s="139" t="s">
        <v>2070</v>
      </c>
      <c r="I15" s="139" t="s">
        <v>2071</v>
      </c>
      <c r="J15" s="139" t="s">
        <v>243</v>
      </c>
      <c r="K15" s="139"/>
      <c r="L15" s="139" t="s">
        <v>365</v>
      </c>
    </row>
    <row r="16" ht="25.25" customHeight="1" spans="1:12">
      <c r="A16" s="139">
        <v>6</v>
      </c>
      <c r="B16" s="161" t="s">
        <v>242</v>
      </c>
      <c r="C16" s="139" t="s">
        <v>2072</v>
      </c>
      <c r="D16" s="87" t="s">
        <v>2072</v>
      </c>
      <c r="E16" s="139" t="s">
        <v>2073</v>
      </c>
      <c r="F16" s="157"/>
      <c r="G16" s="139" t="s">
        <v>282</v>
      </c>
      <c r="H16" s="139"/>
      <c r="I16" s="139"/>
      <c r="J16" s="139"/>
      <c r="K16" s="139"/>
      <c r="L16" s="139"/>
    </row>
    <row r="17" ht="25.25" customHeight="1" spans="1:12">
      <c r="A17" s="139">
        <v>7</v>
      </c>
      <c r="B17" s="161" t="s">
        <v>242</v>
      </c>
      <c r="C17" s="139" t="s">
        <v>2074</v>
      </c>
      <c r="D17" s="87" t="s">
        <v>2074</v>
      </c>
      <c r="E17" s="139" t="s">
        <v>2075</v>
      </c>
      <c r="F17" s="157"/>
      <c r="G17" s="139" t="s">
        <v>320</v>
      </c>
      <c r="H17" s="139"/>
      <c r="I17" s="139"/>
      <c r="J17" s="139"/>
      <c r="K17" s="139"/>
      <c r="L17" s="139"/>
    </row>
    <row r="18" ht="25.25" customHeight="1" spans="1:12">
      <c r="A18" s="139">
        <v>8</v>
      </c>
      <c r="B18" s="161" t="s">
        <v>242</v>
      </c>
      <c r="C18" s="139" t="s">
        <v>2076</v>
      </c>
      <c r="D18" s="87" t="s">
        <v>2077</v>
      </c>
      <c r="E18" s="139" t="s">
        <v>2078</v>
      </c>
      <c r="F18" s="157" t="s">
        <v>2079</v>
      </c>
      <c r="G18" s="139" t="s">
        <v>263</v>
      </c>
      <c r="H18" s="139"/>
      <c r="I18" s="139" t="s">
        <v>264</v>
      </c>
      <c r="J18" s="139" t="s">
        <v>265</v>
      </c>
      <c r="K18" s="139" t="s">
        <v>2078</v>
      </c>
      <c r="L18" s="139" t="s">
        <v>365</v>
      </c>
    </row>
    <row r="19" ht="25.25" customHeight="1" spans="1:8">
      <c r="A19" s="139">
        <v>9</v>
      </c>
      <c r="B19" s="161" t="s">
        <v>242</v>
      </c>
      <c r="C19" s="139" t="s">
        <v>2080</v>
      </c>
      <c r="D19" s="87" t="s">
        <v>2080</v>
      </c>
      <c r="E19" s="139" t="s">
        <v>2081</v>
      </c>
      <c r="F19" s="157" t="s">
        <v>1989</v>
      </c>
      <c r="G19" s="139" t="s">
        <v>282</v>
      </c>
      <c r="H19" s="139"/>
    </row>
    <row r="20" ht="25.25" customHeight="1" spans="1:8">
      <c r="A20" s="139">
        <v>10</v>
      </c>
      <c r="B20" s="161" t="s">
        <v>242</v>
      </c>
      <c r="C20" s="139" t="s">
        <v>2082</v>
      </c>
      <c r="D20" s="87" t="s">
        <v>2082</v>
      </c>
      <c r="E20" s="139" t="s">
        <v>2083</v>
      </c>
      <c r="F20" s="157"/>
      <c r="G20" s="139" t="s">
        <v>320</v>
      </c>
      <c r="H20" s="139"/>
    </row>
    <row r="21" ht="25.25" customHeight="1" spans="1:8">
      <c r="A21" s="139">
        <v>11</v>
      </c>
      <c r="B21" s="161" t="s">
        <v>242</v>
      </c>
      <c r="C21" s="139" t="s">
        <v>2084</v>
      </c>
      <c r="D21" s="87" t="s">
        <v>2084</v>
      </c>
      <c r="E21" s="139" t="s">
        <v>2085</v>
      </c>
      <c r="F21" s="157"/>
      <c r="G21" s="139" t="s">
        <v>248</v>
      </c>
      <c r="H21" s="139"/>
    </row>
    <row r="22" ht="25.25" customHeight="1" spans="1:8">
      <c r="A22" s="139">
        <v>12</v>
      </c>
      <c r="B22" s="157"/>
      <c r="C22" s="139" t="s">
        <v>2086</v>
      </c>
      <c r="D22" s="87" t="s">
        <v>2086</v>
      </c>
      <c r="E22" s="139" t="s">
        <v>2087</v>
      </c>
      <c r="F22" s="157" t="s">
        <v>1989</v>
      </c>
      <c r="G22" s="139" t="s">
        <v>282</v>
      </c>
      <c r="H22" s="139"/>
    </row>
    <row r="23" ht="25.25" customHeight="1" spans="1:8">
      <c r="A23" s="139">
        <v>13</v>
      </c>
      <c r="B23" s="157"/>
      <c r="C23" s="139" t="s">
        <v>2088</v>
      </c>
      <c r="D23" s="87" t="s">
        <v>2088</v>
      </c>
      <c r="E23" s="139" t="s">
        <v>2089</v>
      </c>
      <c r="F23" s="157"/>
      <c r="G23" s="139" t="s">
        <v>248</v>
      </c>
      <c r="H23"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17" workbookViewId="0">
      <selection activeCell="F34" sqref="F34"/>
    </sheetView>
  </sheetViews>
  <sheetFormatPr defaultColWidth="9" defaultRowHeight="13.5"/>
  <cols>
    <col min="1" max="1" width="4.83333333333333" style="127" customWidth="1"/>
    <col min="2" max="2" width="5.83333333333333" style="100" customWidth="1"/>
    <col min="3" max="5" width="20.8333333333333" style="127" customWidth="1"/>
    <col min="6" max="6" width="37.5" style="100" customWidth="1"/>
    <col min="7" max="7" width="20.8333333333333" style="127" customWidth="1"/>
    <col min="8" max="8" width="9.625" style="100" customWidth="1"/>
    <col min="9" max="9" width="20.8333333333333" style="100" customWidth="1"/>
    <col min="10" max="10" width="13.6666666666667" style="100" customWidth="1"/>
    <col min="11" max="11" width="26.1666666666667" style="100" customWidth="1"/>
    <col min="12" max="16384" width="9" style="100"/>
  </cols>
  <sheetData>
    <row r="1" ht="23" customHeight="1" spans="1:8">
      <c r="A1" s="135" t="s">
        <v>223</v>
      </c>
      <c r="B1" s="136" t="s">
        <v>2090</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2091</v>
      </c>
      <c r="F4" s="150"/>
      <c r="G4" s="150"/>
      <c r="H4" s="151"/>
    </row>
    <row r="5" ht="17.25" spans="1:8">
      <c r="A5" s="139">
        <v>2</v>
      </c>
      <c r="B5" s="146" t="s">
        <v>228</v>
      </c>
      <c r="C5" s="147"/>
      <c r="D5" s="148"/>
      <c r="E5" s="149" t="s">
        <v>2092</v>
      </c>
      <c r="F5" s="150"/>
      <c r="G5" s="150"/>
      <c r="H5" s="151"/>
    </row>
    <row r="6" ht="17.25" spans="1:8">
      <c r="A6" s="139">
        <v>3</v>
      </c>
      <c r="B6" s="146" t="s">
        <v>229</v>
      </c>
      <c r="C6" s="147"/>
      <c r="D6" s="148"/>
      <c r="E6" s="149"/>
      <c r="F6" s="150"/>
      <c r="G6" s="150"/>
      <c r="H6" s="151"/>
    </row>
    <row r="7" ht="17.25" spans="1:8">
      <c r="A7" s="139">
        <v>4</v>
      </c>
      <c r="B7" s="146" t="s">
        <v>231</v>
      </c>
      <c r="C7" s="147"/>
      <c r="D7" s="148"/>
      <c r="E7" s="149" t="s">
        <v>2093</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5.25" customHeight="1" spans="1:8">
      <c r="A11" s="139">
        <f>ROW(A11)-10</f>
        <v>1</v>
      </c>
      <c r="B11" s="156" t="s">
        <v>242</v>
      </c>
      <c r="C11" s="139" t="s">
        <v>243</v>
      </c>
      <c r="D11" s="87" t="s">
        <v>243</v>
      </c>
      <c r="E11" s="139" t="s">
        <v>243</v>
      </c>
      <c r="F11" s="157"/>
      <c r="G11" s="139" t="s">
        <v>306</v>
      </c>
      <c r="H11" s="157"/>
    </row>
    <row r="12" ht="25.25" customHeight="1" spans="1:12">
      <c r="A12" s="139">
        <f>ROW(A12)-10</f>
        <v>2</v>
      </c>
      <c r="B12" s="156"/>
      <c r="C12" s="139" t="s">
        <v>246</v>
      </c>
      <c r="D12" s="87" t="s">
        <v>246</v>
      </c>
      <c r="E12" s="139" t="s">
        <v>247</v>
      </c>
      <c r="F12" s="139"/>
      <c r="G12" s="139" t="s">
        <v>248</v>
      </c>
      <c r="H12" s="155"/>
      <c r="I12" s="139" t="s">
        <v>249</v>
      </c>
      <c r="J12" s="139" t="s">
        <v>247</v>
      </c>
      <c r="K12" s="139"/>
      <c r="L12" s="139" t="s">
        <v>365</v>
      </c>
    </row>
    <row r="13" ht="25.25" customHeight="1" spans="1:12">
      <c r="A13" s="139">
        <f>ROW(A13)-10</f>
        <v>3</v>
      </c>
      <c r="B13" s="156"/>
      <c r="C13" s="139" t="s">
        <v>2094</v>
      </c>
      <c r="D13" s="87" t="s">
        <v>2094</v>
      </c>
      <c r="E13" s="139" t="s">
        <v>2095</v>
      </c>
      <c r="F13" s="139" t="s">
        <v>2096</v>
      </c>
      <c r="G13" s="139" t="s">
        <v>263</v>
      </c>
      <c r="H13" s="155"/>
      <c r="I13" s="139" t="s">
        <v>264</v>
      </c>
      <c r="J13" s="139" t="s">
        <v>265</v>
      </c>
      <c r="K13" s="139" t="s">
        <v>2095</v>
      </c>
      <c r="L13" s="139" t="s">
        <v>365</v>
      </c>
    </row>
    <row r="14" ht="25.25" customHeight="1" spans="1:12">
      <c r="A14" s="139">
        <f>ROW(A14)-10</f>
        <v>4</v>
      </c>
      <c r="B14" s="156"/>
      <c r="C14" s="139" t="s">
        <v>2097</v>
      </c>
      <c r="D14" s="87" t="s">
        <v>2097</v>
      </c>
      <c r="E14" s="139" t="s">
        <v>2098</v>
      </c>
      <c r="F14" s="139" t="s">
        <v>2099</v>
      </c>
      <c r="G14" s="139" t="s">
        <v>248</v>
      </c>
      <c r="H14" s="155"/>
      <c r="I14" s="139" t="s">
        <v>264</v>
      </c>
      <c r="J14" s="139" t="s">
        <v>265</v>
      </c>
      <c r="K14" s="139" t="s">
        <v>2098</v>
      </c>
      <c r="L14" s="139" t="s">
        <v>365</v>
      </c>
    </row>
    <row r="15" ht="25.25" customHeight="1" spans="1:12">
      <c r="A15" s="139">
        <f t="shared" ref="A15:A26" si="0">ROW(A15)-10</f>
        <v>5</v>
      </c>
      <c r="B15" s="156"/>
      <c r="C15" s="139" t="s">
        <v>2100</v>
      </c>
      <c r="D15" s="87" t="s">
        <v>2100</v>
      </c>
      <c r="E15" s="139" t="s">
        <v>265</v>
      </c>
      <c r="F15" s="157"/>
      <c r="G15" s="139" t="s">
        <v>248</v>
      </c>
      <c r="H15" s="157"/>
      <c r="I15" s="139"/>
      <c r="J15" s="139"/>
      <c r="K15" s="139"/>
      <c r="L15" s="139"/>
    </row>
    <row r="16" ht="25.25" customHeight="1" spans="1:12">
      <c r="A16" s="139">
        <f t="shared" si="0"/>
        <v>6</v>
      </c>
      <c r="B16" s="156" t="s">
        <v>242</v>
      </c>
      <c r="C16" s="139" t="s">
        <v>1263</v>
      </c>
      <c r="D16" s="87" t="s">
        <v>1263</v>
      </c>
      <c r="E16" s="139" t="s">
        <v>365</v>
      </c>
      <c r="F16" s="157"/>
      <c r="G16" s="139" t="s">
        <v>248</v>
      </c>
      <c r="H16" s="157"/>
      <c r="I16" s="139"/>
      <c r="J16" s="139"/>
      <c r="K16" s="139"/>
      <c r="L16" s="139"/>
    </row>
    <row r="17" ht="25.25" customHeight="1" spans="1:12">
      <c r="A17" s="139">
        <f t="shared" si="0"/>
        <v>7</v>
      </c>
      <c r="B17" s="156" t="s">
        <v>242</v>
      </c>
      <c r="C17" s="139" t="s">
        <v>2101</v>
      </c>
      <c r="D17" s="87" t="s">
        <v>2102</v>
      </c>
      <c r="E17" s="139" t="s">
        <v>2103</v>
      </c>
      <c r="F17" s="157"/>
      <c r="G17" s="139" t="s">
        <v>248</v>
      </c>
      <c r="H17" s="157"/>
      <c r="I17" s="139" t="s">
        <v>2104</v>
      </c>
      <c r="J17" s="139" t="s">
        <v>243</v>
      </c>
      <c r="K17" s="139"/>
      <c r="L17" s="139" t="s">
        <v>365</v>
      </c>
    </row>
    <row r="18" ht="25.25" customHeight="1" spans="1:8">
      <c r="A18" s="139">
        <f t="shared" si="0"/>
        <v>8</v>
      </c>
      <c r="B18" s="156" t="s">
        <v>242</v>
      </c>
      <c r="C18" s="139" t="s">
        <v>574</v>
      </c>
      <c r="D18" s="87" t="s">
        <v>574</v>
      </c>
      <c r="E18" s="139" t="s">
        <v>575</v>
      </c>
      <c r="F18" s="139" t="s">
        <v>2105</v>
      </c>
      <c r="G18" s="139" t="s">
        <v>576</v>
      </c>
      <c r="H18" s="139"/>
    </row>
    <row r="19" ht="25.25" customHeight="1" spans="1:10">
      <c r="A19" s="139">
        <f t="shared" si="0"/>
        <v>9</v>
      </c>
      <c r="B19" s="156" t="s">
        <v>242</v>
      </c>
      <c r="C19" s="139" t="s">
        <v>572</v>
      </c>
      <c r="D19" s="87" t="s">
        <v>572</v>
      </c>
      <c r="E19" s="139" t="s">
        <v>2106</v>
      </c>
      <c r="F19" s="139"/>
      <c r="G19" s="139" t="s">
        <v>248</v>
      </c>
      <c r="H19" s="139"/>
      <c r="I19" s="159"/>
      <c r="J19" s="130"/>
    </row>
    <row r="20" ht="25.25" customHeight="1" spans="1:10">
      <c r="A20" s="139">
        <f t="shared" si="0"/>
        <v>10</v>
      </c>
      <c r="B20" s="156" t="s">
        <v>242</v>
      </c>
      <c r="C20" s="139" t="s">
        <v>579</v>
      </c>
      <c r="D20" s="87" t="s">
        <v>579</v>
      </c>
      <c r="E20" s="139" t="s">
        <v>580</v>
      </c>
      <c r="F20" s="139" t="s">
        <v>2105</v>
      </c>
      <c r="G20" s="139" t="s">
        <v>576</v>
      </c>
      <c r="H20" s="139"/>
      <c r="I20" s="159"/>
      <c r="J20" s="130"/>
    </row>
    <row r="21" ht="25.25" customHeight="1" spans="1:10">
      <c r="A21" s="139">
        <f t="shared" si="0"/>
        <v>11</v>
      </c>
      <c r="B21" s="156" t="s">
        <v>242</v>
      </c>
      <c r="C21" s="139" t="s">
        <v>577</v>
      </c>
      <c r="D21" s="87" t="s">
        <v>577</v>
      </c>
      <c r="E21" s="139" t="s">
        <v>2107</v>
      </c>
      <c r="F21" s="139"/>
      <c r="G21" s="139" t="s">
        <v>248</v>
      </c>
      <c r="H21" s="139"/>
      <c r="I21" s="159"/>
      <c r="J21" s="130"/>
    </row>
    <row r="22" ht="25.25" customHeight="1" spans="1:10">
      <c r="A22" s="139">
        <f t="shared" si="0"/>
        <v>12</v>
      </c>
      <c r="B22" s="156"/>
      <c r="C22" s="139" t="s">
        <v>1429</v>
      </c>
      <c r="D22" s="87" t="s">
        <v>1429</v>
      </c>
      <c r="E22" s="139" t="s">
        <v>299</v>
      </c>
      <c r="F22" s="139"/>
      <c r="G22" s="139" t="s">
        <v>282</v>
      </c>
      <c r="H22" s="139"/>
      <c r="I22" s="159"/>
      <c r="J22" s="130"/>
    </row>
    <row r="23" ht="25.25" customHeight="1" spans="1:10">
      <c r="A23" s="139">
        <f t="shared" si="0"/>
        <v>13</v>
      </c>
      <c r="B23" s="156"/>
      <c r="C23" s="139" t="s">
        <v>2108</v>
      </c>
      <c r="D23" s="87" t="s">
        <v>2108</v>
      </c>
      <c r="E23" s="139" t="s">
        <v>1354</v>
      </c>
      <c r="F23" s="139"/>
      <c r="G23" s="139" t="s">
        <v>359</v>
      </c>
      <c r="H23" s="139"/>
      <c r="I23" s="159"/>
      <c r="J23" s="130"/>
    </row>
    <row r="24" ht="51.75" spans="1:8">
      <c r="A24" s="139">
        <f t="shared" si="0"/>
        <v>14</v>
      </c>
      <c r="B24" s="139"/>
      <c r="C24" s="139" t="s">
        <v>2109</v>
      </c>
      <c r="D24" s="139" t="s">
        <v>2109</v>
      </c>
      <c r="E24" s="139" t="s">
        <v>2110</v>
      </c>
      <c r="F24" s="139" t="s">
        <v>2111</v>
      </c>
      <c r="G24" s="139" t="s">
        <v>248</v>
      </c>
      <c r="H24" s="139"/>
    </row>
    <row r="25" ht="51.75" spans="1:8">
      <c r="A25" s="139">
        <f t="shared" si="0"/>
        <v>15</v>
      </c>
      <c r="B25" s="139"/>
      <c r="C25" s="139" t="s">
        <v>2112</v>
      </c>
      <c r="D25" s="139" t="s">
        <v>2112</v>
      </c>
      <c r="E25" s="139" t="s">
        <v>2113</v>
      </c>
      <c r="F25" s="139" t="s">
        <v>2114</v>
      </c>
      <c r="G25" s="139" t="s">
        <v>248</v>
      </c>
      <c r="H25" s="139"/>
    </row>
    <row r="26" ht="31" customHeight="1" spans="1:8">
      <c r="A26" s="139">
        <f t="shared" si="0"/>
        <v>16</v>
      </c>
      <c r="B26" s="139"/>
      <c r="C26" s="139" t="s">
        <v>2115</v>
      </c>
      <c r="D26" s="139" t="s">
        <v>2115</v>
      </c>
      <c r="E26" s="139" t="s">
        <v>2116</v>
      </c>
      <c r="F26" s="139" t="s">
        <v>2096</v>
      </c>
      <c r="G26" s="139" t="s">
        <v>263</v>
      </c>
      <c r="H26"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E4" sqref="E4:H4"/>
    </sheetView>
  </sheetViews>
  <sheetFormatPr defaultColWidth="9" defaultRowHeight="13.5" outlineLevelCol="7"/>
  <cols>
    <col min="1" max="1" width="9" style="100"/>
    <col min="2" max="2" width="7" style="100" customWidth="1"/>
    <col min="3" max="3" width="27.1666666666667" style="100" customWidth="1"/>
    <col min="4" max="4" width="16.8333333333333" style="100" customWidth="1"/>
    <col min="5" max="5" width="26.8333333333333" style="100" customWidth="1"/>
    <col min="6" max="6" width="26.1666666666667" style="100" customWidth="1"/>
    <col min="7" max="7" width="37.8333333333333" style="100" customWidth="1"/>
    <col min="8" max="8" width="10.5" style="100" customWidth="1"/>
    <col min="9" max="16384" width="9" style="100"/>
  </cols>
  <sheetData>
    <row r="1" ht="14.25" spans="1:8">
      <c r="A1" s="135" t="s">
        <v>223</v>
      </c>
      <c r="B1" s="136" t="s">
        <v>2117</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2104</v>
      </c>
      <c r="F4" s="150"/>
      <c r="G4" s="150"/>
      <c r="H4" s="151"/>
    </row>
    <row r="5" ht="17.25" spans="1:8">
      <c r="A5" s="139">
        <v>2</v>
      </c>
      <c r="B5" s="146" t="s">
        <v>228</v>
      </c>
      <c r="C5" s="147"/>
      <c r="D5" s="148"/>
      <c r="E5" s="149" t="s">
        <v>2118</v>
      </c>
      <c r="F5" s="150"/>
      <c r="G5" s="150"/>
      <c r="H5" s="151"/>
    </row>
    <row r="6" ht="17.25" spans="1:8">
      <c r="A6" s="139">
        <v>3</v>
      </c>
      <c r="B6" s="146" t="s">
        <v>229</v>
      </c>
      <c r="C6" s="147"/>
      <c r="D6" s="148"/>
      <c r="E6" s="149"/>
      <c r="F6" s="150"/>
      <c r="G6" s="150"/>
      <c r="H6" s="151"/>
    </row>
    <row r="7" ht="17.25" spans="1:8">
      <c r="A7" s="139">
        <v>4</v>
      </c>
      <c r="B7" s="146" t="s">
        <v>231</v>
      </c>
      <c r="C7" s="147"/>
      <c r="D7" s="148"/>
      <c r="E7" s="149" t="s">
        <v>2093</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5.25" customHeight="1" spans="1:8">
      <c r="A11" s="139">
        <v>1</v>
      </c>
      <c r="B11" s="156" t="s">
        <v>242</v>
      </c>
      <c r="C11" s="139" t="s">
        <v>243</v>
      </c>
      <c r="D11" s="87" t="s">
        <v>243</v>
      </c>
      <c r="E11" s="139" t="s">
        <v>243</v>
      </c>
      <c r="F11" s="157"/>
      <c r="G11" s="139" t="s">
        <v>306</v>
      </c>
      <c r="H11" s="157"/>
    </row>
    <row r="12" ht="25.25" customHeight="1" spans="1:8">
      <c r="A12" s="139">
        <v>2</v>
      </c>
      <c r="B12" s="156" t="s">
        <v>242</v>
      </c>
      <c r="C12" s="139" t="s">
        <v>2119</v>
      </c>
      <c r="D12" s="87" t="s">
        <v>2119</v>
      </c>
      <c r="E12" s="139" t="s">
        <v>265</v>
      </c>
      <c r="F12" s="157"/>
      <c r="G12" s="139" t="s">
        <v>248</v>
      </c>
      <c r="H12" s="157"/>
    </row>
    <row r="13" ht="25.25" customHeight="1" spans="1:8">
      <c r="A13" s="139">
        <v>3</v>
      </c>
      <c r="B13" s="156" t="s">
        <v>242</v>
      </c>
      <c r="C13" s="139" t="s">
        <v>1880</v>
      </c>
      <c r="D13" s="87" t="s">
        <v>1880</v>
      </c>
      <c r="E13" s="139" t="s">
        <v>365</v>
      </c>
      <c r="F13" s="157"/>
      <c r="G13" s="139" t="s">
        <v>320</v>
      </c>
      <c r="H13" s="157"/>
    </row>
    <row r="14" ht="25.25" customHeight="1" spans="1:8">
      <c r="A14" s="139">
        <v>4</v>
      </c>
      <c r="B14" s="156" t="s">
        <v>242</v>
      </c>
      <c r="C14" s="139" t="s">
        <v>574</v>
      </c>
      <c r="D14" s="87" t="s">
        <v>574</v>
      </c>
      <c r="E14" s="139" t="s">
        <v>575</v>
      </c>
      <c r="F14" s="139" t="s">
        <v>2105</v>
      </c>
      <c r="G14" s="139" t="s">
        <v>576</v>
      </c>
      <c r="H14" s="139"/>
    </row>
    <row r="15" ht="25.25" customHeight="1" spans="1:8">
      <c r="A15" s="139">
        <v>5</v>
      </c>
      <c r="B15" s="156" t="s">
        <v>242</v>
      </c>
      <c r="C15" s="139" t="s">
        <v>572</v>
      </c>
      <c r="D15" s="87" t="s">
        <v>572</v>
      </c>
      <c r="E15" s="139" t="s">
        <v>2106</v>
      </c>
      <c r="F15" s="139"/>
      <c r="G15" s="139" t="s">
        <v>248</v>
      </c>
      <c r="H15" s="139"/>
    </row>
    <row r="16" ht="25.25" customHeight="1" spans="1:8">
      <c r="A16" s="139">
        <v>6</v>
      </c>
      <c r="B16" s="156" t="s">
        <v>242</v>
      </c>
      <c r="C16" s="139" t="s">
        <v>579</v>
      </c>
      <c r="D16" s="87" t="s">
        <v>579</v>
      </c>
      <c r="E16" s="139" t="s">
        <v>580</v>
      </c>
      <c r="F16" s="139" t="s">
        <v>2105</v>
      </c>
      <c r="G16" s="139" t="s">
        <v>576</v>
      </c>
      <c r="H16" s="139"/>
    </row>
    <row r="17" ht="25.25" customHeight="1" spans="1:8">
      <c r="A17" s="139">
        <v>7</v>
      </c>
      <c r="B17" s="156" t="s">
        <v>242</v>
      </c>
      <c r="C17" s="139" t="s">
        <v>577</v>
      </c>
      <c r="D17" s="87" t="s">
        <v>577</v>
      </c>
      <c r="E17" s="139" t="s">
        <v>2107</v>
      </c>
      <c r="F17" s="139"/>
      <c r="G17" s="139" t="s">
        <v>248</v>
      </c>
      <c r="H17"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A6" workbookViewId="0">
      <selection activeCell="E11" sqref="E11:E27"/>
    </sheetView>
  </sheetViews>
  <sheetFormatPr defaultColWidth="9" defaultRowHeight="13.5"/>
  <cols>
    <col min="1" max="2" width="9" style="100"/>
    <col min="3" max="4" width="23.1666666666667" style="100" customWidth="1"/>
    <col min="5" max="5" width="27.8333333333333" style="100" customWidth="1"/>
    <col min="6" max="6" width="22.75" style="100" customWidth="1"/>
    <col min="7" max="7" width="23.6666666666667" style="100" customWidth="1"/>
    <col min="8" max="8" width="10.25" style="100" customWidth="1"/>
    <col min="9" max="9" width="19.75" style="100" customWidth="1"/>
    <col min="10" max="10" width="13" style="100" customWidth="1"/>
    <col min="11" max="11" width="20.8333333333333" style="100" customWidth="1"/>
    <col min="12" max="16384" width="9" style="100"/>
  </cols>
  <sheetData>
    <row r="1" ht="14.25" spans="1:8">
      <c r="A1" s="135" t="s">
        <v>223</v>
      </c>
      <c r="B1" s="136" t="s">
        <v>2120</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2121</v>
      </c>
      <c r="F4" s="150"/>
      <c r="G4" s="150"/>
      <c r="H4" s="151"/>
    </row>
    <row r="5" ht="17.25" spans="1:8">
      <c r="A5" s="139">
        <v>2</v>
      </c>
      <c r="B5" s="146" t="s">
        <v>228</v>
      </c>
      <c r="C5" s="147"/>
      <c r="D5" s="148"/>
      <c r="E5" s="149" t="s">
        <v>2122</v>
      </c>
      <c r="F5" s="150"/>
      <c r="G5" s="150"/>
      <c r="H5" s="151"/>
    </row>
    <row r="6" ht="17.25" spans="1:8">
      <c r="A6" s="139">
        <v>3</v>
      </c>
      <c r="B6" s="146" t="s">
        <v>229</v>
      </c>
      <c r="C6" s="147"/>
      <c r="D6" s="148"/>
      <c r="E6" s="149"/>
      <c r="F6" s="150"/>
      <c r="G6" s="150"/>
      <c r="H6" s="151"/>
    </row>
    <row r="7" ht="17.25" spans="1:8">
      <c r="A7" s="139">
        <v>4</v>
      </c>
      <c r="B7" s="146" t="s">
        <v>231</v>
      </c>
      <c r="C7" s="147"/>
      <c r="D7" s="148"/>
      <c r="E7" s="149" t="s">
        <v>2093</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5.25" customHeight="1" spans="1:8">
      <c r="A11" s="139">
        <v>1</v>
      </c>
      <c r="B11" s="156" t="s">
        <v>242</v>
      </c>
      <c r="C11" s="139" t="s">
        <v>243</v>
      </c>
      <c r="D11" s="87" t="s">
        <v>243</v>
      </c>
      <c r="E11" s="139" t="s">
        <v>243</v>
      </c>
      <c r="F11" s="157"/>
      <c r="G11" s="139" t="s">
        <v>306</v>
      </c>
      <c r="H11" s="157"/>
    </row>
    <row r="12" ht="25.25" customHeight="1" spans="1:12">
      <c r="A12" s="139">
        <v>2</v>
      </c>
      <c r="B12" s="156"/>
      <c r="C12" s="139" t="s">
        <v>246</v>
      </c>
      <c r="D12" s="87" t="s">
        <v>246</v>
      </c>
      <c r="E12" s="139" t="s">
        <v>247</v>
      </c>
      <c r="F12" s="157"/>
      <c r="G12" s="139" t="s">
        <v>248</v>
      </c>
      <c r="H12" s="146"/>
      <c r="I12" s="159" t="s">
        <v>249</v>
      </c>
      <c r="J12" s="159" t="s">
        <v>247</v>
      </c>
      <c r="K12" s="130"/>
      <c r="L12" s="169" t="s">
        <v>365</v>
      </c>
    </row>
    <row r="13" ht="25.25" customHeight="1" spans="1:12">
      <c r="A13" s="139">
        <v>3</v>
      </c>
      <c r="B13" s="156" t="s">
        <v>242</v>
      </c>
      <c r="C13" s="139" t="s">
        <v>2123</v>
      </c>
      <c r="D13" s="87" t="s">
        <v>2123</v>
      </c>
      <c r="E13" s="139" t="s">
        <v>2124</v>
      </c>
      <c r="F13" s="139" t="s">
        <v>2125</v>
      </c>
      <c r="G13" s="139" t="s">
        <v>248</v>
      </c>
      <c r="H13" s="146"/>
      <c r="I13" s="159" t="s">
        <v>264</v>
      </c>
      <c r="J13" s="159" t="s">
        <v>265</v>
      </c>
      <c r="K13" s="159" t="s">
        <v>2124</v>
      </c>
      <c r="L13" s="169" t="s">
        <v>365</v>
      </c>
    </row>
    <row r="14" ht="25.25" customHeight="1" spans="1:12">
      <c r="A14" s="139">
        <v>4</v>
      </c>
      <c r="B14" s="156" t="s">
        <v>242</v>
      </c>
      <c r="C14" s="139" t="s">
        <v>2100</v>
      </c>
      <c r="D14" s="87" t="s">
        <v>2100</v>
      </c>
      <c r="E14" s="139" t="s">
        <v>2126</v>
      </c>
      <c r="F14" s="157" t="s">
        <v>2127</v>
      </c>
      <c r="G14" s="139" t="s">
        <v>248</v>
      </c>
      <c r="H14" s="146"/>
      <c r="I14" s="159" t="s">
        <v>2091</v>
      </c>
      <c r="J14" s="159" t="s">
        <v>243</v>
      </c>
      <c r="K14" s="130"/>
      <c r="L14" s="169" t="s">
        <v>365</v>
      </c>
    </row>
    <row r="15" ht="25.25" customHeight="1" spans="1:12">
      <c r="A15" s="139">
        <v>5</v>
      </c>
      <c r="B15" s="156" t="s">
        <v>242</v>
      </c>
      <c r="C15" s="139" t="s">
        <v>2128</v>
      </c>
      <c r="D15" s="87" t="s">
        <v>2128</v>
      </c>
      <c r="E15" s="139" t="s">
        <v>2103</v>
      </c>
      <c r="F15" s="157"/>
      <c r="G15" s="139" t="s">
        <v>248</v>
      </c>
      <c r="H15" s="146"/>
      <c r="I15" s="139" t="s">
        <v>2104</v>
      </c>
      <c r="J15" s="139" t="s">
        <v>243</v>
      </c>
      <c r="K15" s="139"/>
      <c r="L15" s="139" t="s">
        <v>365</v>
      </c>
    </row>
    <row r="16" ht="25.25" customHeight="1" spans="1:11">
      <c r="A16" s="139">
        <v>6</v>
      </c>
      <c r="B16" s="156" t="s">
        <v>242</v>
      </c>
      <c r="C16" s="139" t="s">
        <v>2129</v>
      </c>
      <c r="D16" s="87" t="s">
        <v>2129</v>
      </c>
      <c r="E16" s="139" t="s">
        <v>2130</v>
      </c>
      <c r="F16" s="157"/>
      <c r="G16" s="139" t="s">
        <v>248</v>
      </c>
      <c r="H16" s="146"/>
      <c r="I16" s="159"/>
      <c r="J16" s="159"/>
      <c r="K16" s="130"/>
    </row>
    <row r="17" ht="25.25" customHeight="1" spans="1:12">
      <c r="A17" s="139">
        <v>7</v>
      </c>
      <c r="B17" s="156"/>
      <c r="C17" s="139" t="s">
        <v>2131</v>
      </c>
      <c r="D17" s="87" t="s">
        <v>2131</v>
      </c>
      <c r="E17" s="139" t="s">
        <v>2132</v>
      </c>
      <c r="F17" s="174" t="s">
        <v>2133</v>
      </c>
      <c r="G17" s="139" t="s">
        <v>248</v>
      </c>
      <c r="H17" s="146"/>
      <c r="I17" s="159" t="s">
        <v>264</v>
      </c>
      <c r="J17" s="159" t="s">
        <v>265</v>
      </c>
      <c r="K17" s="159" t="s">
        <v>2132</v>
      </c>
      <c r="L17" s="169" t="s">
        <v>365</v>
      </c>
    </row>
    <row r="18" ht="25.25" customHeight="1" spans="1:11">
      <c r="A18" s="139">
        <v>8</v>
      </c>
      <c r="B18" s="156" t="s">
        <v>242</v>
      </c>
      <c r="C18" s="139" t="s">
        <v>1745</v>
      </c>
      <c r="D18" s="87" t="s">
        <v>1745</v>
      </c>
      <c r="E18" s="139" t="s">
        <v>2134</v>
      </c>
      <c r="F18" s="157" t="s">
        <v>1989</v>
      </c>
      <c r="G18" s="139" t="s">
        <v>248</v>
      </c>
      <c r="H18" s="146"/>
      <c r="I18" s="159"/>
      <c r="J18" s="159"/>
      <c r="K18" s="130"/>
    </row>
    <row r="19" ht="25.25" customHeight="1" spans="1:12">
      <c r="A19" s="139">
        <v>9</v>
      </c>
      <c r="B19" s="156" t="s">
        <v>242</v>
      </c>
      <c r="C19" s="139" t="s">
        <v>2135</v>
      </c>
      <c r="D19" s="87" t="s">
        <v>2135</v>
      </c>
      <c r="E19" s="139" t="s">
        <v>2136</v>
      </c>
      <c r="F19" s="139" t="s">
        <v>2137</v>
      </c>
      <c r="G19" s="139" t="s">
        <v>248</v>
      </c>
      <c r="H19" s="146"/>
      <c r="I19" s="159" t="s">
        <v>264</v>
      </c>
      <c r="J19" s="159" t="s">
        <v>265</v>
      </c>
      <c r="K19" s="159" t="s">
        <v>2136</v>
      </c>
      <c r="L19" s="169" t="s">
        <v>365</v>
      </c>
    </row>
    <row r="20" ht="25.25" customHeight="1" spans="1:8">
      <c r="A20" s="139">
        <v>10</v>
      </c>
      <c r="B20" s="156" t="s">
        <v>242</v>
      </c>
      <c r="C20" s="139" t="s">
        <v>2138</v>
      </c>
      <c r="D20" s="87" t="s">
        <v>2138</v>
      </c>
      <c r="E20" s="139" t="s">
        <v>2139</v>
      </c>
      <c r="F20" s="157"/>
      <c r="G20" s="139" t="s">
        <v>248</v>
      </c>
      <c r="H20" s="157"/>
    </row>
    <row r="21" ht="25.25" customHeight="1" spans="1:8">
      <c r="A21" s="139">
        <v>11</v>
      </c>
      <c r="B21" s="156" t="s">
        <v>242</v>
      </c>
      <c r="C21" s="139" t="s">
        <v>2140</v>
      </c>
      <c r="D21" s="87" t="s">
        <v>2140</v>
      </c>
      <c r="E21" s="139" t="s">
        <v>2141</v>
      </c>
      <c r="F21" s="139"/>
      <c r="G21" s="139" t="s">
        <v>248</v>
      </c>
      <c r="H21" s="139"/>
    </row>
    <row r="22" ht="25.25" customHeight="1" spans="1:8">
      <c r="A22" s="139">
        <v>12</v>
      </c>
      <c r="B22" s="156" t="s">
        <v>242</v>
      </c>
      <c r="C22" s="139" t="s">
        <v>2142</v>
      </c>
      <c r="D22" s="87" t="s">
        <v>2142</v>
      </c>
      <c r="E22" s="139" t="s">
        <v>2143</v>
      </c>
      <c r="F22" s="139"/>
      <c r="G22" s="139" t="s">
        <v>248</v>
      </c>
      <c r="H22" s="139"/>
    </row>
    <row r="23" ht="25.25" customHeight="1" spans="1:8">
      <c r="A23" s="139">
        <v>13</v>
      </c>
      <c r="B23" s="156"/>
      <c r="C23" s="139" t="s">
        <v>2144</v>
      </c>
      <c r="D23" s="87" t="s">
        <v>2144</v>
      </c>
      <c r="E23" s="139" t="s">
        <v>2145</v>
      </c>
      <c r="F23" s="139"/>
      <c r="G23" s="139" t="s">
        <v>248</v>
      </c>
      <c r="H23" s="139"/>
    </row>
    <row r="24" ht="25.25" customHeight="1" spans="1:8">
      <c r="A24" s="139">
        <v>14</v>
      </c>
      <c r="B24" s="156" t="s">
        <v>242</v>
      </c>
      <c r="C24" s="139" t="s">
        <v>574</v>
      </c>
      <c r="D24" s="139"/>
      <c r="E24" s="139" t="s">
        <v>575</v>
      </c>
      <c r="F24" s="139" t="s">
        <v>2105</v>
      </c>
      <c r="G24" s="139" t="s">
        <v>576</v>
      </c>
      <c r="H24" s="139"/>
    </row>
    <row r="25" ht="25.25" customHeight="1" spans="1:8">
      <c r="A25" s="139">
        <v>15</v>
      </c>
      <c r="B25" s="156" t="s">
        <v>242</v>
      </c>
      <c r="C25" s="139" t="s">
        <v>572</v>
      </c>
      <c r="D25" s="139"/>
      <c r="E25" s="139" t="s">
        <v>2106</v>
      </c>
      <c r="F25" s="139"/>
      <c r="G25" s="139" t="s">
        <v>248</v>
      </c>
      <c r="H25" s="139"/>
    </row>
    <row r="26" ht="25.25" customHeight="1" spans="1:8">
      <c r="A26" s="139">
        <v>16</v>
      </c>
      <c r="B26" s="156" t="s">
        <v>242</v>
      </c>
      <c r="C26" s="139" t="s">
        <v>579</v>
      </c>
      <c r="D26" s="139"/>
      <c r="E26" s="139" t="s">
        <v>580</v>
      </c>
      <c r="F26" s="139" t="s">
        <v>2105</v>
      </c>
      <c r="G26" s="139" t="s">
        <v>576</v>
      </c>
      <c r="H26" s="139"/>
    </row>
    <row r="27" ht="25.25" customHeight="1" spans="1:8">
      <c r="A27" s="139">
        <v>17</v>
      </c>
      <c r="B27" s="156" t="s">
        <v>242</v>
      </c>
      <c r="C27" s="139" t="s">
        <v>577</v>
      </c>
      <c r="D27" s="139"/>
      <c r="E27" s="139" t="s">
        <v>2107</v>
      </c>
      <c r="F27" s="139"/>
      <c r="G27" s="139" t="s">
        <v>248</v>
      </c>
      <c r="H27"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18" workbookViewId="0">
      <selection activeCell="G20" sqref="G20"/>
    </sheetView>
  </sheetViews>
  <sheetFormatPr defaultColWidth="9" defaultRowHeight="13.5"/>
  <cols>
    <col min="1" max="1" width="4.83333333333333" style="127" customWidth="1"/>
    <col min="2" max="2" width="5.83333333333333" style="100" customWidth="1"/>
    <col min="3" max="4" width="20.8333333333333" style="127" customWidth="1"/>
    <col min="5" max="5" width="35.375" style="127" customWidth="1"/>
    <col min="6" max="6" width="25.5" style="100" customWidth="1"/>
    <col min="7" max="7" width="20.8333333333333" style="127" customWidth="1"/>
    <col min="8" max="8" width="30.125" style="127" customWidth="1"/>
    <col min="9" max="9" width="15.3333333333333" style="100" customWidth="1"/>
    <col min="10" max="10" width="12.1666666666667" style="100" customWidth="1"/>
    <col min="11" max="11" width="37.1666666666667" style="100" customWidth="1"/>
    <col min="12" max="16384" width="9" style="100"/>
  </cols>
  <sheetData>
    <row r="1" ht="23" customHeight="1" spans="1:8">
      <c r="A1" s="135" t="s">
        <v>223</v>
      </c>
      <c r="B1" s="136" t="s">
        <v>2146</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2147</v>
      </c>
      <c r="F4" s="150"/>
      <c r="G4" s="150"/>
      <c r="H4" s="151"/>
    </row>
    <row r="5" ht="17.25" spans="1:8">
      <c r="A5" s="139">
        <v>2</v>
      </c>
      <c r="B5" s="146" t="s">
        <v>228</v>
      </c>
      <c r="C5" s="147"/>
      <c r="D5" s="148"/>
      <c r="E5" s="149" t="s">
        <v>2148</v>
      </c>
      <c r="F5" s="150"/>
      <c r="G5" s="150"/>
      <c r="H5" s="151"/>
    </row>
    <row r="6" ht="17.25" spans="1:8">
      <c r="A6" s="139">
        <v>3</v>
      </c>
      <c r="B6" s="146" t="s">
        <v>229</v>
      </c>
      <c r="C6" s="147"/>
      <c r="D6" s="148"/>
      <c r="E6" s="149"/>
      <c r="F6" s="150"/>
      <c r="G6" s="150"/>
      <c r="H6" s="151"/>
    </row>
    <row r="7" ht="17.25" spans="1:8">
      <c r="A7" s="139">
        <v>4</v>
      </c>
      <c r="B7" s="146" t="s">
        <v>231</v>
      </c>
      <c r="C7" s="147"/>
      <c r="D7" s="148"/>
      <c r="E7" s="149" t="s">
        <v>2149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35" customHeight="1" spans="1:8">
      <c r="A10" s="152"/>
      <c r="B10" s="153" t="s">
        <v>235</v>
      </c>
      <c r="C10" s="152" t="s">
        <v>236</v>
      </c>
      <c r="D10" s="87" t="s">
        <v>236</v>
      </c>
      <c r="E10" s="152" t="s">
        <v>238</v>
      </c>
      <c r="F10" s="153" t="s">
        <v>239</v>
      </c>
      <c r="G10" s="152" t="s">
        <v>240</v>
      </c>
      <c r="H10" s="152" t="s">
        <v>241</v>
      </c>
    </row>
    <row r="11" ht="35" customHeight="1" spans="1:8">
      <c r="A11" s="139">
        <f>ROW(A11)-10</f>
        <v>1</v>
      </c>
      <c r="B11" s="18" t="s">
        <v>242</v>
      </c>
      <c r="C11" s="139" t="s">
        <v>243</v>
      </c>
      <c r="D11" s="87" t="s">
        <v>243</v>
      </c>
      <c r="E11" s="139" t="s">
        <v>243</v>
      </c>
      <c r="F11" s="157"/>
      <c r="G11" s="139" t="s">
        <v>306</v>
      </c>
      <c r="H11" s="139"/>
    </row>
    <row r="12" ht="35" customHeight="1" spans="1:8">
      <c r="A12" s="139">
        <f t="shared" ref="A12:A25" si="0">ROW(A12)-10</f>
        <v>2</v>
      </c>
      <c r="B12" s="18" t="s">
        <v>242</v>
      </c>
      <c r="C12" s="139" t="s">
        <v>1284</v>
      </c>
      <c r="D12" s="87" t="s">
        <v>1285</v>
      </c>
      <c r="E12" s="139" t="s">
        <v>1286</v>
      </c>
      <c r="F12" s="157"/>
      <c r="G12" s="139" t="s">
        <v>306</v>
      </c>
      <c r="H12" s="139"/>
    </row>
    <row r="13" ht="35" customHeight="1" spans="1:8">
      <c r="A13" s="139">
        <f t="shared" si="0"/>
        <v>3</v>
      </c>
      <c r="B13" s="18" t="s">
        <v>242</v>
      </c>
      <c r="C13" s="139" t="s">
        <v>2150</v>
      </c>
      <c r="D13" s="87" t="s">
        <v>2150</v>
      </c>
      <c r="E13" s="139" t="s">
        <v>2151</v>
      </c>
      <c r="F13" s="157"/>
      <c r="G13" s="139" t="s">
        <v>306</v>
      </c>
      <c r="H13" s="139"/>
    </row>
    <row r="14" ht="35" customHeight="1" spans="1:12">
      <c r="A14" s="139">
        <f t="shared" si="0"/>
        <v>4</v>
      </c>
      <c r="B14" s="18" t="s">
        <v>242</v>
      </c>
      <c r="C14" s="139" t="s">
        <v>1287</v>
      </c>
      <c r="D14" s="87" t="s">
        <v>2152</v>
      </c>
      <c r="E14" s="139" t="s">
        <v>2153</v>
      </c>
      <c r="F14" s="157" t="s">
        <v>2154</v>
      </c>
      <c r="G14" s="139" t="s">
        <v>263</v>
      </c>
      <c r="H14" s="139"/>
      <c r="I14" s="159" t="s">
        <v>264</v>
      </c>
      <c r="J14" s="159" t="s">
        <v>265</v>
      </c>
      <c r="K14" s="159" t="s">
        <v>2153</v>
      </c>
      <c r="L14" s="169" t="s">
        <v>365</v>
      </c>
    </row>
    <row r="15" ht="35" customHeight="1" spans="1:12">
      <c r="A15" s="139">
        <f t="shared" si="0"/>
        <v>5</v>
      </c>
      <c r="B15" s="18" t="s">
        <v>242</v>
      </c>
      <c r="C15" s="139" t="s">
        <v>1293</v>
      </c>
      <c r="D15" s="87" t="s">
        <v>2155</v>
      </c>
      <c r="E15" s="139" t="s">
        <v>2156</v>
      </c>
      <c r="F15" s="157" t="s">
        <v>2157</v>
      </c>
      <c r="G15" s="139" t="s">
        <v>263</v>
      </c>
      <c r="H15" s="139"/>
      <c r="I15" s="159" t="s">
        <v>264</v>
      </c>
      <c r="J15" s="159" t="s">
        <v>265</v>
      </c>
      <c r="K15" s="159" t="s">
        <v>2156</v>
      </c>
      <c r="L15" s="169" t="s">
        <v>365</v>
      </c>
    </row>
    <row r="16" s="23" customFormat="1" ht="35" customHeight="1" spans="1:12">
      <c r="A16" s="139">
        <f t="shared" si="0"/>
        <v>6</v>
      </c>
      <c r="B16" s="171"/>
      <c r="C16" s="139" t="s">
        <v>1298</v>
      </c>
      <c r="D16" s="87" t="s">
        <v>2158</v>
      </c>
      <c r="E16" s="139" t="s">
        <v>2159</v>
      </c>
      <c r="F16" s="157" t="s">
        <v>1301</v>
      </c>
      <c r="G16" s="139" t="s">
        <v>263</v>
      </c>
      <c r="H16" s="139" t="s">
        <v>1297</v>
      </c>
      <c r="I16" s="159" t="s">
        <v>264</v>
      </c>
      <c r="J16" s="159" t="s">
        <v>265</v>
      </c>
      <c r="K16" s="159" t="s">
        <v>2159</v>
      </c>
      <c r="L16" s="169" t="s">
        <v>365</v>
      </c>
    </row>
    <row r="17" s="23" customFormat="1" ht="35" customHeight="1" spans="1:11">
      <c r="A17" s="139">
        <f t="shared" si="0"/>
        <v>7</v>
      </c>
      <c r="B17" s="18" t="s">
        <v>242</v>
      </c>
      <c r="C17" s="139" t="s">
        <v>2160</v>
      </c>
      <c r="D17" s="87" t="s">
        <v>2160</v>
      </c>
      <c r="E17" s="139" t="s">
        <v>2161</v>
      </c>
      <c r="F17" s="157"/>
      <c r="G17" s="139" t="s">
        <v>263</v>
      </c>
      <c r="H17" s="139"/>
      <c r="I17" s="159"/>
      <c r="J17" s="159"/>
      <c r="K17" s="159"/>
    </row>
    <row r="18" s="23" customFormat="1" ht="35" customHeight="1" spans="1:11">
      <c r="A18" s="139">
        <f t="shared" si="0"/>
        <v>8</v>
      </c>
      <c r="B18" s="18" t="s">
        <v>242</v>
      </c>
      <c r="C18" s="139" t="s">
        <v>2162</v>
      </c>
      <c r="D18" s="87" t="s">
        <v>2162</v>
      </c>
      <c r="E18" s="139" t="s">
        <v>2163</v>
      </c>
      <c r="F18" s="157"/>
      <c r="G18" s="139" t="s">
        <v>282</v>
      </c>
      <c r="H18" s="139"/>
      <c r="I18" s="159"/>
      <c r="J18" s="159"/>
      <c r="K18" s="159"/>
    </row>
    <row r="19" s="23" customFormat="1" ht="51.75" spans="1:12">
      <c r="A19" s="139">
        <f t="shared" si="0"/>
        <v>9</v>
      </c>
      <c r="B19" s="18" t="s">
        <v>242</v>
      </c>
      <c r="C19" s="139" t="s">
        <v>1461</v>
      </c>
      <c r="D19" s="87" t="s">
        <v>1734</v>
      </c>
      <c r="E19" s="139" t="s">
        <v>2164</v>
      </c>
      <c r="F19" s="139" t="s">
        <v>2165</v>
      </c>
      <c r="G19" s="139" t="s">
        <v>263</v>
      </c>
      <c r="H19" s="139" t="s">
        <v>1297</v>
      </c>
      <c r="I19" s="159" t="s">
        <v>264</v>
      </c>
      <c r="J19" s="159" t="s">
        <v>265</v>
      </c>
      <c r="K19" s="159" t="s">
        <v>2164</v>
      </c>
      <c r="L19" s="169" t="s">
        <v>365</v>
      </c>
    </row>
    <row r="20" s="23" customFormat="1" ht="103.5" spans="1:12">
      <c r="A20" s="139">
        <f t="shared" si="0"/>
        <v>10</v>
      </c>
      <c r="B20" s="18" t="s">
        <v>242</v>
      </c>
      <c r="C20" s="139" t="s">
        <v>2166</v>
      </c>
      <c r="D20" s="87" t="s">
        <v>2167</v>
      </c>
      <c r="E20" s="139" t="s">
        <v>2168</v>
      </c>
      <c r="F20" s="139" t="s">
        <v>2169</v>
      </c>
      <c r="G20" s="139" t="s">
        <v>263</v>
      </c>
      <c r="H20" s="139" t="s">
        <v>1297</v>
      </c>
      <c r="I20" s="159" t="s">
        <v>264</v>
      </c>
      <c r="J20" s="159" t="s">
        <v>265</v>
      </c>
      <c r="K20" s="159" t="s">
        <v>2168</v>
      </c>
      <c r="L20" s="169" t="s">
        <v>365</v>
      </c>
    </row>
    <row r="21" ht="35" customHeight="1" spans="1:11">
      <c r="A21" s="139">
        <f t="shared" si="0"/>
        <v>11</v>
      </c>
      <c r="B21" s="18" t="s">
        <v>242</v>
      </c>
      <c r="C21" s="139" t="s">
        <v>1312</v>
      </c>
      <c r="D21" s="87" t="s">
        <v>1312</v>
      </c>
      <c r="E21" s="139" t="s">
        <v>1275</v>
      </c>
      <c r="F21" s="157"/>
      <c r="G21" s="139" t="s">
        <v>282</v>
      </c>
      <c r="H21" s="139"/>
      <c r="J21" s="130"/>
      <c r="K21" s="130"/>
    </row>
    <row r="22" ht="35" customHeight="1" spans="1:8">
      <c r="A22" s="139">
        <f t="shared" si="0"/>
        <v>12</v>
      </c>
      <c r="B22" s="18"/>
      <c r="C22" s="139" t="s">
        <v>569</v>
      </c>
      <c r="D22" s="87" t="s">
        <v>569</v>
      </c>
      <c r="E22" s="139" t="s">
        <v>570</v>
      </c>
      <c r="F22" s="139"/>
      <c r="G22" s="139" t="s">
        <v>869</v>
      </c>
      <c r="H22" s="139"/>
    </row>
    <row r="23" s="23" customFormat="1" ht="35" customHeight="1" spans="1:8">
      <c r="A23" s="139">
        <f t="shared" si="0"/>
        <v>13</v>
      </c>
      <c r="B23" s="18"/>
      <c r="C23" s="139" t="s">
        <v>1748</v>
      </c>
      <c r="D23" s="87"/>
      <c r="E23" s="139" t="s">
        <v>1315</v>
      </c>
      <c r="F23" s="139" t="s">
        <v>1749</v>
      </c>
      <c r="G23" s="139" t="s">
        <v>248</v>
      </c>
      <c r="H23" s="139"/>
    </row>
    <row r="24" ht="17.25" spans="1:8">
      <c r="A24" s="139">
        <f t="shared" si="0"/>
        <v>14</v>
      </c>
      <c r="B24" s="139"/>
      <c r="C24" s="139" t="s">
        <v>2170</v>
      </c>
      <c r="D24" s="139" t="s">
        <v>2170</v>
      </c>
      <c r="E24" s="139" t="s">
        <v>256</v>
      </c>
      <c r="F24" s="139"/>
      <c r="G24" s="139" t="s">
        <v>248</v>
      </c>
      <c r="H24" s="139"/>
    </row>
    <row r="25" ht="17.25" spans="1:8">
      <c r="A25" s="139">
        <f t="shared" si="0"/>
        <v>15</v>
      </c>
      <c r="B25" s="139"/>
      <c r="C25" s="139" t="s">
        <v>2171</v>
      </c>
      <c r="D25" s="139" t="s">
        <v>2171</v>
      </c>
      <c r="E25" s="139" t="s">
        <v>1753</v>
      </c>
      <c r="F25" s="139"/>
      <c r="G25" s="139" t="s">
        <v>421</v>
      </c>
      <c r="H25"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selection activeCell="C13" sqref="C13"/>
    </sheetView>
  </sheetViews>
  <sheetFormatPr defaultColWidth="9" defaultRowHeight="13.5"/>
  <cols>
    <col min="1" max="1" width="4.83333333333333" style="127" customWidth="1"/>
    <col min="2" max="2" width="5.83333333333333" style="100" customWidth="1"/>
    <col min="3" max="4" width="20.8333333333333" style="127" customWidth="1"/>
    <col min="5" max="5" width="33.1666666666667" style="127" customWidth="1"/>
    <col min="6" max="6" width="39.625" style="100" customWidth="1"/>
    <col min="7" max="7" width="20.8333333333333" style="127" customWidth="1"/>
    <col min="8" max="8" width="12" style="100" customWidth="1"/>
    <col min="9" max="9" width="32" style="100" customWidth="1"/>
    <col min="10" max="10" width="10.5" style="100" customWidth="1"/>
    <col min="11" max="16384" width="9" style="100"/>
  </cols>
  <sheetData>
    <row r="1" ht="23" customHeight="1" spans="1:8">
      <c r="A1" s="135" t="s">
        <v>223</v>
      </c>
      <c r="B1" s="136" t="s">
        <v>2172</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2173</v>
      </c>
      <c r="F4" s="150"/>
      <c r="G4" s="150"/>
      <c r="H4" s="151"/>
    </row>
    <row r="5" ht="17.25" spans="1:8">
      <c r="A5" s="139">
        <v>2</v>
      </c>
      <c r="B5" s="146" t="s">
        <v>228</v>
      </c>
      <c r="C5" s="147"/>
      <c r="D5" s="148"/>
      <c r="E5" s="149" t="s">
        <v>2174</v>
      </c>
      <c r="F5" s="150"/>
      <c r="G5" s="150"/>
      <c r="H5" s="151"/>
    </row>
    <row r="6" ht="17.25" spans="1:8">
      <c r="A6" s="139">
        <v>3</v>
      </c>
      <c r="B6" s="146" t="s">
        <v>229</v>
      </c>
      <c r="C6" s="147"/>
      <c r="D6" s="148"/>
      <c r="E6" s="149"/>
      <c r="F6" s="150"/>
      <c r="G6" s="150"/>
      <c r="H6" s="151"/>
    </row>
    <row r="7" ht="17.25" spans="1:8">
      <c r="A7" s="139">
        <v>4</v>
      </c>
      <c r="B7" s="146" t="s">
        <v>231</v>
      </c>
      <c r="C7" s="147"/>
      <c r="D7" s="148"/>
      <c r="E7" s="149" t="s">
        <v>1999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173" t="s">
        <v>237</v>
      </c>
      <c r="E10" s="152" t="s">
        <v>238</v>
      </c>
      <c r="F10" s="153" t="s">
        <v>239</v>
      </c>
      <c r="G10" s="152" t="s">
        <v>240</v>
      </c>
      <c r="H10" s="153" t="s">
        <v>241</v>
      </c>
    </row>
    <row r="11" s="23" customFormat="1" ht="35" customHeight="1" spans="1:8">
      <c r="A11" s="10">
        <v>1</v>
      </c>
      <c r="B11" s="18" t="s">
        <v>242</v>
      </c>
      <c r="C11" s="170" t="s">
        <v>243</v>
      </c>
      <c r="D11" s="170" t="s">
        <v>243</v>
      </c>
      <c r="E11" s="170" t="s">
        <v>243</v>
      </c>
      <c r="F11" s="11" t="s">
        <v>244</v>
      </c>
      <c r="G11" s="170" t="s">
        <v>322</v>
      </c>
      <c r="H11" s="11"/>
    </row>
    <row r="12" s="23" customFormat="1" ht="35" customHeight="1" spans="1:12">
      <c r="A12" s="10">
        <v>2</v>
      </c>
      <c r="B12" s="171" t="s">
        <v>242</v>
      </c>
      <c r="C12" s="170" t="s">
        <v>1319</v>
      </c>
      <c r="D12" s="170" t="s">
        <v>2175</v>
      </c>
      <c r="E12" s="170" t="s">
        <v>1321</v>
      </c>
      <c r="F12" s="11"/>
      <c r="G12" s="170" t="s">
        <v>322</v>
      </c>
      <c r="H12" s="11"/>
      <c r="I12" s="168" t="s">
        <v>2147</v>
      </c>
      <c r="J12" s="23" t="s">
        <v>243</v>
      </c>
      <c r="L12" s="169" t="s">
        <v>365</v>
      </c>
    </row>
    <row r="13" s="23" customFormat="1" ht="35" customHeight="1" spans="1:12">
      <c r="A13" s="10">
        <v>3</v>
      </c>
      <c r="B13" s="171" t="s">
        <v>242</v>
      </c>
      <c r="C13" s="170" t="s">
        <v>246</v>
      </c>
      <c r="D13" s="170" t="s">
        <v>2176</v>
      </c>
      <c r="E13" s="170" t="s">
        <v>247</v>
      </c>
      <c r="F13" s="11"/>
      <c r="G13" s="170" t="s">
        <v>248</v>
      </c>
      <c r="H13" s="11"/>
      <c r="I13" s="23" t="s">
        <v>249</v>
      </c>
      <c r="J13" s="23" t="s">
        <v>247</v>
      </c>
      <c r="L13" s="169" t="s">
        <v>365</v>
      </c>
    </row>
    <row r="14" s="23" customFormat="1" ht="35" customHeight="1" spans="1:8">
      <c r="A14" s="10">
        <v>4</v>
      </c>
      <c r="B14" s="171" t="s">
        <v>242</v>
      </c>
      <c r="C14" s="170" t="s">
        <v>724</v>
      </c>
      <c r="D14" s="170" t="s">
        <v>2177</v>
      </c>
      <c r="E14" s="170" t="s">
        <v>2178</v>
      </c>
      <c r="F14" s="11"/>
      <c r="G14" s="170" t="s">
        <v>248</v>
      </c>
      <c r="H14" s="11"/>
    </row>
    <row r="15" s="23" customFormat="1" ht="35" customHeight="1" spans="1:8">
      <c r="A15" s="10">
        <v>5</v>
      </c>
      <c r="B15" s="18" t="s">
        <v>242</v>
      </c>
      <c r="C15" s="102" t="s">
        <v>593</v>
      </c>
      <c r="D15" s="102" t="s">
        <v>593</v>
      </c>
      <c r="E15" s="102" t="s">
        <v>560</v>
      </c>
      <c r="F15" s="172" t="s">
        <v>1325</v>
      </c>
      <c r="G15" s="102" t="s">
        <v>421</v>
      </c>
      <c r="H15"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selection activeCell="E4" sqref="E4:H4"/>
    </sheetView>
  </sheetViews>
  <sheetFormatPr defaultColWidth="9" defaultRowHeight="13.5"/>
  <cols>
    <col min="1" max="1" width="4.83333333333333" style="127" customWidth="1"/>
    <col min="2" max="2" width="5.83333333333333" style="100" customWidth="1"/>
    <col min="3" max="4" width="20.8333333333333" style="127" customWidth="1"/>
    <col min="5" max="5" width="33.1666666666667" style="127" customWidth="1"/>
    <col min="6" max="6" width="40.125" style="100" customWidth="1"/>
    <col min="7" max="7" width="20.8333333333333" style="127" customWidth="1"/>
    <col min="8" max="8" width="11.5" style="100" customWidth="1"/>
    <col min="9" max="9" width="33" style="100" customWidth="1"/>
    <col min="10" max="11" width="9" style="100"/>
    <col min="12" max="12" width="16.625" style="100" customWidth="1"/>
    <col min="13" max="16384" width="9" style="100"/>
  </cols>
  <sheetData>
    <row r="1" ht="23" customHeight="1" spans="1:8">
      <c r="A1" s="135" t="s">
        <v>223</v>
      </c>
      <c r="B1" s="136" t="s">
        <v>2179</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2180</v>
      </c>
      <c r="F4" s="150"/>
      <c r="G4" s="150"/>
      <c r="H4" s="151"/>
    </row>
    <row r="5" ht="17.25" spans="1:8">
      <c r="A5" s="139">
        <v>2</v>
      </c>
      <c r="B5" s="146" t="s">
        <v>228</v>
      </c>
      <c r="C5" s="147"/>
      <c r="D5" s="148"/>
      <c r="E5" s="149" t="s">
        <v>2181</v>
      </c>
      <c r="F5" s="150"/>
      <c r="G5" s="150"/>
      <c r="H5" s="151"/>
    </row>
    <row r="6" ht="17.25" spans="1:8">
      <c r="A6" s="139">
        <v>3</v>
      </c>
      <c r="B6" s="146" t="s">
        <v>229</v>
      </c>
      <c r="C6" s="147"/>
      <c r="D6" s="148"/>
      <c r="E6" s="149"/>
      <c r="F6" s="150"/>
      <c r="G6" s="150"/>
      <c r="H6" s="151"/>
    </row>
    <row r="7" ht="17.25" spans="1:8">
      <c r="A7" s="139">
        <v>4</v>
      </c>
      <c r="B7" s="146" t="s">
        <v>231</v>
      </c>
      <c r="C7" s="147"/>
      <c r="D7" s="148"/>
      <c r="E7" s="149" t="s">
        <v>1999</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152" t="s">
        <v>237</v>
      </c>
      <c r="E10" s="152" t="s">
        <v>238</v>
      </c>
      <c r="F10" s="153" t="s">
        <v>239</v>
      </c>
      <c r="G10" s="152" t="s">
        <v>240</v>
      </c>
      <c r="H10" s="153" t="s">
        <v>241</v>
      </c>
    </row>
    <row r="11" s="23" customFormat="1" ht="35" customHeight="1" spans="1:8">
      <c r="A11" s="10">
        <v>1</v>
      </c>
      <c r="B11" s="18" t="s">
        <v>242</v>
      </c>
      <c r="C11" s="170" t="s">
        <v>243</v>
      </c>
      <c r="D11" s="170" t="s">
        <v>243</v>
      </c>
      <c r="E11" s="170" t="s">
        <v>243</v>
      </c>
      <c r="F11" s="11" t="s">
        <v>244</v>
      </c>
      <c r="G11" s="170" t="s">
        <v>322</v>
      </c>
      <c r="H11" s="11"/>
    </row>
    <row r="12" s="23" customFormat="1" ht="35" customHeight="1" spans="1:12">
      <c r="A12" s="10">
        <v>2</v>
      </c>
      <c r="B12" s="171" t="s">
        <v>242</v>
      </c>
      <c r="C12" s="170" t="s">
        <v>1319</v>
      </c>
      <c r="D12" s="170" t="s">
        <v>2175</v>
      </c>
      <c r="E12" s="170" t="s">
        <v>1321</v>
      </c>
      <c r="F12" s="11"/>
      <c r="G12" s="170" t="s">
        <v>322</v>
      </c>
      <c r="H12" s="11"/>
      <c r="I12" s="23" t="s">
        <v>2147</v>
      </c>
      <c r="J12" s="23" t="s">
        <v>243</v>
      </c>
      <c r="L12" s="169" t="s">
        <v>1286</v>
      </c>
    </row>
    <row r="13" s="23" customFormat="1" ht="35" customHeight="1" spans="1:12">
      <c r="A13" s="10">
        <v>3</v>
      </c>
      <c r="B13" s="171" t="s">
        <v>242</v>
      </c>
      <c r="C13" s="170" t="s">
        <v>1259</v>
      </c>
      <c r="D13" s="170" t="s">
        <v>2182</v>
      </c>
      <c r="E13" s="170" t="s">
        <v>256</v>
      </c>
      <c r="F13" s="11"/>
      <c r="G13" s="170" t="s">
        <v>248</v>
      </c>
      <c r="H13" s="11"/>
      <c r="I13" s="23" t="s">
        <v>258</v>
      </c>
      <c r="J13" s="23" t="s">
        <v>243</v>
      </c>
      <c r="L13" s="169" t="s">
        <v>365</v>
      </c>
    </row>
    <row r="14" s="23" customFormat="1" ht="35" customHeight="1" spans="1:12">
      <c r="A14" s="10">
        <v>3</v>
      </c>
      <c r="B14" s="171" t="s">
        <v>242</v>
      </c>
      <c r="C14" s="170" t="s">
        <v>1261</v>
      </c>
      <c r="D14" s="170" t="s">
        <v>2183</v>
      </c>
      <c r="E14" s="170" t="s">
        <v>353</v>
      </c>
      <c r="F14" s="11"/>
      <c r="G14" s="170" t="s">
        <v>248</v>
      </c>
      <c r="H14" s="11"/>
      <c r="I14" s="23" t="s">
        <v>352</v>
      </c>
      <c r="J14" s="23" t="s">
        <v>353</v>
      </c>
      <c r="L14" s="169" t="s">
        <v>365</v>
      </c>
    </row>
    <row r="15" s="23" customFormat="1" ht="35" customHeight="1" spans="1:8">
      <c r="A15" s="10">
        <v>4</v>
      </c>
      <c r="B15" s="171" t="s">
        <v>242</v>
      </c>
      <c r="C15" s="170" t="s">
        <v>724</v>
      </c>
      <c r="D15" s="170" t="s">
        <v>2184</v>
      </c>
      <c r="E15" s="170" t="s">
        <v>620</v>
      </c>
      <c r="F15" s="11"/>
      <c r="G15" s="170" t="s">
        <v>248</v>
      </c>
      <c r="H15" s="11"/>
    </row>
    <row r="16" s="23" customFormat="1" ht="35" customHeight="1" spans="1:8">
      <c r="A16" s="10">
        <v>5</v>
      </c>
      <c r="B16" s="18" t="s">
        <v>242</v>
      </c>
      <c r="C16" s="102" t="s">
        <v>593</v>
      </c>
      <c r="D16" s="102" t="s">
        <v>593</v>
      </c>
      <c r="E16" s="102" t="s">
        <v>560</v>
      </c>
      <c r="F16" s="172" t="s">
        <v>1325</v>
      </c>
      <c r="G16" s="102" t="s">
        <v>421</v>
      </c>
      <c r="H16" s="9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opLeftCell="A4" workbookViewId="0">
      <selection activeCell="E5" sqref="E5:H5"/>
    </sheetView>
  </sheetViews>
  <sheetFormatPr defaultColWidth="9" defaultRowHeight="13.5"/>
  <cols>
    <col min="1" max="1" width="4.83333333333333" style="127" customWidth="1"/>
    <col min="2" max="2" width="5.83333333333333" style="100" customWidth="1"/>
    <col min="3" max="4" width="27.1666666666667" style="127" customWidth="1"/>
    <col min="5" max="5" width="27.6666666666667" style="127" customWidth="1"/>
    <col min="6" max="6" width="19.875" style="100" customWidth="1"/>
    <col min="7" max="7" width="20.8333333333333" style="127" customWidth="1"/>
    <col min="8" max="8" width="8.875" style="100" customWidth="1"/>
    <col min="9" max="9" width="17" style="100" customWidth="1"/>
    <col min="10" max="16384" width="9" style="100"/>
  </cols>
  <sheetData>
    <row r="1" ht="23" customHeight="1" spans="1:8">
      <c r="A1" s="135" t="s">
        <v>223</v>
      </c>
      <c r="B1" s="136" t="s">
        <v>2185</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2186</v>
      </c>
      <c r="F4" s="150"/>
      <c r="G4" s="150"/>
      <c r="H4" s="151"/>
    </row>
    <row r="5" ht="17.25" spans="1:8">
      <c r="A5" s="139">
        <v>2</v>
      </c>
      <c r="B5" s="146" t="s">
        <v>228</v>
      </c>
      <c r="C5" s="147"/>
      <c r="D5" s="148"/>
      <c r="E5" s="149" t="s">
        <v>2187</v>
      </c>
      <c r="F5" s="150"/>
      <c r="G5" s="150"/>
      <c r="H5" s="151"/>
    </row>
    <row r="6" ht="17.25" spans="1:8">
      <c r="A6" s="139">
        <v>3</v>
      </c>
      <c r="B6" s="146" t="s">
        <v>229</v>
      </c>
      <c r="C6" s="147"/>
      <c r="D6" s="148"/>
      <c r="E6" s="149"/>
      <c r="F6" s="150"/>
      <c r="G6" s="150"/>
      <c r="H6" s="151"/>
    </row>
    <row r="7" ht="17.25" spans="1:8">
      <c r="A7" s="139">
        <v>4</v>
      </c>
      <c r="B7" s="146" t="s">
        <v>231</v>
      </c>
      <c r="C7" s="147"/>
      <c r="D7" s="148"/>
      <c r="E7" s="149" t="s">
        <v>2188</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7.75" spans="1:8">
      <c r="A11" s="139">
        <v>1</v>
      </c>
      <c r="B11" s="18" t="s">
        <v>242</v>
      </c>
      <c r="C11" s="139" t="s">
        <v>243</v>
      </c>
      <c r="D11" s="87" t="s">
        <v>243</v>
      </c>
      <c r="E11" s="139" t="s">
        <v>243</v>
      </c>
      <c r="F11" s="139" t="s">
        <v>2189</v>
      </c>
      <c r="G11" s="139" t="s">
        <v>306</v>
      </c>
      <c r="H11" s="139"/>
    </row>
    <row r="12" ht="27.75" spans="1:12">
      <c r="A12" s="139">
        <v>2</v>
      </c>
      <c r="B12" s="18" t="s">
        <v>242</v>
      </c>
      <c r="C12" s="139" t="s">
        <v>246</v>
      </c>
      <c r="D12" s="87" t="s">
        <v>246</v>
      </c>
      <c r="E12" s="139" t="s">
        <v>247</v>
      </c>
      <c r="F12" s="139"/>
      <c r="G12" s="139" t="s">
        <v>248</v>
      </c>
      <c r="H12" s="139"/>
      <c r="I12" s="100" t="s">
        <v>249</v>
      </c>
      <c r="J12" s="100" t="s">
        <v>247</v>
      </c>
      <c r="L12" s="100" t="s">
        <v>365</v>
      </c>
    </row>
    <row r="13" ht="27.75" spans="1:8">
      <c r="A13" s="139">
        <v>3</v>
      </c>
      <c r="B13" s="18" t="s">
        <v>242</v>
      </c>
      <c r="C13" s="139" t="s">
        <v>330</v>
      </c>
      <c r="D13" s="87" t="s">
        <v>330</v>
      </c>
      <c r="E13" s="139" t="s">
        <v>332</v>
      </c>
      <c r="F13" s="139"/>
      <c r="G13" s="139" t="s">
        <v>248</v>
      </c>
      <c r="H13" s="139"/>
    </row>
    <row r="14" ht="27.75" spans="1:8">
      <c r="A14" s="139">
        <v>4</v>
      </c>
      <c r="B14" s="18" t="s">
        <v>242</v>
      </c>
      <c r="C14" s="139" t="s">
        <v>335</v>
      </c>
      <c r="D14" s="87" t="s">
        <v>335</v>
      </c>
      <c r="E14" s="139" t="s">
        <v>337</v>
      </c>
      <c r="F14" s="139"/>
      <c r="G14" s="139" t="s">
        <v>248</v>
      </c>
      <c r="H14" s="139"/>
    </row>
    <row r="15" ht="27.75" spans="1:8">
      <c r="A15" s="139">
        <v>5</v>
      </c>
      <c r="B15" s="18" t="s">
        <v>242</v>
      </c>
      <c r="C15" s="139" t="s">
        <v>2190</v>
      </c>
      <c r="D15" s="87" t="s">
        <v>2190</v>
      </c>
      <c r="E15" s="139" t="s">
        <v>2191</v>
      </c>
      <c r="F15" s="139"/>
      <c r="G15" s="139" t="s">
        <v>248</v>
      </c>
      <c r="H15" s="139"/>
    </row>
    <row r="16" ht="27.75" spans="1:8">
      <c r="A16" s="139">
        <v>6</v>
      </c>
      <c r="B16" s="18" t="s">
        <v>242</v>
      </c>
      <c r="C16" s="139" t="s">
        <v>2192</v>
      </c>
      <c r="D16" s="87" t="s">
        <v>2192</v>
      </c>
      <c r="E16" s="139" t="s">
        <v>2193</v>
      </c>
      <c r="F16" s="139"/>
      <c r="G16" s="139" t="s">
        <v>248</v>
      </c>
      <c r="H16" s="139"/>
    </row>
    <row r="17" ht="27.75" spans="1:8">
      <c r="A17" s="139">
        <v>7</v>
      </c>
      <c r="B17" s="18" t="s">
        <v>242</v>
      </c>
      <c r="C17" s="139" t="s">
        <v>2194</v>
      </c>
      <c r="D17" s="87" t="s">
        <v>2194</v>
      </c>
      <c r="E17" s="139" t="s">
        <v>2195</v>
      </c>
      <c r="F17" s="139"/>
      <c r="G17" s="139" t="s">
        <v>248</v>
      </c>
      <c r="H17" s="139"/>
    </row>
    <row r="18" ht="27.75" spans="1:8">
      <c r="A18" s="139">
        <v>8</v>
      </c>
      <c r="B18" s="18" t="s">
        <v>242</v>
      </c>
      <c r="C18" s="139" t="s">
        <v>2196</v>
      </c>
      <c r="D18" s="87" t="s">
        <v>2196</v>
      </c>
      <c r="E18" s="139" t="s">
        <v>2197</v>
      </c>
      <c r="F18" s="139"/>
      <c r="G18" s="139" t="s">
        <v>248</v>
      </c>
      <c r="H18" s="139"/>
    </row>
    <row r="19" ht="27.75" spans="1:8">
      <c r="A19" s="139">
        <v>9</v>
      </c>
      <c r="B19" s="18" t="s">
        <v>242</v>
      </c>
      <c r="C19" s="139" t="s">
        <v>2198</v>
      </c>
      <c r="D19" s="87" t="s">
        <v>2199</v>
      </c>
      <c r="E19" s="139" t="s">
        <v>2200</v>
      </c>
      <c r="F19" s="139"/>
      <c r="G19" s="139" t="s">
        <v>248</v>
      </c>
      <c r="H19" s="139"/>
    </row>
    <row r="20" ht="27.75" spans="1:8">
      <c r="A20" s="139">
        <v>10</v>
      </c>
      <c r="B20" s="18" t="s">
        <v>242</v>
      </c>
      <c r="C20" s="139" t="s">
        <v>2201</v>
      </c>
      <c r="D20" s="87" t="s">
        <v>2202</v>
      </c>
      <c r="E20" s="139" t="s">
        <v>2203</v>
      </c>
      <c r="F20" s="139"/>
      <c r="G20" s="139" t="s">
        <v>248</v>
      </c>
      <c r="H20" s="139"/>
    </row>
    <row r="21" ht="27.75" spans="1:8">
      <c r="A21" s="139">
        <v>11</v>
      </c>
      <c r="B21" s="18" t="s">
        <v>242</v>
      </c>
      <c r="C21" s="139" t="s">
        <v>2204</v>
      </c>
      <c r="D21" s="87" t="s">
        <v>2204</v>
      </c>
      <c r="E21" s="139" t="s">
        <v>2205</v>
      </c>
      <c r="F21" s="139"/>
      <c r="G21" s="139" t="s">
        <v>248</v>
      </c>
      <c r="H21" s="139"/>
    </row>
    <row r="22" ht="34.5" spans="1:8">
      <c r="A22" s="139">
        <v>12</v>
      </c>
      <c r="B22" s="18" t="s">
        <v>242</v>
      </c>
      <c r="C22" s="139" t="s">
        <v>2206</v>
      </c>
      <c r="D22" s="87" t="s">
        <v>2206</v>
      </c>
      <c r="E22" s="139" t="s">
        <v>2207</v>
      </c>
      <c r="F22" s="139"/>
      <c r="G22" s="139" t="s">
        <v>248</v>
      </c>
      <c r="H22" s="139"/>
    </row>
    <row r="23" ht="27.75" spans="1:8">
      <c r="A23" s="139">
        <v>13</v>
      </c>
      <c r="B23" s="18" t="s">
        <v>242</v>
      </c>
      <c r="C23" s="139" t="s">
        <v>2208</v>
      </c>
      <c r="D23" s="87" t="s">
        <v>2208</v>
      </c>
      <c r="E23" s="139" t="s">
        <v>2209</v>
      </c>
      <c r="F23" s="139"/>
      <c r="G23" s="139" t="s">
        <v>248</v>
      </c>
      <c r="H23" s="139"/>
    </row>
    <row r="24" ht="27.75" spans="1:8">
      <c r="A24" s="139">
        <v>14</v>
      </c>
      <c r="B24" s="18" t="s">
        <v>242</v>
      </c>
      <c r="C24" s="139" t="s">
        <v>2210</v>
      </c>
      <c r="D24" s="87" t="s">
        <v>2210</v>
      </c>
      <c r="E24" s="139" t="s">
        <v>2211</v>
      </c>
      <c r="F24" s="139"/>
      <c r="G24" s="139" t="s">
        <v>248</v>
      </c>
      <c r="H24" s="139"/>
    </row>
    <row r="25" ht="27.75" spans="1:8">
      <c r="A25" s="139">
        <v>15</v>
      </c>
      <c r="B25" s="18"/>
      <c r="C25" s="139" t="s">
        <v>2212</v>
      </c>
      <c r="D25" s="87" t="s">
        <v>2213</v>
      </c>
      <c r="E25" s="139" t="s">
        <v>2214</v>
      </c>
      <c r="F25" s="139"/>
      <c r="G25" s="139" t="s">
        <v>248</v>
      </c>
      <c r="H25" s="139"/>
    </row>
    <row r="26" ht="27.75" spans="1:8">
      <c r="A26" s="139">
        <v>16</v>
      </c>
      <c r="B26" s="18"/>
      <c r="C26" s="139" t="s">
        <v>2215</v>
      </c>
      <c r="D26" s="87" t="s">
        <v>2216</v>
      </c>
      <c r="E26" s="139" t="s">
        <v>2217</v>
      </c>
      <c r="F26" s="139"/>
      <c r="G26" s="139" t="s">
        <v>248</v>
      </c>
      <c r="H26" s="139"/>
    </row>
    <row r="27" ht="27.75" spans="1:8">
      <c r="A27" s="139">
        <v>17</v>
      </c>
      <c r="B27" s="18"/>
      <c r="C27" s="139" t="s">
        <v>2218</v>
      </c>
      <c r="D27" s="87" t="s">
        <v>2219</v>
      </c>
      <c r="E27" s="139" t="s">
        <v>2220</v>
      </c>
      <c r="F27" s="139"/>
      <c r="G27" s="139" t="s">
        <v>248</v>
      </c>
      <c r="H27" s="139"/>
    </row>
    <row r="28" ht="27.75" spans="1:8">
      <c r="A28" s="139">
        <v>18</v>
      </c>
      <c r="B28" s="18"/>
      <c r="C28" s="139" t="s">
        <v>2221</v>
      </c>
      <c r="D28" s="87" t="s">
        <v>2222</v>
      </c>
      <c r="E28" s="139" t="s">
        <v>2223</v>
      </c>
      <c r="F28" s="139"/>
      <c r="G28" s="139" t="s">
        <v>248</v>
      </c>
      <c r="H28" s="139"/>
    </row>
    <row r="29" ht="27.75" spans="1:8">
      <c r="A29" s="139">
        <v>19</v>
      </c>
      <c r="B29" s="18" t="s">
        <v>242</v>
      </c>
      <c r="C29" s="139" t="s">
        <v>2224</v>
      </c>
      <c r="D29" s="87" t="s">
        <v>2224</v>
      </c>
      <c r="E29" s="139" t="s">
        <v>2225</v>
      </c>
      <c r="F29" s="139"/>
      <c r="G29" s="139" t="s">
        <v>248</v>
      </c>
      <c r="H29" s="139"/>
    </row>
    <row r="30" ht="27.75" spans="1:8">
      <c r="A30" s="139">
        <v>20</v>
      </c>
      <c r="B30" s="18" t="s">
        <v>242</v>
      </c>
      <c r="C30" s="139" t="s">
        <v>2226</v>
      </c>
      <c r="D30" s="87" t="s">
        <v>2226</v>
      </c>
      <c r="E30" s="139" t="s">
        <v>2227</v>
      </c>
      <c r="F30" s="139"/>
      <c r="G30" s="139" t="s">
        <v>248</v>
      </c>
      <c r="H30" s="139"/>
    </row>
    <row r="31" ht="27.75" spans="1:8">
      <c r="A31" s="139">
        <v>21</v>
      </c>
      <c r="B31" s="18" t="s">
        <v>242</v>
      </c>
      <c r="C31" s="139" t="s">
        <v>2228</v>
      </c>
      <c r="D31" s="87" t="s">
        <v>2228</v>
      </c>
      <c r="E31" s="139" t="s">
        <v>2229</v>
      </c>
      <c r="F31" s="139"/>
      <c r="G31" s="139" t="s">
        <v>248</v>
      </c>
      <c r="H31" s="139"/>
    </row>
    <row r="32" ht="27.75" spans="1:8">
      <c r="A32" s="139">
        <v>22</v>
      </c>
      <c r="B32" s="18" t="s">
        <v>242</v>
      </c>
      <c r="C32" s="139" t="s">
        <v>2230</v>
      </c>
      <c r="D32" s="87" t="s">
        <v>2230</v>
      </c>
      <c r="E32" s="139" t="s">
        <v>2231</v>
      </c>
      <c r="F32" s="139"/>
      <c r="G32" s="139" t="s">
        <v>248</v>
      </c>
      <c r="H32"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K15" sqref="K15"/>
    </sheetView>
  </sheetViews>
  <sheetFormatPr defaultColWidth="9" defaultRowHeight="13.5"/>
  <cols>
    <col min="1" max="1" width="4.83333333333333" style="127" customWidth="1"/>
    <col min="2" max="2" width="5.83333333333333" style="100" customWidth="1"/>
    <col min="3" max="4" width="27.1666666666667" style="127" customWidth="1"/>
    <col min="5" max="5" width="27.6666666666667" style="127" customWidth="1"/>
    <col min="6" max="6" width="20.375" style="100" customWidth="1"/>
    <col min="7" max="7" width="20.8333333333333" style="127" customWidth="1"/>
    <col min="8" max="8" width="9.375" style="100" customWidth="1"/>
    <col min="9" max="9" width="21.5" style="100" customWidth="1"/>
    <col min="10" max="10" width="9" style="100"/>
    <col min="11" max="11" width="12.625" style="100" customWidth="1"/>
    <col min="12" max="16384" width="9" style="100"/>
  </cols>
  <sheetData>
    <row r="1" ht="23" customHeight="1" spans="1:8">
      <c r="A1" s="135" t="s">
        <v>223</v>
      </c>
      <c r="B1" s="136" t="s">
        <v>2232</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2233</v>
      </c>
      <c r="F4" s="150"/>
      <c r="G4" s="150"/>
      <c r="H4" s="151"/>
    </row>
    <row r="5" ht="17.25" spans="1:8">
      <c r="A5" s="139">
        <v>2</v>
      </c>
      <c r="B5" s="146" t="s">
        <v>228</v>
      </c>
      <c r="C5" s="147"/>
      <c r="D5" s="148"/>
      <c r="E5" s="149" t="s">
        <v>2234</v>
      </c>
      <c r="F5" s="150"/>
      <c r="G5" s="150"/>
      <c r="H5" s="151"/>
    </row>
    <row r="6" ht="17.25" spans="1:8">
      <c r="A6" s="139">
        <v>3</v>
      </c>
      <c r="B6" s="146" t="s">
        <v>229</v>
      </c>
      <c r="C6" s="147"/>
      <c r="D6" s="148"/>
      <c r="E6" s="149"/>
      <c r="F6" s="150"/>
      <c r="G6" s="150"/>
      <c r="H6" s="151"/>
    </row>
    <row r="7" ht="17.25" spans="1:8">
      <c r="A7" s="139">
        <v>4</v>
      </c>
      <c r="B7" s="146" t="s">
        <v>231</v>
      </c>
      <c r="C7" s="147"/>
      <c r="D7" s="148"/>
      <c r="E7" s="149" t="s">
        <v>1961</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152" t="s">
        <v>237</v>
      </c>
      <c r="E10" s="152" t="s">
        <v>238</v>
      </c>
      <c r="F10" s="153" t="s">
        <v>239</v>
      </c>
      <c r="G10" s="152" t="s">
        <v>240</v>
      </c>
      <c r="H10" s="153" t="s">
        <v>241</v>
      </c>
    </row>
    <row r="11" ht="27.75" spans="1:8">
      <c r="A11" s="139">
        <f>ROW(A11)-10</f>
        <v>1</v>
      </c>
      <c r="B11" s="18" t="s">
        <v>242</v>
      </c>
      <c r="C11" s="139" t="s">
        <v>243</v>
      </c>
      <c r="D11" s="139" t="s">
        <v>243</v>
      </c>
      <c r="E11" s="139" t="s">
        <v>243</v>
      </c>
      <c r="F11" s="139" t="s">
        <v>2189</v>
      </c>
      <c r="G11" s="139" t="s">
        <v>245</v>
      </c>
      <c r="H11" s="139"/>
    </row>
    <row r="12" ht="27.75" spans="1:12">
      <c r="A12" s="139">
        <f t="shared" ref="A12:A17" si="0">ROW(A12)-10</f>
        <v>2</v>
      </c>
      <c r="B12" s="18" t="s">
        <v>242</v>
      </c>
      <c r="C12" s="139" t="s">
        <v>246</v>
      </c>
      <c r="D12" s="139" t="s">
        <v>246</v>
      </c>
      <c r="E12" s="139" t="s">
        <v>247</v>
      </c>
      <c r="F12" s="139"/>
      <c r="G12" s="139" t="s">
        <v>248</v>
      </c>
      <c r="H12" s="139"/>
      <c r="I12" s="139" t="s">
        <v>249</v>
      </c>
      <c r="J12" s="139" t="s">
        <v>247</v>
      </c>
      <c r="K12" s="139"/>
      <c r="L12" s="139" t="s">
        <v>365</v>
      </c>
    </row>
    <row r="13" ht="27.75" spans="1:12">
      <c r="A13" s="139">
        <f t="shared" si="0"/>
        <v>3</v>
      </c>
      <c r="B13" s="18" t="s">
        <v>242</v>
      </c>
      <c r="C13" s="139" t="s">
        <v>466</v>
      </c>
      <c r="D13" s="139" t="s">
        <v>467</v>
      </c>
      <c r="E13" s="139" t="s">
        <v>252</v>
      </c>
      <c r="F13" s="139"/>
      <c r="G13" s="139" t="s">
        <v>248</v>
      </c>
      <c r="H13" s="139"/>
      <c r="I13" s="139" t="s">
        <v>253</v>
      </c>
      <c r="J13" s="139" t="s">
        <v>243</v>
      </c>
      <c r="K13" s="139"/>
      <c r="L13" s="139" t="s">
        <v>365</v>
      </c>
    </row>
    <row r="14" ht="27.75" spans="1:12">
      <c r="A14" s="139">
        <f t="shared" si="0"/>
        <v>4</v>
      </c>
      <c r="B14" s="18" t="s">
        <v>242</v>
      </c>
      <c r="C14" s="139" t="s">
        <v>2235</v>
      </c>
      <c r="D14" s="139" t="s">
        <v>2235</v>
      </c>
      <c r="E14" s="139" t="s">
        <v>332</v>
      </c>
      <c r="F14" s="139"/>
      <c r="G14" s="139" t="s">
        <v>334</v>
      </c>
      <c r="H14" s="139"/>
      <c r="I14" s="139"/>
      <c r="J14" s="139"/>
      <c r="K14" s="139"/>
      <c r="L14" s="139"/>
    </row>
    <row r="15" ht="51.75" spans="1:12">
      <c r="A15" s="139">
        <f t="shared" si="0"/>
        <v>5</v>
      </c>
      <c r="B15" s="18" t="s">
        <v>242</v>
      </c>
      <c r="C15" s="139" t="s">
        <v>2236</v>
      </c>
      <c r="D15" s="139" t="s">
        <v>2236</v>
      </c>
      <c r="E15" s="139" t="s">
        <v>2237</v>
      </c>
      <c r="F15" s="139" t="s">
        <v>2238</v>
      </c>
      <c r="G15" s="139" t="s">
        <v>263</v>
      </c>
      <c r="H15" s="139"/>
      <c r="I15" s="139" t="s">
        <v>264</v>
      </c>
      <c r="J15" s="139" t="s">
        <v>265</v>
      </c>
      <c r="K15" s="139" t="s">
        <v>2237</v>
      </c>
      <c r="L15" s="139" t="s">
        <v>365</v>
      </c>
    </row>
    <row r="16" ht="27.75" spans="1:8">
      <c r="A16" s="139">
        <f t="shared" si="0"/>
        <v>6</v>
      </c>
      <c r="B16" s="18"/>
      <c r="C16" s="139" t="s">
        <v>2239</v>
      </c>
      <c r="D16" s="139" t="s">
        <v>2239</v>
      </c>
      <c r="E16" s="139" t="s">
        <v>736</v>
      </c>
      <c r="F16" s="139"/>
      <c r="G16" s="139" t="s">
        <v>1540</v>
      </c>
      <c r="H16" s="139"/>
    </row>
    <row r="17" ht="27.75" spans="1:8">
      <c r="A17" s="139">
        <f t="shared" si="0"/>
        <v>7</v>
      </c>
      <c r="B17" s="18"/>
      <c r="C17" s="139" t="s">
        <v>2240</v>
      </c>
      <c r="D17" s="139" t="s">
        <v>2240</v>
      </c>
      <c r="E17" s="139" t="s">
        <v>2241</v>
      </c>
      <c r="F17" s="139" t="s">
        <v>2242</v>
      </c>
      <c r="G17" s="139" t="s">
        <v>263</v>
      </c>
      <c r="H17"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E4" sqref="E4:H4"/>
    </sheetView>
  </sheetViews>
  <sheetFormatPr defaultColWidth="9" defaultRowHeight="13.5"/>
  <cols>
    <col min="1" max="1" width="4.83333333333333" style="127" customWidth="1"/>
    <col min="2" max="2" width="5.83333333333333" style="100" customWidth="1"/>
    <col min="3" max="4" width="27.1666666666667" style="127" customWidth="1"/>
    <col min="5" max="5" width="27.6666666666667" style="127" customWidth="1"/>
    <col min="6" max="6" width="28.875" style="100" customWidth="1"/>
    <col min="7" max="7" width="20.8333333333333" style="127" customWidth="1"/>
    <col min="8" max="8" width="13.75" style="100" customWidth="1"/>
    <col min="9" max="9" width="27" style="100" customWidth="1"/>
    <col min="10" max="10" width="9" style="100"/>
    <col min="11" max="11" width="11.875" style="100" customWidth="1"/>
    <col min="12" max="16384" width="9" style="100"/>
  </cols>
  <sheetData>
    <row r="1" ht="23" customHeight="1" spans="1:8">
      <c r="A1" s="135" t="s">
        <v>223</v>
      </c>
      <c r="B1" s="136" t="s">
        <v>2243</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2244</v>
      </c>
      <c r="F4" s="150"/>
      <c r="G4" s="150"/>
      <c r="H4" s="151"/>
    </row>
    <row r="5" ht="17.25" spans="1:8">
      <c r="A5" s="139">
        <v>2</v>
      </c>
      <c r="B5" s="146" t="s">
        <v>228</v>
      </c>
      <c r="C5" s="147"/>
      <c r="D5" s="148"/>
      <c r="E5" s="149" t="s">
        <v>2234</v>
      </c>
      <c r="F5" s="150"/>
      <c r="G5" s="150"/>
      <c r="H5" s="151"/>
    </row>
    <row r="6" ht="17.25" spans="1:8">
      <c r="A6" s="139">
        <v>3</v>
      </c>
      <c r="B6" s="146" t="s">
        <v>229</v>
      </c>
      <c r="C6" s="147"/>
      <c r="D6" s="148"/>
      <c r="E6" s="149"/>
      <c r="F6" s="150"/>
      <c r="G6" s="150"/>
      <c r="H6" s="151"/>
    </row>
    <row r="7" ht="17.25" spans="1:8">
      <c r="A7" s="139">
        <v>4</v>
      </c>
      <c r="B7" s="146" t="s">
        <v>231</v>
      </c>
      <c r="C7" s="147"/>
      <c r="D7" s="148"/>
      <c r="E7" s="149" t="s">
        <v>1961</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236</v>
      </c>
      <c r="E10" s="152" t="s">
        <v>238</v>
      </c>
      <c r="F10" s="153" t="s">
        <v>239</v>
      </c>
      <c r="G10" s="152" t="s">
        <v>240</v>
      </c>
      <c r="H10" s="153" t="s">
        <v>241</v>
      </c>
    </row>
    <row r="11" ht="27.75" spans="1:8">
      <c r="A11" s="139">
        <f>ROW(A11)-10</f>
        <v>1</v>
      </c>
      <c r="B11" s="18" t="s">
        <v>242</v>
      </c>
      <c r="C11" s="139" t="s">
        <v>243</v>
      </c>
      <c r="D11" s="87" t="s">
        <v>243</v>
      </c>
      <c r="E11" s="139" t="s">
        <v>243</v>
      </c>
      <c r="F11" s="139" t="s">
        <v>2189</v>
      </c>
      <c r="G11" s="139" t="s">
        <v>245</v>
      </c>
      <c r="H11" s="139"/>
    </row>
    <row r="12" ht="27.75" spans="1:12">
      <c r="A12" s="139">
        <f t="shared" ref="A12:A17" si="0">ROW(A12)-10</f>
        <v>2</v>
      </c>
      <c r="B12" s="18" t="s">
        <v>242</v>
      </c>
      <c r="C12" s="139" t="s">
        <v>246</v>
      </c>
      <c r="D12" s="87" t="s">
        <v>246</v>
      </c>
      <c r="E12" s="139" t="s">
        <v>247</v>
      </c>
      <c r="F12" s="139"/>
      <c r="G12" s="139" t="s">
        <v>248</v>
      </c>
      <c r="H12" s="139"/>
      <c r="I12" s="139" t="s">
        <v>249</v>
      </c>
      <c r="J12" s="139" t="s">
        <v>247</v>
      </c>
      <c r="K12" s="139"/>
      <c r="L12" s="139" t="s">
        <v>365</v>
      </c>
    </row>
    <row r="13" ht="27.75" spans="1:12">
      <c r="A13" s="139">
        <f t="shared" si="0"/>
        <v>3</v>
      </c>
      <c r="B13" s="18" t="s">
        <v>242</v>
      </c>
      <c r="C13" s="139" t="s">
        <v>466</v>
      </c>
      <c r="D13" s="87" t="s">
        <v>467</v>
      </c>
      <c r="E13" s="139" t="s">
        <v>252</v>
      </c>
      <c r="F13" s="139"/>
      <c r="G13" s="139" t="s">
        <v>248</v>
      </c>
      <c r="H13" s="139"/>
      <c r="I13" s="139" t="s">
        <v>253</v>
      </c>
      <c r="J13" s="139" t="s">
        <v>243</v>
      </c>
      <c r="K13" s="139"/>
      <c r="L13" s="139" t="s">
        <v>365</v>
      </c>
    </row>
    <row r="14" ht="27.75" spans="1:12">
      <c r="A14" s="139">
        <f t="shared" si="0"/>
        <v>4</v>
      </c>
      <c r="B14" s="18" t="s">
        <v>242</v>
      </c>
      <c r="C14" s="139" t="s">
        <v>2235</v>
      </c>
      <c r="D14" s="87" t="s">
        <v>2235</v>
      </c>
      <c r="E14" s="139" t="s">
        <v>332</v>
      </c>
      <c r="F14" s="139"/>
      <c r="G14" s="139" t="s">
        <v>334</v>
      </c>
      <c r="H14" s="139"/>
      <c r="I14" s="139"/>
      <c r="J14" s="139"/>
      <c r="K14" s="139"/>
      <c r="L14" s="139"/>
    </row>
    <row r="15" ht="34.5" spans="1:12">
      <c r="A15" s="139">
        <f t="shared" si="0"/>
        <v>5</v>
      </c>
      <c r="B15" s="18" t="s">
        <v>242</v>
      </c>
      <c r="C15" s="139" t="s">
        <v>2245</v>
      </c>
      <c r="D15" s="87" t="s">
        <v>2245</v>
      </c>
      <c r="E15" s="139" t="s">
        <v>2237</v>
      </c>
      <c r="F15" s="139" t="s">
        <v>2246</v>
      </c>
      <c r="G15" s="139" t="s">
        <v>263</v>
      </c>
      <c r="H15" s="139"/>
      <c r="I15" s="139" t="s">
        <v>264</v>
      </c>
      <c r="J15" s="139" t="s">
        <v>265</v>
      </c>
      <c r="K15" s="139" t="s">
        <v>2237</v>
      </c>
      <c r="L15" s="139" t="s">
        <v>365</v>
      </c>
    </row>
    <row r="16" ht="27.75" spans="1:8">
      <c r="A16" s="139">
        <f t="shared" si="0"/>
        <v>6</v>
      </c>
      <c r="B16" s="18"/>
      <c r="C16" s="139" t="s">
        <v>2239</v>
      </c>
      <c r="D16" s="87" t="s">
        <v>2239</v>
      </c>
      <c r="E16" s="139" t="s">
        <v>736</v>
      </c>
      <c r="F16" s="139"/>
      <c r="G16" s="139" t="s">
        <v>1540</v>
      </c>
      <c r="H16" s="139"/>
    </row>
    <row r="17" ht="27.75" spans="1:8">
      <c r="A17" s="139">
        <f t="shared" si="0"/>
        <v>7</v>
      </c>
      <c r="B17" s="18"/>
      <c r="C17" s="139" t="s">
        <v>2240</v>
      </c>
      <c r="D17" s="87" t="s">
        <v>2240</v>
      </c>
      <c r="E17" s="139" t="s">
        <v>2241</v>
      </c>
      <c r="F17" s="139" t="s">
        <v>2242</v>
      </c>
      <c r="G17" s="139" t="s">
        <v>263</v>
      </c>
      <c r="H17"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K17" sqref="K17"/>
    </sheetView>
  </sheetViews>
  <sheetFormatPr defaultColWidth="9" defaultRowHeight="13.5"/>
  <cols>
    <col min="1" max="1" width="4.83333333333333" style="127" customWidth="1"/>
    <col min="2" max="2" width="5.83333333333333" style="100" customWidth="1"/>
    <col min="3" max="4" width="20.8333333333333" style="127" customWidth="1"/>
    <col min="5" max="5" width="31.8333333333333" style="127" customWidth="1"/>
    <col min="6" max="6" width="19.625" style="100" customWidth="1"/>
    <col min="7" max="7" width="20.8333333333333" style="127" customWidth="1"/>
    <col min="8" max="8" width="25" style="100" customWidth="1"/>
    <col min="9" max="9" width="21.1666666666667" style="100" customWidth="1"/>
    <col min="10" max="10" width="9" style="100"/>
    <col min="11" max="11" width="28.125" style="100" customWidth="1"/>
    <col min="12" max="16384" width="9" style="100"/>
  </cols>
  <sheetData>
    <row r="1" ht="14.25" spans="1:8">
      <c r="A1" s="135" t="s">
        <v>223</v>
      </c>
      <c r="B1" s="136" t="s">
        <v>2247</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2248</v>
      </c>
      <c r="F4" s="150"/>
      <c r="G4" s="150"/>
      <c r="H4" s="151"/>
    </row>
    <row r="5" ht="17.25" spans="1:8">
      <c r="A5" s="139">
        <v>2</v>
      </c>
      <c r="B5" s="146" t="s">
        <v>228</v>
      </c>
      <c r="C5" s="147"/>
      <c r="D5" s="148"/>
      <c r="E5" s="149" t="s">
        <v>83</v>
      </c>
      <c r="F5" s="150"/>
      <c r="G5" s="150"/>
      <c r="H5" s="151"/>
    </row>
    <row r="6" ht="17.25" spans="1:8">
      <c r="A6" s="139">
        <v>3</v>
      </c>
      <c r="B6" s="146" t="s">
        <v>229</v>
      </c>
      <c r="C6" s="147"/>
      <c r="D6" s="148"/>
      <c r="E6" s="149" t="s">
        <v>2249</v>
      </c>
      <c r="F6" s="150"/>
      <c r="G6" s="150"/>
      <c r="H6" s="151"/>
    </row>
    <row r="7" ht="17.25" spans="1:8">
      <c r="A7" s="139">
        <v>4</v>
      </c>
      <c r="B7" s="146" t="s">
        <v>231</v>
      </c>
      <c r="C7" s="147"/>
      <c r="D7" s="148"/>
      <c r="E7" s="149" t="s">
        <v>2250</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25.25" customHeight="1" spans="1:8">
      <c r="A11" s="139">
        <v>1</v>
      </c>
      <c r="B11" s="156" t="s">
        <v>242</v>
      </c>
      <c r="C11" s="139" t="s">
        <v>243</v>
      </c>
      <c r="D11" s="87" t="s">
        <v>243</v>
      </c>
      <c r="E11" s="139" t="s">
        <v>243</v>
      </c>
      <c r="F11" s="157" t="s">
        <v>2189</v>
      </c>
      <c r="G11" s="139" t="s">
        <v>306</v>
      </c>
      <c r="H11" s="157"/>
    </row>
    <row r="12" ht="25.25" customHeight="1" spans="1:8">
      <c r="A12" s="139">
        <v>2</v>
      </c>
      <c r="B12" s="156" t="s">
        <v>242</v>
      </c>
      <c r="C12" s="139" t="s">
        <v>2251</v>
      </c>
      <c r="D12" s="87" t="s">
        <v>2251</v>
      </c>
      <c r="E12" s="139" t="s">
        <v>2252</v>
      </c>
      <c r="F12" s="157" t="s">
        <v>2253</v>
      </c>
      <c r="G12" s="139" t="s">
        <v>303</v>
      </c>
      <c r="H12" s="157"/>
    </row>
    <row r="13" ht="25.25" customHeight="1" spans="1:12">
      <c r="A13" s="139">
        <v>3</v>
      </c>
      <c r="B13" s="156" t="s">
        <v>242</v>
      </c>
      <c r="C13" s="139" t="s">
        <v>246</v>
      </c>
      <c r="D13" s="87" t="s">
        <v>246</v>
      </c>
      <c r="E13" s="139" t="s">
        <v>247</v>
      </c>
      <c r="F13" s="157"/>
      <c r="G13" s="139" t="s">
        <v>248</v>
      </c>
      <c r="H13" s="157"/>
      <c r="I13" s="168" t="s">
        <v>249</v>
      </c>
      <c r="J13" s="168" t="s">
        <v>247</v>
      </c>
      <c r="K13" s="168"/>
      <c r="L13" s="169" t="s">
        <v>365</v>
      </c>
    </row>
    <row r="14" ht="25.25" customHeight="1" spans="1:12">
      <c r="A14" s="139">
        <v>4</v>
      </c>
      <c r="B14" s="156"/>
      <c r="C14" s="139" t="s">
        <v>2254</v>
      </c>
      <c r="D14" s="87" t="s">
        <v>2254</v>
      </c>
      <c r="E14" s="139" t="s">
        <v>2255</v>
      </c>
      <c r="F14" s="157" t="s">
        <v>1989</v>
      </c>
      <c r="G14" s="139" t="s">
        <v>248</v>
      </c>
      <c r="H14" s="157"/>
      <c r="I14" s="168"/>
      <c r="J14" s="168"/>
      <c r="K14" s="168"/>
      <c r="L14" s="168"/>
    </row>
    <row r="15" ht="25.25" customHeight="1" spans="1:12">
      <c r="A15" s="139">
        <v>5</v>
      </c>
      <c r="B15" s="156"/>
      <c r="C15" s="139" t="s">
        <v>2256</v>
      </c>
      <c r="D15" s="87" t="s">
        <v>2256</v>
      </c>
      <c r="E15" s="139" t="s">
        <v>2257</v>
      </c>
      <c r="F15" s="157"/>
      <c r="G15" s="139" t="s">
        <v>248</v>
      </c>
      <c r="H15" s="157"/>
      <c r="I15" s="168" t="s">
        <v>2258</v>
      </c>
      <c r="J15" s="168" t="s">
        <v>243</v>
      </c>
      <c r="K15" s="168"/>
      <c r="L15" s="168" t="s">
        <v>243</v>
      </c>
    </row>
    <row r="16" ht="25.25" customHeight="1" spans="1:12">
      <c r="A16" s="139">
        <v>6</v>
      </c>
      <c r="B16" s="156"/>
      <c r="C16" s="139" t="s">
        <v>2259</v>
      </c>
      <c r="D16" s="87" t="s">
        <v>2259</v>
      </c>
      <c r="E16" s="139" t="s">
        <v>2260</v>
      </c>
      <c r="F16" s="157"/>
      <c r="G16" s="139" t="s">
        <v>248</v>
      </c>
      <c r="H16" s="157"/>
      <c r="I16" s="168" t="s">
        <v>2258</v>
      </c>
      <c r="J16" s="168" t="s">
        <v>243</v>
      </c>
      <c r="K16" s="168"/>
      <c r="L16" s="168" t="s">
        <v>243</v>
      </c>
    </row>
    <row r="17" ht="25.25" customHeight="1" spans="1:12">
      <c r="A17" s="139">
        <v>7</v>
      </c>
      <c r="B17" s="156" t="s">
        <v>242</v>
      </c>
      <c r="C17" s="139" t="s">
        <v>2261</v>
      </c>
      <c r="D17" s="87" t="s">
        <v>2261</v>
      </c>
      <c r="E17" s="139" t="s">
        <v>2262</v>
      </c>
      <c r="F17" s="157" t="s">
        <v>2263</v>
      </c>
      <c r="G17" s="139" t="s">
        <v>248</v>
      </c>
      <c r="H17" s="139" t="s">
        <v>2264</v>
      </c>
      <c r="I17" s="168" t="s">
        <v>264</v>
      </c>
      <c r="J17" s="168" t="s">
        <v>265</v>
      </c>
      <c r="K17" s="168" t="s">
        <v>2262</v>
      </c>
      <c r="L17" s="169"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opLeftCell="F1" workbookViewId="0">
      <selection activeCell="I12" sqref="I12"/>
    </sheetView>
  </sheetViews>
  <sheetFormatPr defaultColWidth="9" defaultRowHeight="13.5"/>
  <cols>
    <col min="1" max="1" width="4.83333333333333" style="127" customWidth="1"/>
    <col min="2" max="2" width="5.83333333333333" style="100" customWidth="1"/>
    <col min="3" max="4" width="20.8333333333333" style="127" customWidth="1"/>
    <col min="5" max="5" width="28.3333333333333" style="127" customWidth="1"/>
    <col min="6" max="6" width="25.125" style="100" customWidth="1"/>
    <col min="7" max="7" width="20.8333333333333" style="127" customWidth="1"/>
    <col min="8" max="8" width="14.125" style="100" customWidth="1"/>
    <col min="9" max="9" width="23" style="100" customWidth="1"/>
    <col min="10" max="10" width="9" style="100"/>
    <col min="11" max="11" width="22.5" style="100" customWidth="1"/>
    <col min="12" max="16384" width="9" style="100"/>
  </cols>
  <sheetData>
    <row r="1" ht="14.25" spans="1:8">
      <c r="A1" s="135" t="s">
        <v>223</v>
      </c>
      <c r="B1" s="136" t="s">
        <v>2265</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2258</v>
      </c>
      <c r="F4" s="150"/>
      <c r="G4" s="150"/>
      <c r="H4" s="151"/>
    </row>
    <row r="5" ht="17.25" spans="1:8">
      <c r="A5" s="139">
        <v>2</v>
      </c>
      <c r="B5" s="146" t="s">
        <v>228</v>
      </c>
      <c r="C5" s="147"/>
      <c r="D5" s="148"/>
      <c r="E5" s="149" t="s">
        <v>2266</v>
      </c>
      <c r="F5" s="150"/>
      <c r="G5" s="150"/>
      <c r="H5" s="151"/>
    </row>
    <row r="6" ht="17.25" spans="1:8">
      <c r="A6" s="139">
        <v>3</v>
      </c>
      <c r="B6" s="146" t="s">
        <v>229</v>
      </c>
      <c r="C6" s="147"/>
      <c r="D6" s="148"/>
      <c r="E6" s="149"/>
      <c r="F6" s="150"/>
      <c r="G6" s="150"/>
      <c r="H6" s="151"/>
    </row>
    <row r="7" ht="17.25" spans="1:8">
      <c r="A7" s="139">
        <v>4</v>
      </c>
      <c r="B7" s="146" t="s">
        <v>231</v>
      </c>
      <c r="C7" s="147"/>
      <c r="D7" s="148"/>
      <c r="E7" s="149" t="s">
        <v>2250</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17.25" spans="1:8">
      <c r="A11" s="139">
        <v>1</v>
      </c>
      <c r="B11" s="156" t="s">
        <v>242</v>
      </c>
      <c r="C11" s="139" t="s">
        <v>243</v>
      </c>
      <c r="D11" s="87" t="s">
        <v>243</v>
      </c>
      <c r="E11" s="139" t="s">
        <v>243</v>
      </c>
      <c r="F11" s="139" t="s">
        <v>2189</v>
      </c>
      <c r="G11" s="139" t="s">
        <v>306</v>
      </c>
      <c r="H11" s="139"/>
    </row>
    <row r="12" ht="17.25" spans="1:12">
      <c r="A12" s="139">
        <v>2</v>
      </c>
      <c r="B12" s="156" t="s">
        <v>242</v>
      </c>
      <c r="C12" s="139" t="s">
        <v>2267</v>
      </c>
      <c r="D12" s="87" t="s">
        <v>2268</v>
      </c>
      <c r="E12" s="139" t="s">
        <v>1256</v>
      </c>
      <c r="F12" s="139" t="s">
        <v>2267</v>
      </c>
      <c r="G12" s="139" t="s">
        <v>303</v>
      </c>
      <c r="H12" s="139"/>
      <c r="I12" s="168" t="s">
        <v>1227</v>
      </c>
      <c r="J12" s="168" t="s">
        <v>243</v>
      </c>
      <c r="K12" s="168"/>
      <c r="L12" s="100" t="s">
        <v>365</v>
      </c>
    </row>
    <row r="13" ht="17.25" spans="1:12">
      <c r="A13" s="139">
        <v>3</v>
      </c>
      <c r="B13" s="156" t="s">
        <v>242</v>
      </c>
      <c r="C13" s="139" t="s">
        <v>246</v>
      </c>
      <c r="D13" s="87" t="s">
        <v>246</v>
      </c>
      <c r="E13" s="139" t="s">
        <v>247</v>
      </c>
      <c r="F13" s="139"/>
      <c r="G13" s="139" t="s">
        <v>248</v>
      </c>
      <c r="H13" s="139"/>
      <c r="I13" s="168" t="s">
        <v>249</v>
      </c>
      <c r="J13" s="168" t="s">
        <v>247</v>
      </c>
      <c r="K13" s="168"/>
      <c r="L13" s="100" t="s">
        <v>365</v>
      </c>
    </row>
    <row r="14" ht="17.25" spans="1:11">
      <c r="A14" s="139">
        <v>4</v>
      </c>
      <c r="B14" s="156" t="s">
        <v>242</v>
      </c>
      <c r="C14" s="139" t="s">
        <v>2269</v>
      </c>
      <c r="D14" s="87" t="s">
        <v>2269</v>
      </c>
      <c r="E14" s="139" t="s">
        <v>2270</v>
      </c>
      <c r="F14" s="139" t="s">
        <v>1989</v>
      </c>
      <c r="G14" s="139" t="s">
        <v>248</v>
      </c>
      <c r="H14" s="139"/>
      <c r="I14" s="168"/>
      <c r="J14" s="168"/>
      <c r="K14" s="168"/>
    </row>
    <row r="15" ht="103.5" spans="1:12">
      <c r="A15" s="139">
        <v>5</v>
      </c>
      <c r="B15" s="156" t="s">
        <v>242</v>
      </c>
      <c r="C15" s="139" t="s">
        <v>2271</v>
      </c>
      <c r="D15" s="87" t="s">
        <v>2271</v>
      </c>
      <c r="E15" s="139" t="s">
        <v>2272</v>
      </c>
      <c r="F15" s="139" t="s">
        <v>2273</v>
      </c>
      <c r="G15" s="139" t="s">
        <v>248</v>
      </c>
      <c r="H15" s="139" t="s">
        <v>2274</v>
      </c>
      <c r="I15" s="168" t="s">
        <v>264</v>
      </c>
      <c r="J15" s="168" t="s">
        <v>265</v>
      </c>
      <c r="K15" s="168" t="s">
        <v>2272</v>
      </c>
      <c r="L15" s="100" t="s">
        <v>365</v>
      </c>
    </row>
    <row r="16" ht="17.25" spans="1:8">
      <c r="A16" s="139">
        <v>6</v>
      </c>
      <c r="B16" s="139"/>
      <c r="C16" s="139" t="s">
        <v>569</v>
      </c>
      <c r="D16" s="87" t="s">
        <v>569</v>
      </c>
      <c r="E16" s="139" t="s">
        <v>570</v>
      </c>
      <c r="F16" s="139"/>
      <c r="G16" s="139" t="s">
        <v>248</v>
      </c>
      <c r="H16" s="139"/>
    </row>
    <row r="17" ht="17.25" spans="1:8">
      <c r="A17" s="139">
        <v>7</v>
      </c>
      <c r="B17" s="156" t="s">
        <v>242</v>
      </c>
      <c r="C17" s="139" t="s">
        <v>574</v>
      </c>
      <c r="D17" s="139"/>
      <c r="E17" s="139" t="s">
        <v>575</v>
      </c>
      <c r="F17" s="139" t="s">
        <v>2105</v>
      </c>
      <c r="G17" s="139" t="s">
        <v>576</v>
      </c>
      <c r="H17" s="139"/>
    </row>
    <row r="18" ht="17.25" spans="1:8">
      <c r="A18" s="139">
        <v>8</v>
      </c>
      <c r="B18" s="156" t="s">
        <v>242</v>
      </c>
      <c r="C18" s="139" t="s">
        <v>572</v>
      </c>
      <c r="D18" s="139"/>
      <c r="E18" s="139" t="s">
        <v>2106</v>
      </c>
      <c r="F18" s="139"/>
      <c r="G18" s="139" t="s">
        <v>248</v>
      </c>
      <c r="H18" s="139"/>
    </row>
    <row r="19" ht="17.25" spans="1:8">
      <c r="A19" s="139">
        <v>9</v>
      </c>
      <c r="B19" s="156" t="s">
        <v>242</v>
      </c>
      <c r="C19" s="139" t="s">
        <v>579</v>
      </c>
      <c r="D19" s="139"/>
      <c r="E19" s="139" t="s">
        <v>580</v>
      </c>
      <c r="F19" s="139" t="s">
        <v>2105</v>
      </c>
      <c r="G19" s="139" t="s">
        <v>576</v>
      </c>
      <c r="H19" s="139"/>
    </row>
    <row r="20" ht="17.25" spans="1:8">
      <c r="A20" s="139">
        <v>10</v>
      </c>
      <c r="B20" s="156" t="s">
        <v>242</v>
      </c>
      <c r="C20" s="139" t="s">
        <v>577</v>
      </c>
      <c r="D20" s="139"/>
      <c r="E20" s="139" t="s">
        <v>2107</v>
      </c>
      <c r="F20" s="139"/>
      <c r="G20" s="139" t="s">
        <v>248</v>
      </c>
      <c r="H20" s="1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zoomScale="85" zoomScaleNormal="85" topLeftCell="A5" workbookViewId="0">
      <selection activeCell="K16" sqref="K1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2.9333333333333" style="23" customWidth="1"/>
    <col min="7" max="7" width="21.1666666666667" style="23" customWidth="1"/>
    <col min="8" max="8" width="38.1666666666667" style="23" customWidth="1"/>
    <col min="9" max="9" width="21.7666666666667" style="23" customWidth="1"/>
    <col min="10" max="10" width="10.8333333333333" style="23"/>
    <col min="11" max="11" width="29.6666666666667" style="23" customWidth="1"/>
    <col min="12" max="16384" width="10.8333333333333" style="23"/>
  </cols>
  <sheetData>
    <row r="1" customHeight="1" spans="1:8">
      <c r="A1" s="1" t="s">
        <v>223</v>
      </c>
      <c r="B1" s="2" t="s">
        <v>167</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1491</v>
      </c>
      <c r="F4" s="11"/>
      <c r="G4" s="11"/>
      <c r="H4" s="11"/>
    </row>
    <row r="5" customHeight="1" spans="1:8">
      <c r="A5" s="10">
        <v>2</v>
      </c>
      <c r="B5" s="10" t="s">
        <v>228</v>
      </c>
      <c r="C5" s="10"/>
      <c r="D5" s="10"/>
      <c r="E5" s="11"/>
      <c r="F5" s="11"/>
      <c r="G5" s="11"/>
      <c r="H5" s="11"/>
    </row>
    <row r="6" customHeight="1" spans="1:8">
      <c r="A6" s="10">
        <v>3</v>
      </c>
      <c r="B6" s="10" t="s">
        <v>229</v>
      </c>
      <c r="C6" s="10"/>
      <c r="D6" s="10"/>
      <c r="E6" s="11" t="s">
        <v>230</v>
      </c>
      <c r="F6" s="11"/>
      <c r="G6" s="11"/>
      <c r="H6" s="11"/>
    </row>
    <row r="7" customHeight="1" spans="1:8">
      <c r="A7" s="10">
        <v>4</v>
      </c>
      <c r="B7" s="10" t="s">
        <v>231</v>
      </c>
      <c r="C7" s="10"/>
      <c r="D7" s="10"/>
      <c r="E7" s="11" t="s">
        <v>232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8">
      <c r="A12" s="10">
        <f t="shared" ref="A12:A25" si="0">ROW(A12)-10</f>
        <v>2</v>
      </c>
      <c r="B12" s="18" t="s">
        <v>242</v>
      </c>
      <c r="C12" s="25" t="s">
        <v>366</v>
      </c>
      <c r="D12" s="113" t="s">
        <v>366</v>
      </c>
      <c r="E12" s="25" t="s">
        <v>367</v>
      </c>
      <c r="F12" s="11"/>
      <c r="G12" s="10" t="s">
        <v>248</v>
      </c>
      <c r="H12" s="11"/>
    </row>
    <row r="13" customHeight="1" spans="1:8">
      <c r="A13" s="10">
        <f t="shared" si="0"/>
        <v>3</v>
      </c>
      <c r="B13" s="18" t="s">
        <v>242</v>
      </c>
      <c r="C13" s="25" t="s">
        <v>399</v>
      </c>
      <c r="D13" s="113" t="s">
        <v>399</v>
      </c>
      <c r="E13" s="25" t="s">
        <v>365</v>
      </c>
      <c r="F13" s="11"/>
      <c r="G13" s="10" t="s">
        <v>303</v>
      </c>
      <c r="H13" s="11"/>
    </row>
    <row r="14" customHeight="1" spans="1:8">
      <c r="A14" s="10">
        <f t="shared" si="0"/>
        <v>4</v>
      </c>
      <c r="B14" s="18" t="s">
        <v>242</v>
      </c>
      <c r="C14" s="25" t="s">
        <v>400</v>
      </c>
      <c r="D14" s="113" t="s">
        <v>400</v>
      </c>
      <c r="E14" s="25" t="s">
        <v>402</v>
      </c>
      <c r="F14" s="11"/>
      <c r="G14" s="10" t="s">
        <v>248</v>
      </c>
      <c r="H14" s="11"/>
    </row>
    <row r="15" customHeight="1" spans="1:11">
      <c r="A15" s="10">
        <f t="shared" si="0"/>
        <v>5</v>
      </c>
      <c r="B15" s="18" t="s">
        <v>242</v>
      </c>
      <c r="C15" s="25" t="s">
        <v>375</v>
      </c>
      <c r="D15" s="113" t="s">
        <v>375</v>
      </c>
      <c r="E15" s="25" t="s">
        <v>376</v>
      </c>
      <c r="F15" s="11"/>
      <c r="G15" s="10" t="s">
        <v>248</v>
      </c>
      <c r="H15" s="11"/>
      <c r="I15" s="23" t="s">
        <v>264</v>
      </c>
      <c r="J15" s="23" t="s">
        <v>265</v>
      </c>
      <c r="K15" s="23" t="s">
        <v>376</v>
      </c>
    </row>
    <row r="16" customHeight="1" spans="1:11">
      <c r="A16" s="10">
        <f t="shared" si="0"/>
        <v>6</v>
      </c>
      <c r="B16" s="18" t="s">
        <v>242</v>
      </c>
      <c r="C16" s="25" t="s">
        <v>403</v>
      </c>
      <c r="D16" s="113" t="s">
        <v>403</v>
      </c>
      <c r="E16" s="25" t="s">
        <v>379</v>
      </c>
      <c r="F16" s="11"/>
      <c r="G16" s="10" t="s">
        <v>248</v>
      </c>
      <c r="H16" s="11"/>
      <c r="I16" s="23" t="s">
        <v>264</v>
      </c>
      <c r="J16" s="23" t="s">
        <v>265</v>
      </c>
      <c r="K16" s="23" t="s">
        <v>379</v>
      </c>
    </row>
    <row r="17" customHeight="1" spans="1:10">
      <c r="A17" s="10">
        <f t="shared" si="0"/>
        <v>7</v>
      </c>
      <c r="B17" s="18" t="s">
        <v>242</v>
      </c>
      <c r="C17" s="25" t="s">
        <v>404</v>
      </c>
      <c r="D17" s="113" t="s">
        <v>404</v>
      </c>
      <c r="E17" s="25" t="s">
        <v>405</v>
      </c>
      <c r="F17" s="11" t="s">
        <v>406</v>
      </c>
      <c r="G17" s="10" t="s">
        <v>248</v>
      </c>
      <c r="H17" s="11"/>
      <c r="I17" s="23" t="s">
        <v>657</v>
      </c>
      <c r="J17" s="23" t="s">
        <v>243</v>
      </c>
    </row>
    <row r="18" customHeight="1" spans="1:10">
      <c r="A18" s="10">
        <f t="shared" si="0"/>
        <v>8</v>
      </c>
      <c r="B18" s="18" t="s">
        <v>242</v>
      </c>
      <c r="C18" s="25" t="s">
        <v>407</v>
      </c>
      <c r="D18" s="113" t="s">
        <v>407</v>
      </c>
      <c r="E18" s="25" t="s">
        <v>408</v>
      </c>
      <c r="F18" s="11" t="s">
        <v>406</v>
      </c>
      <c r="G18" s="10" t="s">
        <v>248</v>
      </c>
      <c r="H18" s="11"/>
      <c r="I18" s="23" t="s">
        <v>657</v>
      </c>
      <c r="J18" s="23" t="s">
        <v>243</v>
      </c>
    </row>
    <row r="19" customHeight="1" spans="1:8">
      <c r="A19" s="10">
        <f t="shared" si="0"/>
        <v>9</v>
      </c>
      <c r="B19" s="18" t="s">
        <v>242</v>
      </c>
      <c r="C19" s="25" t="s">
        <v>409</v>
      </c>
      <c r="D19" s="113" t="s">
        <v>409</v>
      </c>
      <c r="E19" s="25" t="s">
        <v>410</v>
      </c>
      <c r="F19" s="11"/>
      <c r="G19" s="10" t="s">
        <v>390</v>
      </c>
      <c r="H19" s="11"/>
    </row>
    <row r="20" customHeight="1" spans="1:8">
      <c r="A20" s="10">
        <f t="shared" si="0"/>
        <v>10</v>
      </c>
      <c r="B20" s="18" t="s">
        <v>242</v>
      </c>
      <c r="C20" s="25" t="s">
        <v>411</v>
      </c>
      <c r="D20" s="113" t="s">
        <v>411</v>
      </c>
      <c r="E20" s="25" t="s">
        <v>412</v>
      </c>
      <c r="F20" s="11"/>
      <c r="G20" s="10" t="s">
        <v>248</v>
      </c>
      <c r="H20" s="11"/>
    </row>
    <row r="21" customHeight="1" spans="1:8">
      <c r="A21" s="10">
        <f t="shared" si="0"/>
        <v>11</v>
      </c>
      <c r="B21" s="18" t="s">
        <v>242</v>
      </c>
      <c r="C21" s="25" t="s">
        <v>413</v>
      </c>
      <c r="D21" s="113" t="s">
        <v>413</v>
      </c>
      <c r="E21" s="25" t="s">
        <v>414</v>
      </c>
      <c r="F21" s="11"/>
      <c r="G21" s="10" t="s">
        <v>248</v>
      </c>
      <c r="H21" s="11"/>
    </row>
    <row r="22" customHeight="1" spans="1:8">
      <c r="A22" s="10">
        <f t="shared" si="0"/>
        <v>12</v>
      </c>
      <c r="B22" s="18" t="s">
        <v>242</v>
      </c>
      <c r="C22" s="25" t="s">
        <v>2275</v>
      </c>
      <c r="D22" s="113" t="s">
        <v>2275</v>
      </c>
      <c r="E22" s="25" t="s">
        <v>2276</v>
      </c>
      <c r="F22" s="11"/>
      <c r="G22" s="10" t="s">
        <v>248</v>
      </c>
      <c r="H22" s="11"/>
    </row>
    <row r="23" customHeight="1" spans="1:8">
      <c r="A23" s="10">
        <f t="shared" si="0"/>
        <v>13</v>
      </c>
      <c r="B23" s="18" t="s">
        <v>242</v>
      </c>
      <c r="C23" s="25" t="s">
        <v>2277</v>
      </c>
      <c r="D23" s="113" t="s">
        <v>2277</v>
      </c>
      <c r="E23" s="25" t="s">
        <v>2278</v>
      </c>
      <c r="F23" s="11"/>
      <c r="G23" s="10" t="s">
        <v>1194</v>
      </c>
      <c r="H23" s="11"/>
    </row>
    <row r="24" customHeight="1" spans="1:8">
      <c r="A24" s="10">
        <f t="shared" si="0"/>
        <v>14</v>
      </c>
      <c r="B24" s="18"/>
      <c r="C24" s="25" t="s">
        <v>2279</v>
      </c>
      <c r="D24" s="113" t="s">
        <v>2279</v>
      </c>
      <c r="E24" s="25" t="s">
        <v>2280</v>
      </c>
      <c r="F24" s="11"/>
      <c r="G24" s="10" t="s">
        <v>1194</v>
      </c>
      <c r="H24" s="11"/>
    </row>
    <row r="25" customHeight="1" spans="1:8">
      <c r="A25" s="10">
        <f t="shared" si="0"/>
        <v>15</v>
      </c>
      <c r="B25" s="18" t="s">
        <v>242</v>
      </c>
      <c r="C25" s="25" t="s">
        <v>415</v>
      </c>
      <c r="D25" s="113" t="s">
        <v>415</v>
      </c>
      <c r="E25" s="25" t="s">
        <v>416</v>
      </c>
      <c r="F25" s="11"/>
      <c r="G25" s="10" t="s">
        <v>359</v>
      </c>
      <c r="H25"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70" zoomScaleNormal="70" workbookViewId="0">
      <selection activeCell="E6" sqref="E6:H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6.25" style="24" customWidth="1"/>
    <col min="6" max="6" width="73.3333333333333" style="23" customWidth="1"/>
    <col min="7" max="7" width="21.1666666666667" style="23" customWidth="1"/>
    <col min="8" max="8" width="38.1666666666667" style="23" customWidth="1"/>
    <col min="9" max="9" width="27.3333333333333" style="23" customWidth="1"/>
    <col min="10" max="16384" width="10.8333333333333" style="23"/>
  </cols>
  <sheetData>
    <row r="1" customHeight="1" spans="1:8">
      <c r="A1" s="1" t="s">
        <v>223</v>
      </c>
      <c r="B1" s="2" t="s">
        <v>168</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2281</v>
      </c>
      <c r="F4" s="11"/>
      <c r="G4" s="11"/>
      <c r="H4" s="11"/>
    </row>
    <row r="5" customHeight="1" spans="1:8">
      <c r="A5" s="10">
        <v>2</v>
      </c>
      <c r="B5" s="10" t="s">
        <v>228</v>
      </c>
      <c r="C5" s="10"/>
      <c r="D5" s="10"/>
      <c r="E5" s="11"/>
      <c r="F5" s="11"/>
      <c r="G5" s="11"/>
      <c r="H5" s="11"/>
    </row>
    <row r="6" customHeight="1" spans="1:8">
      <c r="A6" s="10">
        <v>3</v>
      </c>
      <c r="B6" s="10" t="s">
        <v>229</v>
      </c>
      <c r="C6" s="10"/>
      <c r="D6" s="10"/>
      <c r="E6" s="11"/>
      <c r="F6" s="11"/>
      <c r="G6" s="11"/>
      <c r="H6" s="11"/>
    </row>
    <row r="7" customHeight="1" spans="1:8">
      <c r="A7" s="10">
        <v>4</v>
      </c>
      <c r="B7" s="10" t="s">
        <v>231</v>
      </c>
      <c r="C7" s="10"/>
      <c r="D7" s="10"/>
      <c r="E7" s="11" t="s">
        <v>2282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21" si="0">ROW(A12)-10</f>
        <v>2</v>
      </c>
      <c r="B12" s="18" t="s">
        <v>242</v>
      </c>
      <c r="C12" s="25" t="s">
        <v>366</v>
      </c>
      <c r="D12" s="113" t="s">
        <v>366</v>
      </c>
      <c r="E12" s="25" t="s">
        <v>367</v>
      </c>
      <c r="F12" s="11"/>
      <c r="G12" s="10" t="s">
        <v>248</v>
      </c>
      <c r="H12" s="11"/>
      <c r="I12" s="23" t="s">
        <v>1491</v>
      </c>
      <c r="J12" s="23" t="s">
        <v>243</v>
      </c>
    </row>
    <row r="13" customHeight="1" spans="1:10">
      <c r="A13" s="10">
        <f t="shared" si="0"/>
        <v>3</v>
      </c>
      <c r="B13" s="18" t="s">
        <v>242</v>
      </c>
      <c r="C13" s="25" t="s">
        <v>601</v>
      </c>
      <c r="D13" s="113" t="s">
        <v>601</v>
      </c>
      <c r="E13" s="25" t="s">
        <v>602</v>
      </c>
      <c r="F13" s="11"/>
      <c r="G13" s="10" t="s">
        <v>248</v>
      </c>
      <c r="H13" s="11"/>
      <c r="I13" s="23" t="s">
        <v>604</v>
      </c>
      <c r="J13" s="23" t="s">
        <v>243</v>
      </c>
    </row>
    <row r="14" customHeight="1" spans="1:8">
      <c r="A14" s="10">
        <f t="shared" si="0"/>
        <v>4</v>
      </c>
      <c r="B14" s="18" t="s">
        <v>242</v>
      </c>
      <c r="C14" s="25" t="s">
        <v>2283</v>
      </c>
      <c r="D14" s="113" t="s">
        <v>2283</v>
      </c>
      <c r="E14" s="25" t="s">
        <v>2284</v>
      </c>
      <c r="F14" s="11"/>
      <c r="G14" s="10" t="s">
        <v>472</v>
      </c>
      <c r="H14" s="11"/>
    </row>
    <row r="15" customHeight="1" spans="1:8">
      <c r="A15" s="10">
        <f t="shared" si="0"/>
        <v>5</v>
      </c>
      <c r="B15" s="18" t="s">
        <v>242</v>
      </c>
      <c r="C15" s="25" t="s">
        <v>2285</v>
      </c>
      <c r="D15" s="113" t="s">
        <v>2285</v>
      </c>
      <c r="E15" s="25" t="s">
        <v>2286</v>
      </c>
      <c r="F15" s="11"/>
      <c r="G15" s="10" t="s">
        <v>958</v>
      </c>
      <c r="H15" s="11"/>
    </row>
    <row r="16" customHeight="1" spans="1:8">
      <c r="A16" s="10">
        <f t="shared" si="0"/>
        <v>6</v>
      </c>
      <c r="B16" s="18" t="s">
        <v>242</v>
      </c>
      <c r="C16" s="25" t="s">
        <v>2287</v>
      </c>
      <c r="D16" s="113" t="s">
        <v>2287</v>
      </c>
      <c r="E16" s="25" t="s">
        <v>286</v>
      </c>
      <c r="F16" s="11"/>
      <c r="G16" s="10" t="s">
        <v>282</v>
      </c>
      <c r="H16" s="11"/>
    </row>
    <row r="17" customHeight="1" spans="1:8">
      <c r="A17" s="10">
        <f t="shared" si="0"/>
        <v>7</v>
      </c>
      <c r="B17" s="18" t="s">
        <v>242</v>
      </c>
      <c r="C17" s="25" t="s">
        <v>2288</v>
      </c>
      <c r="D17" s="113" t="s">
        <v>2288</v>
      </c>
      <c r="E17" s="25" t="s">
        <v>288</v>
      </c>
      <c r="F17" s="11"/>
      <c r="G17" s="10" t="s">
        <v>282</v>
      </c>
      <c r="H17" s="11"/>
    </row>
    <row r="18" customHeight="1" spans="1:8">
      <c r="A18" s="10">
        <f t="shared" si="0"/>
        <v>8</v>
      </c>
      <c r="B18" s="18"/>
      <c r="C18" s="25" t="s">
        <v>2289</v>
      </c>
      <c r="D18" s="113" t="s">
        <v>2289</v>
      </c>
      <c r="E18" s="25" t="s">
        <v>1511</v>
      </c>
      <c r="F18" s="11"/>
      <c r="G18" s="10" t="s">
        <v>303</v>
      </c>
      <c r="H18" s="11"/>
    </row>
    <row r="19" customHeight="1" spans="1:8">
      <c r="A19" s="10">
        <f t="shared" si="0"/>
        <v>9</v>
      </c>
      <c r="B19" s="18"/>
      <c r="C19" s="25" t="s">
        <v>467</v>
      </c>
      <c r="D19" s="113" t="s">
        <v>467</v>
      </c>
      <c r="E19" s="25" t="s">
        <v>252</v>
      </c>
      <c r="F19" s="11" t="s">
        <v>2290</v>
      </c>
      <c r="G19" s="10" t="s">
        <v>248</v>
      </c>
      <c r="H19"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zoomScale="85" zoomScaleNormal="85" workbookViewId="0">
      <selection activeCell="H16" sqref="H1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4.125" style="23" customWidth="1"/>
    <col min="7" max="7" width="21.1666666666667" style="23" customWidth="1"/>
    <col min="8" max="8" width="38.1666666666667" style="23" customWidth="1"/>
    <col min="9" max="9" width="29.1666666666667" style="23" customWidth="1"/>
    <col min="10" max="16384" width="10.8333333333333" style="23"/>
  </cols>
  <sheetData>
    <row r="1" customHeight="1" spans="1:8">
      <c r="A1" s="1" t="s">
        <v>223</v>
      </c>
      <c r="B1" s="2" t="s">
        <v>169</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2291</v>
      </c>
      <c r="F4" s="11"/>
      <c r="G4" s="11"/>
      <c r="H4" s="11"/>
    </row>
    <row r="5" customHeight="1" spans="1:8">
      <c r="A5" s="10">
        <v>2</v>
      </c>
      <c r="B5" s="10" t="s">
        <v>228</v>
      </c>
      <c r="C5" s="10"/>
      <c r="D5" s="10"/>
      <c r="E5" s="11"/>
      <c r="F5" s="11"/>
      <c r="G5" s="11"/>
      <c r="H5" s="11"/>
    </row>
    <row r="6" customHeight="1" spans="1:8">
      <c r="A6" s="10">
        <v>3</v>
      </c>
      <c r="B6" s="10" t="s">
        <v>229</v>
      </c>
      <c r="C6" s="10"/>
      <c r="D6" s="10"/>
      <c r="E6" s="11"/>
      <c r="F6" s="11"/>
      <c r="G6" s="11"/>
      <c r="H6" s="11"/>
    </row>
    <row r="7" customHeight="1" spans="1:8">
      <c r="A7" s="10">
        <v>4</v>
      </c>
      <c r="B7" s="10" t="s">
        <v>231</v>
      </c>
      <c r="C7" s="10"/>
      <c r="D7" s="10"/>
      <c r="E7" s="11" t="s">
        <v>2292</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13" si="0">ROW(A12)-10</f>
        <v>2</v>
      </c>
      <c r="B12" s="18" t="s">
        <v>242</v>
      </c>
      <c r="C12" s="25" t="s">
        <v>2293</v>
      </c>
      <c r="D12" s="113" t="s">
        <v>2294</v>
      </c>
      <c r="E12" s="25" t="s">
        <v>2295</v>
      </c>
      <c r="F12" s="11"/>
      <c r="G12" s="10" t="s">
        <v>322</v>
      </c>
      <c r="H12" s="11"/>
      <c r="I12" s="23" t="s">
        <v>2281</v>
      </c>
      <c r="J12" s="23" t="s">
        <v>243</v>
      </c>
    </row>
    <row r="13" customHeight="1" spans="1:10">
      <c r="A13" s="10">
        <f t="shared" si="0"/>
        <v>3</v>
      </c>
      <c r="B13" s="18" t="s">
        <v>242</v>
      </c>
      <c r="C13" s="25" t="s">
        <v>246</v>
      </c>
      <c r="D13" s="113" t="s">
        <v>2296</v>
      </c>
      <c r="E13" s="25" t="s">
        <v>247</v>
      </c>
      <c r="F13" s="11"/>
      <c r="G13" s="10" t="s">
        <v>248</v>
      </c>
      <c r="H13" s="11"/>
      <c r="I13" s="23" t="s">
        <v>249</v>
      </c>
      <c r="J13" s="23" t="s">
        <v>247</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85" zoomScaleNormal="85" topLeftCell="A2" workbookViewId="0">
      <selection activeCell="F14" sqref="F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7.3333333333333" style="23" customWidth="1"/>
    <col min="10" max="16384" width="10.8333333333333" style="23"/>
  </cols>
  <sheetData>
    <row r="1" customHeight="1" spans="1:8">
      <c r="A1" s="1" t="s">
        <v>223</v>
      </c>
      <c r="B1" s="2" t="s">
        <v>170</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2297</v>
      </c>
      <c r="F4" s="11"/>
      <c r="G4" s="11"/>
      <c r="H4" s="11"/>
    </row>
    <row r="5" customHeight="1" spans="1:8">
      <c r="A5" s="10">
        <v>2</v>
      </c>
      <c r="B5" s="10" t="s">
        <v>228</v>
      </c>
      <c r="C5" s="10"/>
      <c r="D5" s="10"/>
      <c r="E5" s="11"/>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19" si="0">ROW(A12)-10</f>
        <v>2</v>
      </c>
      <c r="B12" s="18" t="s">
        <v>242</v>
      </c>
      <c r="C12" s="25" t="s">
        <v>366</v>
      </c>
      <c r="D12" s="113" t="s">
        <v>366</v>
      </c>
      <c r="E12" s="25" t="s">
        <v>367</v>
      </c>
      <c r="F12" s="11"/>
      <c r="G12" s="10" t="s">
        <v>248</v>
      </c>
      <c r="H12" s="11"/>
      <c r="I12" s="23" t="s">
        <v>1491</v>
      </c>
      <c r="J12" s="23" t="s">
        <v>243</v>
      </c>
    </row>
    <row r="13" customHeight="1" spans="1:10">
      <c r="A13" s="10">
        <f t="shared" si="0"/>
        <v>3</v>
      </c>
      <c r="B13" s="18" t="s">
        <v>242</v>
      </c>
      <c r="C13" s="25" t="s">
        <v>601</v>
      </c>
      <c r="D13" s="113" t="s">
        <v>601</v>
      </c>
      <c r="E13" s="25" t="s">
        <v>602</v>
      </c>
      <c r="F13" s="11"/>
      <c r="G13" s="10" t="s">
        <v>248</v>
      </c>
      <c r="H13" s="11"/>
      <c r="I13" s="23" t="s">
        <v>604</v>
      </c>
      <c r="J13" s="23" t="s">
        <v>243</v>
      </c>
    </row>
    <row r="14" customHeight="1" spans="1:8">
      <c r="A14" s="10">
        <f t="shared" si="0"/>
        <v>4</v>
      </c>
      <c r="B14" s="18" t="s">
        <v>242</v>
      </c>
      <c r="C14" s="25" t="s">
        <v>2298</v>
      </c>
      <c r="D14" s="113" t="s">
        <v>2298</v>
      </c>
      <c r="E14" s="25" t="s">
        <v>2284</v>
      </c>
      <c r="F14" s="11"/>
      <c r="G14" s="10" t="s">
        <v>472</v>
      </c>
      <c r="H14" s="11"/>
    </row>
    <row r="15" customHeight="1" spans="1:8">
      <c r="A15" s="10">
        <f t="shared" si="0"/>
        <v>5</v>
      </c>
      <c r="B15" s="18" t="s">
        <v>242</v>
      </c>
      <c r="C15" s="25" t="s">
        <v>2299</v>
      </c>
      <c r="D15" s="113" t="s">
        <v>2299</v>
      </c>
      <c r="E15" s="25" t="s">
        <v>2286</v>
      </c>
      <c r="F15" s="11"/>
      <c r="G15" s="10" t="s">
        <v>958</v>
      </c>
      <c r="H15" s="11"/>
    </row>
    <row r="16" customHeight="1" spans="1:8">
      <c r="A16" s="10">
        <f t="shared" si="0"/>
        <v>6</v>
      </c>
      <c r="B16" s="18" t="s">
        <v>242</v>
      </c>
      <c r="C16" s="25" t="s">
        <v>2300</v>
      </c>
      <c r="D16" s="113" t="s">
        <v>2300</v>
      </c>
      <c r="E16" s="25" t="s">
        <v>286</v>
      </c>
      <c r="F16" s="11"/>
      <c r="G16" s="10" t="s">
        <v>282</v>
      </c>
      <c r="H16" s="11"/>
    </row>
    <row r="17" customHeight="1" spans="1:8">
      <c r="A17" s="10">
        <f t="shared" si="0"/>
        <v>7</v>
      </c>
      <c r="B17" s="18" t="s">
        <v>242</v>
      </c>
      <c r="C17" s="25" t="s">
        <v>2301</v>
      </c>
      <c r="D17" s="113" t="s">
        <v>2301</v>
      </c>
      <c r="E17" s="25" t="s">
        <v>288</v>
      </c>
      <c r="F17" s="11"/>
      <c r="G17" s="10" t="s">
        <v>282</v>
      </c>
      <c r="H17" s="11"/>
    </row>
    <row r="18" customHeight="1" spans="1:8">
      <c r="A18" s="10">
        <f t="shared" si="0"/>
        <v>8</v>
      </c>
      <c r="B18" s="18"/>
      <c r="C18" s="25" t="s">
        <v>2289</v>
      </c>
      <c r="D18" s="113" t="s">
        <v>2289</v>
      </c>
      <c r="E18" s="25" t="s">
        <v>1511</v>
      </c>
      <c r="F18" s="11"/>
      <c r="G18" s="10" t="s">
        <v>303</v>
      </c>
      <c r="H18" s="11"/>
    </row>
    <row r="19" customHeight="1" spans="1:10">
      <c r="A19" s="10">
        <f t="shared" si="0"/>
        <v>9</v>
      </c>
      <c r="B19" s="18"/>
      <c r="C19" s="25" t="s">
        <v>467</v>
      </c>
      <c r="D19" s="113" t="s">
        <v>467</v>
      </c>
      <c r="E19" s="25" t="s">
        <v>252</v>
      </c>
      <c r="F19" s="11" t="s">
        <v>2290</v>
      </c>
      <c r="G19" s="10" t="s">
        <v>248</v>
      </c>
      <c r="H19" s="11"/>
      <c r="I19" s="23" t="s">
        <v>253</v>
      </c>
      <c r="J19" s="23" t="s">
        <v>243</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I13" sqref="I13:J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7.6666666666667" style="23" customWidth="1"/>
    <col min="10" max="16384" width="10.8333333333333" style="23"/>
  </cols>
  <sheetData>
    <row r="1" customHeight="1" spans="1:8">
      <c r="A1" s="1" t="s">
        <v>223</v>
      </c>
      <c r="B1" s="2" t="s">
        <v>171</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2302</v>
      </c>
      <c r="F4" s="11"/>
      <c r="G4" s="11"/>
      <c r="H4" s="11"/>
    </row>
    <row r="5" customHeight="1" spans="1:8">
      <c r="A5" s="10">
        <v>2</v>
      </c>
      <c r="B5" s="10" t="s">
        <v>228</v>
      </c>
      <c r="C5" s="10"/>
      <c r="D5" s="10"/>
      <c r="E5" s="11"/>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6" t="s">
        <v>237</v>
      </c>
      <c r="E10" s="17" t="s">
        <v>238</v>
      </c>
      <c r="F10" s="14" t="s">
        <v>239</v>
      </c>
      <c r="G10" s="14" t="s">
        <v>240</v>
      </c>
      <c r="H10" s="14" t="s">
        <v>241</v>
      </c>
    </row>
    <row r="11" customHeight="1" spans="1:8">
      <c r="A11" s="10">
        <f>ROW(A11)-10</f>
        <v>1</v>
      </c>
      <c r="B11" s="18" t="s">
        <v>242</v>
      </c>
      <c r="C11" s="25" t="s">
        <v>243</v>
      </c>
      <c r="D11" s="113" t="s">
        <v>243</v>
      </c>
      <c r="E11" s="25" t="s">
        <v>243</v>
      </c>
      <c r="F11" s="11" t="s">
        <v>244</v>
      </c>
      <c r="G11" s="10" t="s">
        <v>322</v>
      </c>
      <c r="H11" s="11"/>
    </row>
    <row r="12" customHeight="1" spans="1:10">
      <c r="A12" s="10">
        <f t="shared" ref="A12:A13" si="0">ROW(A12)-10</f>
        <v>2</v>
      </c>
      <c r="B12" s="18" t="s">
        <v>242</v>
      </c>
      <c r="C12" s="25" t="s">
        <v>2293</v>
      </c>
      <c r="D12" s="113" t="s">
        <v>2294</v>
      </c>
      <c r="E12" s="25" t="s">
        <v>2295</v>
      </c>
      <c r="F12" s="11"/>
      <c r="G12" s="10" t="s">
        <v>322</v>
      </c>
      <c r="H12" s="11"/>
      <c r="I12" s="23" t="s">
        <v>2297</v>
      </c>
      <c r="J12" s="23" t="s">
        <v>243</v>
      </c>
    </row>
    <row r="13" customHeight="1" spans="1:10">
      <c r="A13" s="10">
        <f t="shared" si="0"/>
        <v>3</v>
      </c>
      <c r="B13" s="18" t="s">
        <v>242</v>
      </c>
      <c r="C13" s="25" t="s">
        <v>246</v>
      </c>
      <c r="D13" s="113" t="s">
        <v>246</v>
      </c>
      <c r="E13" s="25" t="s">
        <v>247</v>
      </c>
      <c r="F13" s="11"/>
      <c r="G13" s="10" t="s">
        <v>248</v>
      </c>
      <c r="H13" s="11"/>
      <c r="I13" s="23" t="s">
        <v>249</v>
      </c>
      <c r="J13" s="23" t="s">
        <v>247</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workbookViewId="0">
      <selection activeCell="I12" sqref="I12:J1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73.3333333333333" style="23" customWidth="1"/>
    <col min="7" max="7" width="21.1666666666667" style="23" customWidth="1"/>
    <col min="8" max="8" width="38.1666666666667" style="23" customWidth="1"/>
    <col min="9" max="9" width="27.3333333333333" style="23" customWidth="1"/>
    <col min="10" max="16384" width="10.8333333333333" style="23"/>
  </cols>
  <sheetData>
    <row r="1" customHeight="1" spans="1:8">
      <c r="A1" s="1" t="s">
        <v>223</v>
      </c>
      <c r="B1" s="2" t="s">
        <v>172</v>
      </c>
      <c r="C1" s="3"/>
      <c r="D1" s="3"/>
      <c r="E1" s="3"/>
      <c r="F1" s="3"/>
      <c r="G1" s="3"/>
      <c r="H1" s="3"/>
    </row>
    <row r="2" customHeight="1" spans="1:8">
      <c r="A2" s="5"/>
      <c r="B2" s="3"/>
      <c r="C2" s="3"/>
      <c r="D2" s="3"/>
      <c r="E2" s="3"/>
      <c r="F2" s="3"/>
      <c r="G2" s="3"/>
      <c r="H2" s="3"/>
    </row>
    <row r="3" customHeight="1" spans="1:8">
      <c r="A3" s="167" t="s">
        <v>225</v>
      </c>
      <c r="B3" s="167"/>
      <c r="C3" s="167"/>
      <c r="D3" s="167"/>
      <c r="E3" s="167"/>
      <c r="F3" s="167"/>
      <c r="G3" s="167"/>
      <c r="H3" s="167"/>
    </row>
    <row r="4" customHeight="1" spans="1:8">
      <c r="A4" s="10">
        <v>1</v>
      </c>
      <c r="B4" s="10" t="s">
        <v>226</v>
      </c>
      <c r="C4" s="10"/>
      <c r="D4" s="10"/>
      <c r="E4" s="11" t="s">
        <v>2303</v>
      </c>
      <c r="F4" s="11"/>
      <c r="G4" s="11"/>
      <c r="H4" s="11"/>
    </row>
    <row r="5" customHeight="1" spans="1:8">
      <c r="A5" s="10">
        <v>2</v>
      </c>
      <c r="B5" s="10" t="s">
        <v>228</v>
      </c>
      <c r="C5" s="10"/>
      <c r="D5" s="10"/>
      <c r="E5" s="11"/>
      <c r="F5" s="11"/>
      <c r="G5" s="11"/>
      <c r="H5" s="11"/>
    </row>
    <row r="6" customHeight="1" spans="1:8">
      <c r="A6" s="10">
        <v>3</v>
      </c>
      <c r="B6" s="10" t="s">
        <v>229</v>
      </c>
      <c r="C6" s="10"/>
      <c r="D6" s="10"/>
      <c r="E6" s="11"/>
      <c r="F6" s="11"/>
      <c r="G6" s="11"/>
      <c r="H6" s="11"/>
    </row>
    <row r="7" customHeight="1" spans="1:8">
      <c r="A7" s="10">
        <v>4</v>
      </c>
      <c r="B7" s="10" t="s">
        <v>231</v>
      </c>
      <c r="C7" s="10"/>
      <c r="D7" s="10"/>
      <c r="E7" s="11" t="s">
        <v>583</v>
      </c>
      <c r="F7" s="11"/>
      <c r="G7" s="11"/>
      <c r="H7" s="11"/>
    </row>
    <row r="8" customHeight="1" spans="1:8">
      <c r="A8" s="10">
        <v>5</v>
      </c>
      <c r="B8" s="10" t="s">
        <v>233</v>
      </c>
      <c r="C8" s="10"/>
      <c r="D8" s="10"/>
      <c r="E8" s="11"/>
      <c r="F8" s="11"/>
      <c r="G8" s="11"/>
      <c r="H8" s="11"/>
    </row>
    <row r="9" customHeight="1" spans="1:8">
      <c r="A9" s="167" t="s">
        <v>234</v>
      </c>
      <c r="B9" s="167"/>
      <c r="C9" s="167"/>
      <c r="D9" s="167"/>
      <c r="E9" s="167"/>
      <c r="F9" s="167"/>
      <c r="G9" s="167"/>
      <c r="H9" s="167"/>
    </row>
    <row r="10" customHeight="1" spans="1:8">
      <c r="A10" s="14"/>
      <c r="B10" s="15" t="s">
        <v>235</v>
      </c>
      <c r="C10" s="14" t="s">
        <v>236</v>
      </c>
      <c r="D10" s="14" t="s">
        <v>237</v>
      </c>
      <c r="E10" s="17" t="s">
        <v>238</v>
      </c>
      <c r="F10" s="14" t="s">
        <v>239</v>
      </c>
      <c r="G10" s="14" t="s">
        <v>240</v>
      </c>
      <c r="H10" s="14" t="s">
        <v>241</v>
      </c>
    </row>
    <row r="11" customHeight="1" spans="1:8">
      <c r="A11" s="10">
        <f>ROW(A11)-10</f>
        <v>1</v>
      </c>
      <c r="B11" s="18" t="s">
        <v>242</v>
      </c>
      <c r="C11" s="25" t="s">
        <v>243</v>
      </c>
      <c r="D11" s="25" t="s">
        <v>243</v>
      </c>
      <c r="E11" s="25" t="s">
        <v>243</v>
      </c>
      <c r="F11" s="11" t="s">
        <v>244</v>
      </c>
      <c r="G11" s="10" t="s">
        <v>322</v>
      </c>
      <c r="H11" s="11"/>
    </row>
    <row r="12" customHeight="1" spans="1:10">
      <c r="A12" s="10">
        <f t="shared" ref="A12:A15" si="0">ROW(A12)-10</f>
        <v>2</v>
      </c>
      <c r="B12" s="18" t="s">
        <v>242</v>
      </c>
      <c r="C12" s="25" t="s">
        <v>366</v>
      </c>
      <c r="D12" s="25" t="s">
        <v>366</v>
      </c>
      <c r="E12" s="25" t="s">
        <v>367</v>
      </c>
      <c r="F12" s="11"/>
      <c r="G12" s="10" t="s">
        <v>248</v>
      </c>
      <c r="H12" s="11"/>
      <c r="I12" s="23" t="s">
        <v>1491</v>
      </c>
      <c r="J12" s="23" t="s">
        <v>243</v>
      </c>
    </row>
    <row r="13" customHeight="1" spans="1:10">
      <c r="A13" s="10">
        <f t="shared" si="0"/>
        <v>3</v>
      </c>
      <c r="B13" s="18" t="s">
        <v>242</v>
      </c>
      <c r="C13" s="25" t="s">
        <v>246</v>
      </c>
      <c r="D13" s="25" t="s">
        <v>246</v>
      </c>
      <c r="E13" s="25" t="s">
        <v>247</v>
      </c>
      <c r="F13" s="11"/>
      <c r="G13" s="10" t="s">
        <v>248</v>
      </c>
      <c r="H13" s="11"/>
      <c r="I13" s="23" t="s">
        <v>249</v>
      </c>
      <c r="J13" s="23" t="s">
        <v>247</v>
      </c>
    </row>
    <row r="14" customHeight="1" spans="1:8">
      <c r="A14" s="10">
        <f t="shared" si="0"/>
        <v>4</v>
      </c>
      <c r="B14" s="18" t="s">
        <v>242</v>
      </c>
      <c r="C14" s="25" t="s">
        <v>2304</v>
      </c>
      <c r="D14" s="25" t="s">
        <v>2304</v>
      </c>
      <c r="E14" s="25" t="s">
        <v>2305</v>
      </c>
      <c r="F14" s="11"/>
      <c r="G14" s="10" t="s">
        <v>421</v>
      </c>
      <c r="H14" s="11"/>
    </row>
    <row r="15" customHeight="1" spans="1:8">
      <c r="A15" s="10">
        <f t="shared" si="0"/>
        <v>5</v>
      </c>
      <c r="B15" s="18" t="s">
        <v>242</v>
      </c>
      <c r="C15" s="25" t="s">
        <v>2306</v>
      </c>
      <c r="D15" s="25" t="s">
        <v>2306</v>
      </c>
      <c r="E15" s="25" t="s">
        <v>299</v>
      </c>
      <c r="F15" s="11"/>
      <c r="G15" s="10" t="s">
        <v>282</v>
      </c>
      <c r="H15" s="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zoomScale="85" zoomScaleNormal="85" workbookViewId="0">
      <selection activeCell="K18" sqref="K18"/>
    </sheetView>
  </sheetViews>
  <sheetFormatPr defaultColWidth="9" defaultRowHeight="13.5"/>
  <cols>
    <col min="1" max="1" width="4.83333333333333" style="127" customWidth="1"/>
    <col min="2" max="2" width="5.83333333333333" style="100" customWidth="1"/>
    <col min="3" max="4" width="20.8333333333333" style="127" customWidth="1"/>
    <col min="5" max="5" width="29.1666666666667" style="127" customWidth="1"/>
    <col min="6" max="6" width="60.8333333333333" style="100" customWidth="1"/>
    <col min="7" max="7" width="20.8333333333333" style="127" customWidth="1"/>
    <col min="8" max="8" width="18" style="100" customWidth="1"/>
    <col min="9" max="9" width="28" style="100" customWidth="1"/>
    <col min="10" max="10" width="9" style="100"/>
    <col min="11" max="11" width="28.1666666666667" style="100" customWidth="1"/>
    <col min="12" max="16384" width="9" style="100"/>
  </cols>
  <sheetData>
    <row r="1" ht="23" customHeight="1" spans="1:8">
      <c r="A1" s="135" t="s">
        <v>223</v>
      </c>
      <c r="B1" s="136" t="s">
        <v>2307</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2308</v>
      </c>
      <c r="F4" s="150"/>
      <c r="G4" s="150"/>
      <c r="H4" s="151"/>
    </row>
    <row r="5" ht="17.25" spans="1:8">
      <c r="A5" s="139">
        <v>2</v>
      </c>
      <c r="B5" s="146" t="s">
        <v>228</v>
      </c>
      <c r="C5" s="147"/>
      <c r="D5" s="148"/>
      <c r="E5" s="149" t="s">
        <v>2309</v>
      </c>
      <c r="F5" s="150"/>
      <c r="G5" s="150"/>
      <c r="H5" s="151"/>
    </row>
    <row r="6" ht="17.25" spans="1:8">
      <c r="A6" s="139">
        <v>3</v>
      </c>
      <c r="B6" s="146" t="s">
        <v>229</v>
      </c>
      <c r="C6" s="147"/>
      <c r="D6" s="148"/>
      <c r="E6" s="149"/>
      <c r="F6" s="150"/>
      <c r="G6" s="150"/>
      <c r="H6" s="151"/>
    </row>
    <row r="7" ht="17.25" spans="1:8">
      <c r="A7" s="139">
        <v>4</v>
      </c>
      <c r="B7" s="146" t="s">
        <v>231</v>
      </c>
      <c r="C7" s="147"/>
      <c r="D7" s="148"/>
      <c r="E7" s="149" t="s">
        <v>2310</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17.25" spans="1:8">
      <c r="A11" s="139">
        <f>ROW(A11)-10</f>
        <v>1</v>
      </c>
      <c r="B11" s="161" t="s">
        <v>242</v>
      </c>
      <c r="C11" s="139" t="s">
        <v>243</v>
      </c>
      <c r="D11" s="87" t="s">
        <v>243</v>
      </c>
      <c r="E11" s="139" t="s">
        <v>243</v>
      </c>
      <c r="F11" s="156"/>
      <c r="G11" s="139" t="s">
        <v>306</v>
      </c>
      <c r="H11" s="157"/>
    </row>
    <row r="12" ht="17.25" spans="1:8">
      <c r="A12" s="139">
        <f t="shared" ref="A12:A26" si="0">ROW(A12)-10</f>
        <v>2</v>
      </c>
      <c r="B12" s="161" t="s">
        <v>242</v>
      </c>
      <c r="C12" s="139" t="s">
        <v>2311</v>
      </c>
      <c r="D12" s="87" t="s">
        <v>2312</v>
      </c>
      <c r="E12" s="139" t="s">
        <v>332</v>
      </c>
      <c r="F12" s="157"/>
      <c r="G12" s="139" t="s">
        <v>334</v>
      </c>
      <c r="H12" s="157"/>
    </row>
    <row r="13" ht="17.25" spans="1:8">
      <c r="A13" s="139">
        <f t="shared" si="0"/>
        <v>3</v>
      </c>
      <c r="B13" s="161" t="s">
        <v>242</v>
      </c>
      <c r="C13" s="139" t="s">
        <v>2313</v>
      </c>
      <c r="D13" s="87" t="s">
        <v>2314</v>
      </c>
      <c r="E13" s="139" t="s">
        <v>337</v>
      </c>
      <c r="F13" s="157"/>
      <c r="G13" s="139" t="s">
        <v>282</v>
      </c>
      <c r="H13" s="157"/>
    </row>
    <row r="14" customFormat="1" ht="17.25" spans="1:11">
      <c r="A14" s="22">
        <f t="shared" si="0"/>
        <v>4</v>
      </c>
      <c r="B14" s="162" t="s">
        <v>242</v>
      </c>
      <c r="C14" s="22" t="s">
        <v>2315</v>
      </c>
      <c r="D14" s="87" t="s">
        <v>2316</v>
      </c>
      <c r="E14" s="22" t="s">
        <v>256</v>
      </c>
      <c r="F14" s="22"/>
      <c r="G14" s="22" t="s">
        <v>248</v>
      </c>
      <c r="H14" s="22"/>
      <c r="I14" s="166" t="s">
        <v>258</v>
      </c>
      <c r="J14" s="159" t="s">
        <v>243</v>
      </c>
      <c r="K14" s="159"/>
    </row>
    <row r="15" ht="17.25" spans="1:11">
      <c r="A15" s="139">
        <f t="shared" si="0"/>
        <v>5</v>
      </c>
      <c r="B15" s="161" t="s">
        <v>242</v>
      </c>
      <c r="C15" s="139" t="s">
        <v>588</v>
      </c>
      <c r="D15" s="87" t="s">
        <v>2317</v>
      </c>
      <c r="E15" s="139" t="s">
        <v>590</v>
      </c>
      <c r="F15" s="157"/>
      <c r="G15" s="139" t="s">
        <v>248</v>
      </c>
      <c r="H15" s="157"/>
      <c r="I15" s="166" t="s">
        <v>592</v>
      </c>
      <c r="J15" s="159" t="s">
        <v>243</v>
      </c>
      <c r="K15" s="159"/>
    </row>
    <row r="16" customFormat="1" ht="17.25" spans="1:11">
      <c r="A16" s="22">
        <f t="shared" si="0"/>
        <v>6</v>
      </c>
      <c r="B16" s="162" t="s">
        <v>242</v>
      </c>
      <c r="C16" s="22" t="s">
        <v>2318</v>
      </c>
      <c r="D16" s="87" t="s">
        <v>2319</v>
      </c>
      <c r="E16" s="22" t="s">
        <v>2320</v>
      </c>
      <c r="F16" s="22" t="s">
        <v>2321</v>
      </c>
      <c r="G16" s="22" t="s">
        <v>248</v>
      </c>
      <c r="H16" s="22"/>
      <c r="I16" s="166" t="s">
        <v>264</v>
      </c>
      <c r="J16" s="159" t="s">
        <v>265</v>
      </c>
      <c r="K16" s="159" t="s">
        <v>2320</v>
      </c>
    </row>
    <row r="17" customFormat="1" ht="34.5" spans="1:11">
      <c r="A17" s="22">
        <f t="shared" si="0"/>
        <v>7</v>
      </c>
      <c r="B17" s="162" t="s">
        <v>242</v>
      </c>
      <c r="C17" s="22" t="s">
        <v>2322</v>
      </c>
      <c r="D17" s="87" t="s">
        <v>2323</v>
      </c>
      <c r="E17" s="22" t="s">
        <v>2324</v>
      </c>
      <c r="F17" s="22" t="s">
        <v>2325</v>
      </c>
      <c r="G17" s="22" t="s">
        <v>248</v>
      </c>
      <c r="H17" s="22"/>
      <c r="I17" s="166" t="s">
        <v>264</v>
      </c>
      <c r="J17" s="159" t="s">
        <v>265</v>
      </c>
      <c r="K17" s="159" t="s">
        <v>2324</v>
      </c>
    </row>
    <row r="18" customFormat="1" ht="17.25" spans="1:11">
      <c r="A18" s="139">
        <f t="shared" si="0"/>
        <v>8</v>
      </c>
      <c r="B18" s="161" t="s">
        <v>242</v>
      </c>
      <c r="C18" s="139" t="s">
        <v>2326</v>
      </c>
      <c r="D18" s="87" t="s">
        <v>2326</v>
      </c>
      <c r="E18" s="139" t="s">
        <v>2327</v>
      </c>
      <c r="F18" s="157" t="s">
        <v>2328</v>
      </c>
      <c r="G18" s="139" t="s">
        <v>263</v>
      </c>
      <c r="H18" s="157"/>
      <c r="I18" s="166" t="s">
        <v>264</v>
      </c>
      <c r="J18" s="159" t="s">
        <v>265</v>
      </c>
      <c r="K18" s="159" t="s">
        <v>2327</v>
      </c>
    </row>
    <row r="19" ht="17.25" spans="1:11">
      <c r="A19" s="139">
        <f t="shared" si="0"/>
        <v>9</v>
      </c>
      <c r="B19" s="161" t="s">
        <v>242</v>
      </c>
      <c r="C19" s="139" t="s">
        <v>2329</v>
      </c>
      <c r="D19" s="87" t="s">
        <v>2329</v>
      </c>
      <c r="E19" s="139" t="s">
        <v>1372</v>
      </c>
      <c r="F19" s="157"/>
      <c r="G19" s="139" t="s">
        <v>2330</v>
      </c>
      <c r="H19" s="157"/>
      <c r="I19" s="166"/>
      <c r="J19" s="159"/>
      <c r="K19" s="159"/>
    </row>
    <row r="20" ht="17.25" spans="1:11">
      <c r="A20" s="139">
        <f t="shared" si="0"/>
        <v>10</v>
      </c>
      <c r="B20" s="161" t="s">
        <v>242</v>
      </c>
      <c r="C20" s="139" t="s">
        <v>2331</v>
      </c>
      <c r="D20" s="87" t="s">
        <v>2331</v>
      </c>
      <c r="E20" s="139" t="s">
        <v>2332</v>
      </c>
      <c r="F20" s="157"/>
      <c r="G20" s="139" t="s">
        <v>421</v>
      </c>
      <c r="H20" s="157"/>
      <c r="I20" s="166"/>
      <c r="J20" s="159"/>
      <c r="K20" s="159"/>
    </row>
    <row r="21" ht="17.25" spans="1:11">
      <c r="A21" s="139">
        <f t="shared" si="0"/>
        <v>11</v>
      </c>
      <c r="B21" s="161" t="s">
        <v>242</v>
      </c>
      <c r="C21" s="139" t="s">
        <v>2333</v>
      </c>
      <c r="D21" s="87" t="s">
        <v>2333</v>
      </c>
      <c r="E21" s="139" t="s">
        <v>2284</v>
      </c>
      <c r="F21" s="157"/>
      <c r="G21" s="139" t="s">
        <v>421</v>
      </c>
      <c r="H21" s="157"/>
      <c r="I21" s="166"/>
      <c r="J21" s="159"/>
      <c r="K21" s="159"/>
    </row>
    <row r="22" ht="17.25" spans="1:11">
      <c r="A22" s="139">
        <f t="shared" si="0"/>
        <v>12</v>
      </c>
      <c r="B22" s="161" t="s">
        <v>242</v>
      </c>
      <c r="C22" s="139" t="s">
        <v>2334</v>
      </c>
      <c r="D22" s="87" t="s">
        <v>2334</v>
      </c>
      <c r="E22" s="139" t="s">
        <v>2335</v>
      </c>
      <c r="F22" s="157"/>
      <c r="G22" s="139" t="s">
        <v>421</v>
      </c>
      <c r="H22" s="157"/>
      <c r="I22" s="166"/>
      <c r="J22" s="159"/>
      <c r="K22" s="159"/>
    </row>
    <row r="23" ht="17.25" spans="1:11">
      <c r="A23" s="139">
        <f t="shared" si="0"/>
        <v>13</v>
      </c>
      <c r="B23" s="161"/>
      <c r="C23" s="139" t="s">
        <v>2336</v>
      </c>
      <c r="D23" s="87" t="s">
        <v>2336</v>
      </c>
      <c r="E23" s="139" t="s">
        <v>1071</v>
      </c>
      <c r="F23" s="157"/>
      <c r="G23" s="139" t="s">
        <v>248</v>
      </c>
      <c r="H23" s="157"/>
      <c r="I23" s="166" t="s">
        <v>2337</v>
      </c>
      <c r="J23" s="159" t="s">
        <v>243</v>
      </c>
      <c r="K23" s="159"/>
    </row>
    <row r="24" ht="17.25" spans="1:8">
      <c r="A24" s="139">
        <f t="shared" si="0"/>
        <v>14</v>
      </c>
      <c r="B24" s="161"/>
      <c r="C24" s="139" t="s">
        <v>2338</v>
      </c>
      <c r="D24" s="87" t="s">
        <v>2338</v>
      </c>
      <c r="E24" s="139" t="s">
        <v>2339</v>
      </c>
      <c r="F24" s="157" t="s">
        <v>2340</v>
      </c>
      <c r="G24" s="139" t="s">
        <v>2341</v>
      </c>
      <c r="H24" s="157"/>
    </row>
    <row r="25" ht="17.25" spans="1:8">
      <c r="A25" s="139">
        <f t="shared" si="0"/>
        <v>15</v>
      </c>
      <c r="B25" s="161"/>
      <c r="C25" s="139" t="s">
        <v>2342</v>
      </c>
      <c r="D25" s="87" t="s">
        <v>2342</v>
      </c>
      <c r="E25" s="139" t="s">
        <v>2343</v>
      </c>
      <c r="F25" s="157" t="s">
        <v>2344</v>
      </c>
      <c r="G25" s="139" t="s">
        <v>2341</v>
      </c>
      <c r="H25" s="157"/>
    </row>
    <row r="26" ht="17.25" spans="1:8">
      <c r="A26" s="139">
        <f t="shared" si="0"/>
        <v>16</v>
      </c>
      <c r="B26" s="161"/>
      <c r="C26" s="139" t="s">
        <v>2345</v>
      </c>
      <c r="D26" s="87" t="s">
        <v>2345</v>
      </c>
      <c r="E26" s="139" t="s">
        <v>2346</v>
      </c>
      <c r="F26" s="157" t="s">
        <v>2347</v>
      </c>
      <c r="G26" s="139" t="s">
        <v>2341</v>
      </c>
      <c r="H26" s="15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zoomScale="85" zoomScaleNormal="85" workbookViewId="0">
      <selection activeCell="K24" sqref="K24"/>
    </sheetView>
  </sheetViews>
  <sheetFormatPr defaultColWidth="9" defaultRowHeight="13.5"/>
  <cols>
    <col min="1" max="1" width="4.83333333333333" style="127" customWidth="1"/>
    <col min="2" max="2" width="5.83333333333333" style="100" customWidth="1"/>
    <col min="3" max="4" width="20.8333333333333" style="127" customWidth="1"/>
    <col min="5" max="5" width="29.1666666666667" style="127" customWidth="1"/>
    <col min="6" max="6" width="35.2833333333333" style="100" customWidth="1"/>
    <col min="7" max="7" width="20.8333333333333" style="127" customWidth="1"/>
    <col min="8" max="8" width="11.6166666666667" style="100" customWidth="1"/>
    <col min="9" max="9" width="28.3333333333333" style="100" customWidth="1"/>
    <col min="10" max="10" width="9" style="100"/>
    <col min="11" max="11" width="32.8333333333333" style="100" customWidth="1"/>
    <col min="12" max="16384" width="9" style="100"/>
  </cols>
  <sheetData>
    <row r="1" ht="23" customHeight="1" spans="1:8">
      <c r="A1" s="135" t="s">
        <v>223</v>
      </c>
      <c r="B1" s="136" t="s">
        <v>2348</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2349</v>
      </c>
      <c r="F4" s="150"/>
      <c r="G4" s="150"/>
      <c r="H4" s="151"/>
    </row>
    <row r="5" ht="17.25" spans="1:8">
      <c r="A5" s="139">
        <v>2</v>
      </c>
      <c r="B5" s="146" t="s">
        <v>228</v>
      </c>
      <c r="C5" s="147"/>
      <c r="D5" s="148"/>
      <c r="E5" s="149" t="s">
        <v>174</v>
      </c>
      <c r="F5" s="150"/>
      <c r="G5" s="150"/>
      <c r="H5" s="151"/>
    </row>
    <row r="6" ht="17.25" spans="1:8">
      <c r="A6" s="139">
        <v>3</v>
      </c>
      <c r="B6" s="146" t="s">
        <v>229</v>
      </c>
      <c r="C6" s="147"/>
      <c r="D6" s="148"/>
      <c r="E6" s="149"/>
      <c r="F6" s="150"/>
      <c r="G6" s="150"/>
      <c r="H6" s="151"/>
    </row>
    <row r="7" ht="17.25" spans="1:8">
      <c r="A7" s="139">
        <v>4</v>
      </c>
      <c r="B7" s="146" t="s">
        <v>231</v>
      </c>
      <c r="C7" s="147"/>
      <c r="D7" s="148"/>
      <c r="E7" s="149" t="s">
        <v>2310</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17.25" spans="1:8">
      <c r="A11" s="139">
        <f>ROW(A11)-10</f>
        <v>1</v>
      </c>
      <c r="B11" s="161" t="s">
        <v>242</v>
      </c>
      <c r="C11" s="139" t="s">
        <v>243</v>
      </c>
      <c r="D11" s="87" t="s">
        <v>243</v>
      </c>
      <c r="E11" s="139" t="s">
        <v>243</v>
      </c>
      <c r="F11" s="156"/>
      <c r="G11" s="139" t="s">
        <v>306</v>
      </c>
      <c r="H11" s="157"/>
    </row>
    <row r="12" ht="17.25" spans="1:11">
      <c r="A12" s="139">
        <f>ROW(A12)-10</f>
        <v>2</v>
      </c>
      <c r="B12" s="161" t="s">
        <v>242</v>
      </c>
      <c r="C12" s="139" t="s">
        <v>2350</v>
      </c>
      <c r="D12" s="87" t="s">
        <v>2351</v>
      </c>
      <c r="E12" s="139" t="s">
        <v>2352</v>
      </c>
      <c r="F12" s="157"/>
      <c r="G12" s="139" t="s">
        <v>322</v>
      </c>
      <c r="H12" s="146"/>
      <c r="I12" s="159" t="s">
        <v>2308</v>
      </c>
      <c r="J12" s="159" t="s">
        <v>243</v>
      </c>
      <c r="K12" s="130"/>
    </row>
    <row r="13" ht="17.25" spans="1:11">
      <c r="A13" s="139">
        <f>ROW(A13)-10</f>
        <v>3</v>
      </c>
      <c r="B13" s="161" t="s">
        <v>242</v>
      </c>
      <c r="C13" s="139" t="s">
        <v>2311</v>
      </c>
      <c r="D13" s="87" t="s">
        <v>2312</v>
      </c>
      <c r="E13" s="139" t="s">
        <v>332</v>
      </c>
      <c r="F13" s="157"/>
      <c r="G13" s="139" t="s">
        <v>334</v>
      </c>
      <c r="H13" s="146"/>
      <c r="I13" s="159"/>
      <c r="J13" s="159"/>
      <c r="K13" s="130"/>
    </row>
    <row r="14" ht="17.25" spans="1:11">
      <c r="A14" s="139">
        <f>ROW(A14)-10</f>
        <v>4</v>
      </c>
      <c r="B14" s="161" t="s">
        <v>242</v>
      </c>
      <c r="C14" s="139" t="s">
        <v>2313</v>
      </c>
      <c r="D14" s="87" t="s">
        <v>2314</v>
      </c>
      <c r="E14" s="139" t="s">
        <v>337</v>
      </c>
      <c r="F14" s="157"/>
      <c r="G14" s="139" t="s">
        <v>282</v>
      </c>
      <c r="H14" s="146"/>
      <c r="I14" s="159"/>
      <c r="J14" s="159"/>
      <c r="K14" s="130"/>
    </row>
    <row r="15" customFormat="1" ht="17.25" spans="1:11">
      <c r="A15" s="22">
        <f>ROW(A15)-10</f>
        <v>5</v>
      </c>
      <c r="B15" s="162" t="s">
        <v>242</v>
      </c>
      <c r="C15" s="22" t="s">
        <v>2315</v>
      </c>
      <c r="D15" s="87" t="s">
        <v>2316</v>
      </c>
      <c r="E15" s="22" t="s">
        <v>256</v>
      </c>
      <c r="F15" s="22"/>
      <c r="G15" s="22" t="s">
        <v>248</v>
      </c>
      <c r="H15" s="31"/>
      <c r="I15" s="159" t="s">
        <v>258</v>
      </c>
      <c r="J15" s="159" t="s">
        <v>243</v>
      </c>
      <c r="K15" s="164"/>
    </row>
    <row r="16" ht="17.25" spans="1:11">
      <c r="A16" s="139">
        <f t="shared" ref="A16:A19" si="0">ROW(A16)-10</f>
        <v>6</v>
      </c>
      <c r="B16" s="161" t="s">
        <v>242</v>
      </c>
      <c r="C16" s="139" t="s">
        <v>588</v>
      </c>
      <c r="D16" s="87" t="s">
        <v>2317</v>
      </c>
      <c r="E16" s="139" t="s">
        <v>590</v>
      </c>
      <c r="F16" s="157"/>
      <c r="G16" s="139" t="s">
        <v>248</v>
      </c>
      <c r="H16" s="146"/>
      <c r="I16" s="159" t="s">
        <v>592</v>
      </c>
      <c r="J16" s="159" t="s">
        <v>243</v>
      </c>
      <c r="K16" s="130"/>
    </row>
    <row r="17" customFormat="1" ht="17.25" spans="1:11">
      <c r="A17" s="22">
        <f t="shared" si="0"/>
        <v>7</v>
      </c>
      <c r="B17" s="162" t="s">
        <v>242</v>
      </c>
      <c r="C17" s="22" t="s">
        <v>2318</v>
      </c>
      <c r="D17" s="87" t="s">
        <v>2319</v>
      </c>
      <c r="E17" s="22" t="s">
        <v>2320</v>
      </c>
      <c r="F17" s="22" t="s">
        <v>2321</v>
      </c>
      <c r="G17" s="22" t="s">
        <v>248</v>
      </c>
      <c r="H17" s="31"/>
      <c r="I17" s="159" t="s">
        <v>264</v>
      </c>
      <c r="J17" s="159" t="s">
        <v>265</v>
      </c>
      <c r="K17" s="165" t="s">
        <v>2320</v>
      </c>
    </row>
    <row r="18" customFormat="1" ht="34.5" spans="1:11">
      <c r="A18" s="22">
        <f t="shared" si="0"/>
        <v>8</v>
      </c>
      <c r="B18" s="162" t="s">
        <v>242</v>
      </c>
      <c r="C18" s="22" t="s">
        <v>2322</v>
      </c>
      <c r="D18" s="87" t="s">
        <v>2323</v>
      </c>
      <c r="E18" s="22" t="s">
        <v>2324</v>
      </c>
      <c r="F18" s="22" t="s">
        <v>2325</v>
      </c>
      <c r="G18" s="22" t="s">
        <v>248</v>
      </c>
      <c r="H18" s="31"/>
      <c r="I18" s="159" t="s">
        <v>264</v>
      </c>
      <c r="J18" s="159" t="s">
        <v>265</v>
      </c>
      <c r="K18" s="165" t="s">
        <v>2324</v>
      </c>
    </row>
    <row r="19" customFormat="1" ht="17.25" spans="1:11">
      <c r="A19" s="139">
        <f t="shared" si="0"/>
        <v>9</v>
      </c>
      <c r="B19" s="161" t="s">
        <v>242</v>
      </c>
      <c r="C19" s="139" t="s">
        <v>2326</v>
      </c>
      <c r="D19" s="87" t="s">
        <v>2326</v>
      </c>
      <c r="E19" s="139" t="s">
        <v>2327</v>
      </c>
      <c r="F19" s="157" t="s">
        <v>2328</v>
      </c>
      <c r="G19" s="139" t="s">
        <v>263</v>
      </c>
      <c r="H19" s="146"/>
      <c r="I19" s="159" t="s">
        <v>264</v>
      </c>
      <c r="J19" s="159" t="s">
        <v>265</v>
      </c>
      <c r="K19" s="159" t="s">
        <v>2327</v>
      </c>
    </row>
    <row r="20" ht="17.25" spans="1:8">
      <c r="A20" s="139">
        <f t="shared" ref="A20:A24" si="1">ROW(A20)-10</f>
        <v>10</v>
      </c>
      <c r="B20" s="161" t="s">
        <v>242</v>
      </c>
      <c r="C20" s="139" t="s">
        <v>2329</v>
      </c>
      <c r="D20" s="87" t="s">
        <v>2329</v>
      </c>
      <c r="E20" s="139" t="s">
        <v>1372</v>
      </c>
      <c r="F20" s="157"/>
      <c r="G20" s="139" t="s">
        <v>2330</v>
      </c>
      <c r="H20" s="157"/>
    </row>
    <row r="21" ht="17.25" spans="1:8">
      <c r="A21" s="139">
        <f t="shared" si="1"/>
        <v>11</v>
      </c>
      <c r="B21" s="161" t="s">
        <v>242</v>
      </c>
      <c r="C21" s="139" t="s">
        <v>2331</v>
      </c>
      <c r="D21" s="87" t="s">
        <v>2331</v>
      </c>
      <c r="E21" s="139" t="s">
        <v>2332</v>
      </c>
      <c r="F21" s="157"/>
      <c r="G21" s="139" t="s">
        <v>421</v>
      </c>
      <c r="H21" s="157"/>
    </row>
    <row r="22" ht="17.25" spans="1:10">
      <c r="A22" s="139">
        <f t="shared" si="1"/>
        <v>12</v>
      </c>
      <c r="B22" s="161" t="s">
        <v>242</v>
      </c>
      <c r="C22" s="139" t="s">
        <v>246</v>
      </c>
      <c r="D22" s="87" t="s">
        <v>246</v>
      </c>
      <c r="E22" s="139" t="s">
        <v>247</v>
      </c>
      <c r="F22" s="157"/>
      <c r="G22" s="139" t="s">
        <v>248</v>
      </c>
      <c r="H22" s="157"/>
      <c r="I22" s="159" t="s">
        <v>249</v>
      </c>
      <c r="J22" s="159" t="s">
        <v>247</v>
      </c>
    </row>
    <row r="23" customFormat="1" ht="17.25" spans="1:10">
      <c r="A23" s="22">
        <f t="shared" si="1"/>
        <v>13</v>
      </c>
      <c r="B23" s="162" t="s">
        <v>242</v>
      </c>
      <c r="C23" s="22" t="s">
        <v>466</v>
      </c>
      <c r="D23" s="87" t="s">
        <v>466</v>
      </c>
      <c r="E23" s="22" t="s">
        <v>252</v>
      </c>
      <c r="F23" s="163" t="s">
        <v>2353</v>
      </c>
      <c r="G23" s="22" t="s">
        <v>306</v>
      </c>
      <c r="H23" s="163"/>
      <c r="I23" s="159" t="s">
        <v>253</v>
      </c>
      <c r="J23" s="159" t="s">
        <v>243</v>
      </c>
    </row>
    <row r="24" customFormat="1" ht="17.25" spans="1:11">
      <c r="A24" s="22">
        <f t="shared" si="1"/>
        <v>14</v>
      </c>
      <c r="B24" s="162" t="s">
        <v>242</v>
      </c>
      <c r="C24" s="22" t="s">
        <v>2354</v>
      </c>
      <c r="D24" s="87" t="s">
        <v>2354</v>
      </c>
      <c r="E24" s="22" t="s">
        <v>2355</v>
      </c>
      <c r="F24" s="163" t="s">
        <v>2356</v>
      </c>
      <c r="G24" s="22" t="s">
        <v>263</v>
      </c>
      <c r="H24" s="163"/>
      <c r="I24" s="159" t="s">
        <v>264</v>
      </c>
      <c r="J24" s="159" t="s">
        <v>265</v>
      </c>
      <c r="K24" s="22" t="s">
        <v>2355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opLeftCell="A3" workbookViewId="0">
      <selection activeCell="F10" sqref="F$1:F$1048576"/>
    </sheetView>
  </sheetViews>
  <sheetFormatPr defaultColWidth="9" defaultRowHeight="13.5"/>
  <cols>
    <col min="1" max="1" width="4.83333333333333" style="127" customWidth="1"/>
    <col min="2" max="2" width="5.83333333333333" style="100" customWidth="1"/>
    <col min="3" max="4" width="20.8333333333333" style="127" customWidth="1"/>
    <col min="5" max="5" width="32.1666666666667" style="127" customWidth="1"/>
    <col min="6" max="6" width="14.375" style="100" customWidth="1"/>
    <col min="7" max="7" width="20.8333333333333" style="127" customWidth="1"/>
    <col min="8" max="8" width="10.125" style="100" customWidth="1"/>
    <col min="9" max="9" width="29" style="100" customWidth="1"/>
    <col min="10" max="16384" width="9" style="100"/>
  </cols>
  <sheetData>
    <row r="1" ht="23" customHeight="1" spans="1:8">
      <c r="A1" s="135" t="s">
        <v>223</v>
      </c>
      <c r="B1" s="136" t="s">
        <v>2357</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2358</v>
      </c>
      <c r="F4" s="150"/>
      <c r="G4" s="150"/>
      <c r="H4" s="151"/>
    </row>
    <row r="5" ht="17.25" spans="1:8">
      <c r="A5" s="139">
        <v>2</v>
      </c>
      <c r="B5" s="146" t="s">
        <v>228</v>
      </c>
      <c r="C5" s="147"/>
      <c r="D5" s="148"/>
      <c r="E5" s="149" t="s">
        <v>175</v>
      </c>
      <c r="F5" s="150"/>
      <c r="G5" s="150"/>
      <c r="H5" s="151"/>
    </row>
    <row r="6" ht="17.25" spans="1:8">
      <c r="A6" s="139">
        <v>3</v>
      </c>
      <c r="B6" s="146" t="s">
        <v>229</v>
      </c>
      <c r="C6" s="147"/>
      <c r="D6" s="148"/>
      <c r="E6" s="149"/>
      <c r="F6" s="150"/>
      <c r="G6" s="150"/>
      <c r="H6" s="151"/>
    </row>
    <row r="7" ht="17.25" spans="1:8">
      <c r="A7" s="139">
        <v>4</v>
      </c>
      <c r="B7" s="146" t="s">
        <v>231</v>
      </c>
      <c r="C7" s="147"/>
      <c r="D7" s="148"/>
      <c r="E7" s="149" t="s">
        <v>2310</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17.25" spans="1:8">
      <c r="A11" s="139">
        <f t="shared" ref="A11:A21" si="0">ROW(A11)-10</f>
        <v>1</v>
      </c>
      <c r="B11" s="161" t="s">
        <v>242</v>
      </c>
      <c r="C11" s="139" t="s">
        <v>243</v>
      </c>
      <c r="D11" s="87" t="s">
        <v>243</v>
      </c>
      <c r="E11" s="139" t="s">
        <v>243</v>
      </c>
      <c r="F11" s="156"/>
      <c r="G11" s="139" t="s">
        <v>306</v>
      </c>
      <c r="H11" s="157"/>
    </row>
    <row r="12" ht="17.25" spans="1:8">
      <c r="A12" s="139">
        <f t="shared" si="0"/>
        <v>2</v>
      </c>
      <c r="B12" s="161" t="s">
        <v>242</v>
      </c>
      <c r="C12" s="139" t="s">
        <v>2311</v>
      </c>
      <c r="D12" s="87" t="s">
        <v>2312</v>
      </c>
      <c r="E12" s="139" t="s">
        <v>332</v>
      </c>
      <c r="F12" s="157"/>
      <c r="G12" s="139" t="s">
        <v>334</v>
      </c>
      <c r="H12" s="157"/>
    </row>
    <row r="13" ht="17.25" spans="1:8">
      <c r="A13" s="139">
        <f t="shared" si="0"/>
        <v>3</v>
      </c>
      <c r="B13" s="161" t="s">
        <v>242</v>
      </c>
      <c r="C13" s="139" t="s">
        <v>2313</v>
      </c>
      <c r="D13" s="87" t="s">
        <v>2314</v>
      </c>
      <c r="E13" s="139" t="s">
        <v>337</v>
      </c>
      <c r="F13" s="157"/>
      <c r="G13" s="139" t="s">
        <v>282</v>
      </c>
      <c r="H13" s="157"/>
    </row>
    <row r="14" ht="17.25" spans="1:10">
      <c r="A14" s="139">
        <f t="shared" si="0"/>
        <v>4</v>
      </c>
      <c r="B14" s="161" t="s">
        <v>242</v>
      </c>
      <c r="C14" s="139" t="s">
        <v>246</v>
      </c>
      <c r="D14" s="87" t="s">
        <v>246</v>
      </c>
      <c r="E14" s="139" t="s">
        <v>247</v>
      </c>
      <c r="F14" s="157"/>
      <c r="G14" s="139" t="s">
        <v>248</v>
      </c>
      <c r="H14" s="157"/>
      <c r="I14" s="159" t="s">
        <v>249</v>
      </c>
      <c r="J14" s="159" t="s">
        <v>247</v>
      </c>
    </row>
    <row r="15" customFormat="1" ht="17.25" spans="1:10">
      <c r="A15" s="22">
        <f t="shared" si="0"/>
        <v>5</v>
      </c>
      <c r="B15" s="162" t="s">
        <v>242</v>
      </c>
      <c r="C15" s="22" t="s">
        <v>466</v>
      </c>
      <c r="D15" s="87" t="s">
        <v>466</v>
      </c>
      <c r="E15" s="22" t="s">
        <v>252</v>
      </c>
      <c r="F15" s="163" t="s">
        <v>2353</v>
      </c>
      <c r="G15" s="22" t="s">
        <v>306</v>
      </c>
      <c r="H15" s="163"/>
      <c r="I15" s="159" t="s">
        <v>253</v>
      </c>
      <c r="J15" s="159" t="s">
        <v>243</v>
      </c>
    </row>
    <row r="16" customFormat="1" ht="17.25" spans="1:10">
      <c r="A16" s="22">
        <f t="shared" si="0"/>
        <v>6</v>
      </c>
      <c r="B16" s="162" t="s">
        <v>242</v>
      </c>
      <c r="C16" s="22" t="s">
        <v>2359</v>
      </c>
      <c r="D16" s="87" t="s">
        <v>2359</v>
      </c>
      <c r="E16" s="22" t="s">
        <v>1372</v>
      </c>
      <c r="F16" s="163"/>
      <c r="G16" s="22" t="s">
        <v>2330</v>
      </c>
      <c r="H16" s="163"/>
      <c r="I16" s="100"/>
      <c r="J16" s="100"/>
    </row>
    <row r="17" customFormat="1" ht="17.25" spans="1:8">
      <c r="A17" s="22">
        <f t="shared" si="0"/>
        <v>7</v>
      </c>
      <c r="B17" s="162"/>
      <c r="C17" s="22" t="s">
        <v>2360</v>
      </c>
      <c r="D17" s="87" t="s">
        <v>2360</v>
      </c>
      <c r="E17" s="22" t="s">
        <v>2361</v>
      </c>
      <c r="F17" s="163"/>
      <c r="G17" s="22" t="s">
        <v>2330</v>
      </c>
      <c r="H17" s="163"/>
    </row>
    <row r="18" customFormat="1" ht="17.25" spans="1:8">
      <c r="A18" s="22">
        <f t="shared" si="0"/>
        <v>8</v>
      </c>
      <c r="B18" s="162"/>
      <c r="C18" s="22" t="s">
        <v>2362</v>
      </c>
      <c r="D18" s="87" t="s">
        <v>2362</v>
      </c>
      <c r="E18" s="22" t="s">
        <v>2363</v>
      </c>
      <c r="F18" s="163"/>
      <c r="G18" s="22" t="s">
        <v>2330</v>
      </c>
      <c r="H18" s="163"/>
    </row>
    <row r="19" customFormat="1" ht="17.25" spans="1:8">
      <c r="A19" s="22">
        <f t="shared" si="0"/>
        <v>9</v>
      </c>
      <c r="B19" s="162"/>
      <c r="C19" s="22" t="s">
        <v>2364</v>
      </c>
      <c r="D19" s="87" t="s">
        <v>2364</v>
      </c>
      <c r="E19" s="22" t="s">
        <v>2365</v>
      </c>
      <c r="F19" s="163"/>
      <c r="G19" s="22" t="s">
        <v>2330</v>
      </c>
      <c r="H19" s="163"/>
    </row>
    <row r="20" customFormat="1" ht="17.25" spans="1:8">
      <c r="A20" s="22">
        <f t="shared" si="0"/>
        <v>10</v>
      </c>
      <c r="B20" s="162"/>
      <c r="C20" s="22" t="s">
        <v>2366</v>
      </c>
      <c r="D20" s="87" t="s">
        <v>2366</v>
      </c>
      <c r="E20" s="22" t="s">
        <v>2367</v>
      </c>
      <c r="F20" s="163"/>
      <c r="G20" s="22" t="s">
        <v>2330</v>
      </c>
      <c r="H20" s="163"/>
    </row>
    <row r="21" customFormat="1" ht="17.25" spans="1:8">
      <c r="A21" s="22">
        <f t="shared" si="0"/>
        <v>11</v>
      </c>
      <c r="B21" s="162"/>
      <c r="C21" s="22" t="s">
        <v>2368</v>
      </c>
      <c r="D21" s="87" t="s">
        <v>2368</v>
      </c>
      <c r="E21" s="22" t="s">
        <v>2369</v>
      </c>
      <c r="F21" s="163"/>
      <c r="G21" s="22" t="s">
        <v>2330</v>
      </c>
      <c r="H21" s="16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tabSelected="1" zoomScale="115" zoomScaleNormal="115" topLeftCell="A4" workbookViewId="0">
      <selection activeCell="B1" sqref="B1:H2"/>
    </sheetView>
  </sheetViews>
  <sheetFormatPr defaultColWidth="9" defaultRowHeight="13.5"/>
  <cols>
    <col min="1" max="1" width="4.83333333333333" style="127" customWidth="1"/>
    <col min="2" max="2" width="5.83333333333333" style="100" customWidth="1"/>
    <col min="3" max="4" width="20.8333333333333" style="127" customWidth="1"/>
    <col min="5" max="5" width="29.1666666666667" style="127" customWidth="1"/>
    <col min="6" max="6" width="14.6416666666667" style="100" customWidth="1"/>
    <col min="7" max="7" width="20.8333333333333" style="127" customWidth="1"/>
    <col min="8" max="8" width="9.83333333333333" style="100" customWidth="1"/>
    <col min="9" max="9" width="21" style="100" customWidth="1"/>
    <col min="10" max="10" width="9" style="100"/>
    <col min="11" max="11" width="24.3333333333333" style="100" customWidth="1"/>
    <col min="12" max="16384" width="9" style="100"/>
  </cols>
  <sheetData>
    <row r="1" ht="23" customHeight="1" spans="1:8">
      <c r="A1" s="135" t="s">
        <v>223</v>
      </c>
      <c r="B1" s="136" t="s">
        <v>2370</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2371</v>
      </c>
      <c r="F4" s="150"/>
      <c r="G4" s="150"/>
      <c r="H4" s="151"/>
    </row>
    <row r="5" ht="17.25" spans="1:8">
      <c r="A5" s="139">
        <v>2</v>
      </c>
      <c r="B5" s="146" t="s">
        <v>228</v>
      </c>
      <c r="C5" s="147"/>
      <c r="D5" s="148"/>
      <c r="E5" s="149" t="s">
        <v>2372</v>
      </c>
      <c r="F5" s="150"/>
      <c r="G5" s="150"/>
      <c r="H5" s="151"/>
    </row>
    <row r="6" ht="17.25" spans="1:8">
      <c r="A6" s="139">
        <v>3</v>
      </c>
      <c r="B6" s="146" t="s">
        <v>229</v>
      </c>
      <c r="C6" s="147"/>
      <c r="D6" s="148"/>
      <c r="E6" s="149"/>
      <c r="F6" s="150"/>
      <c r="G6" s="150"/>
      <c r="H6" s="151"/>
    </row>
    <row r="7" ht="17.25" spans="1:8">
      <c r="A7" s="139">
        <v>4</v>
      </c>
      <c r="B7" s="146" t="s">
        <v>231</v>
      </c>
      <c r="C7" s="147"/>
      <c r="D7" s="148"/>
      <c r="E7" s="149" t="s">
        <v>2310</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237</v>
      </c>
      <c r="E10" s="152" t="s">
        <v>238</v>
      </c>
      <c r="F10" s="153" t="s">
        <v>239</v>
      </c>
      <c r="G10" s="152" t="s">
        <v>240</v>
      </c>
      <c r="H10" s="153" t="s">
        <v>241</v>
      </c>
    </row>
    <row r="11" ht="17.25" spans="1:8">
      <c r="A11" s="139">
        <f>ROW(A11)-10</f>
        <v>1</v>
      </c>
      <c r="B11" s="156" t="s">
        <v>242</v>
      </c>
      <c r="C11" s="139" t="s">
        <v>243</v>
      </c>
      <c r="D11" s="87" t="s">
        <v>243</v>
      </c>
      <c r="E11" s="139" t="s">
        <v>243</v>
      </c>
      <c r="F11" s="156"/>
      <c r="G11" s="139" t="s">
        <v>306</v>
      </c>
      <c r="H11" s="157"/>
    </row>
    <row r="12" ht="17.25" spans="1:10">
      <c r="A12" s="139">
        <f t="shared" ref="A12:A26" si="0">ROW(A12)-10</f>
        <v>2</v>
      </c>
      <c r="B12" s="156" t="s">
        <v>242</v>
      </c>
      <c r="C12" s="139" t="s">
        <v>246</v>
      </c>
      <c r="D12" s="87" t="s">
        <v>246</v>
      </c>
      <c r="E12" s="139" t="s">
        <v>247</v>
      </c>
      <c r="F12" s="157"/>
      <c r="G12" s="139" t="s">
        <v>248</v>
      </c>
      <c r="H12" s="157"/>
      <c r="I12" s="159" t="s">
        <v>249</v>
      </c>
      <c r="J12" s="159" t="s">
        <v>247</v>
      </c>
    </row>
    <row r="13" ht="17.25" spans="1:8">
      <c r="A13" s="139">
        <f t="shared" si="0"/>
        <v>3</v>
      </c>
      <c r="B13" s="156" t="s">
        <v>242</v>
      </c>
      <c r="C13" s="139" t="s">
        <v>2311</v>
      </c>
      <c r="D13" s="87" t="s">
        <v>2312</v>
      </c>
      <c r="E13" s="139" t="s">
        <v>332</v>
      </c>
      <c r="F13" s="157"/>
      <c r="G13" s="139" t="s">
        <v>334</v>
      </c>
      <c r="H13" s="157"/>
    </row>
    <row r="14" ht="17.25" spans="1:8">
      <c r="A14" s="139">
        <f t="shared" si="0"/>
        <v>4</v>
      </c>
      <c r="B14" s="156" t="s">
        <v>242</v>
      </c>
      <c r="C14" s="139" t="s">
        <v>2313</v>
      </c>
      <c r="D14" s="87" t="s">
        <v>2314</v>
      </c>
      <c r="E14" s="139" t="s">
        <v>337</v>
      </c>
      <c r="F14" s="157"/>
      <c r="G14" s="139" t="s">
        <v>282</v>
      </c>
      <c r="H14" s="157"/>
    </row>
    <row r="15" ht="17.25" spans="1:10">
      <c r="A15" s="139">
        <f t="shared" si="0"/>
        <v>5</v>
      </c>
      <c r="B15" s="156" t="s">
        <v>242</v>
      </c>
      <c r="C15" s="139" t="s">
        <v>2373</v>
      </c>
      <c r="D15" s="87" t="s">
        <v>2374</v>
      </c>
      <c r="E15" s="139" t="s">
        <v>602</v>
      </c>
      <c r="F15" s="157"/>
      <c r="G15" s="139" t="s">
        <v>248</v>
      </c>
      <c r="H15" s="157"/>
      <c r="I15" s="159" t="s">
        <v>604</v>
      </c>
      <c r="J15" s="159" t="s">
        <v>243</v>
      </c>
    </row>
    <row r="16" ht="17.25" spans="1:10">
      <c r="A16" s="139">
        <f t="shared" si="0"/>
        <v>6</v>
      </c>
      <c r="B16" s="156" t="s">
        <v>242</v>
      </c>
      <c r="C16" s="139" t="s">
        <v>2375</v>
      </c>
      <c r="D16" s="87" t="s">
        <v>2375</v>
      </c>
      <c r="E16" s="139" t="s">
        <v>2376</v>
      </c>
      <c r="F16" s="157"/>
      <c r="G16" s="139" t="s">
        <v>421</v>
      </c>
      <c r="H16" s="157"/>
      <c r="I16" s="159"/>
      <c r="J16" s="159"/>
    </row>
    <row r="17" ht="17.25" spans="1:10">
      <c r="A17" s="139">
        <f t="shared" si="0"/>
        <v>7</v>
      </c>
      <c r="B17" s="156" t="s">
        <v>242</v>
      </c>
      <c r="C17" s="139" t="s">
        <v>588</v>
      </c>
      <c r="D17" s="87" t="s">
        <v>2317</v>
      </c>
      <c r="E17" s="139" t="s">
        <v>590</v>
      </c>
      <c r="F17" s="157"/>
      <c r="G17" s="139" t="s">
        <v>248</v>
      </c>
      <c r="H17" s="157"/>
      <c r="I17" s="159" t="s">
        <v>592</v>
      </c>
      <c r="J17" s="159" t="s">
        <v>243</v>
      </c>
    </row>
    <row r="18" ht="17.25" spans="1:10">
      <c r="A18" s="139">
        <f t="shared" si="0"/>
        <v>8</v>
      </c>
      <c r="B18" s="156" t="s">
        <v>242</v>
      </c>
      <c r="C18" s="139" t="s">
        <v>2377</v>
      </c>
      <c r="D18" s="87" t="s">
        <v>2377</v>
      </c>
      <c r="E18" s="139" t="s">
        <v>2378</v>
      </c>
      <c r="F18" s="157"/>
      <c r="G18" s="139" t="s">
        <v>1130</v>
      </c>
      <c r="H18" s="157"/>
      <c r="I18" s="159"/>
      <c r="J18" s="159"/>
    </row>
    <row r="19" ht="17.25" spans="1:10">
      <c r="A19" s="139">
        <f t="shared" si="0"/>
        <v>9</v>
      </c>
      <c r="B19" s="157"/>
      <c r="C19" s="139" t="s">
        <v>2379</v>
      </c>
      <c r="D19" s="87" t="s">
        <v>2379</v>
      </c>
      <c r="E19" s="139" t="s">
        <v>2380</v>
      </c>
      <c r="F19" s="157"/>
      <c r="G19" s="139" t="s">
        <v>282</v>
      </c>
      <c r="H19" s="157"/>
      <c r="I19" s="159"/>
      <c r="J19" s="159"/>
    </row>
    <row r="20" ht="17.25" spans="1:10">
      <c r="A20" s="139">
        <f t="shared" si="0"/>
        <v>10</v>
      </c>
      <c r="B20" s="157"/>
      <c r="C20" s="139" t="s">
        <v>2381</v>
      </c>
      <c r="D20" s="87" t="s">
        <v>2381</v>
      </c>
      <c r="E20" s="139" t="s">
        <v>736</v>
      </c>
      <c r="F20" s="157"/>
      <c r="G20" s="139" t="s">
        <v>1130</v>
      </c>
      <c r="H20" s="157"/>
      <c r="I20" s="159"/>
      <c r="J20" s="159"/>
    </row>
    <row r="21" ht="17.25" spans="1:10">
      <c r="A21" s="139">
        <f t="shared" si="0"/>
        <v>11</v>
      </c>
      <c r="B21" s="156" t="s">
        <v>242</v>
      </c>
      <c r="C21" s="139" t="s">
        <v>2382</v>
      </c>
      <c r="D21" s="87" t="s">
        <v>2382</v>
      </c>
      <c r="E21" s="139" t="s">
        <v>1372</v>
      </c>
      <c r="F21" s="157"/>
      <c r="G21" s="139" t="s">
        <v>2330</v>
      </c>
      <c r="H21" s="157"/>
      <c r="I21" s="159"/>
      <c r="J21" s="159"/>
    </row>
    <row r="22" ht="17.25" spans="1:10">
      <c r="A22" s="139">
        <f t="shared" si="0"/>
        <v>12</v>
      </c>
      <c r="B22" s="156" t="s">
        <v>242</v>
      </c>
      <c r="C22" s="139" t="s">
        <v>2383</v>
      </c>
      <c r="D22" s="87" t="s">
        <v>2383</v>
      </c>
      <c r="E22" s="139" t="s">
        <v>2384</v>
      </c>
      <c r="F22" s="157"/>
      <c r="G22" s="139" t="s">
        <v>359</v>
      </c>
      <c r="H22" s="157"/>
      <c r="I22" s="159"/>
      <c r="J22" s="159"/>
    </row>
    <row r="23" ht="17.25" spans="1:10">
      <c r="A23" s="139">
        <f t="shared" si="0"/>
        <v>13</v>
      </c>
      <c r="B23" s="156" t="s">
        <v>242</v>
      </c>
      <c r="C23" s="139" t="s">
        <v>2385</v>
      </c>
      <c r="D23" s="87" t="s">
        <v>2385</v>
      </c>
      <c r="E23" s="139" t="s">
        <v>2386</v>
      </c>
      <c r="F23" s="157"/>
      <c r="G23" s="139" t="s">
        <v>359</v>
      </c>
      <c r="H23" s="157"/>
      <c r="I23" s="159"/>
      <c r="J23" s="159"/>
    </row>
    <row r="24" ht="17.25" spans="1:11">
      <c r="A24" s="139">
        <f t="shared" si="0"/>
        <v>14</v>
      </c>
      <c r="B24" s="156" t="s">
        <v>242</v>
      </c>
      <c r="C24" s="139" t="s">
        <v>2387</v>
      </c>
      <c r="D24" s="87" t="s">
        <v>2387</v>
      </c>
      <c r="E24" s="158" t="s">
        <v>2388</v>
      </c>
      <c r="F24" s="157"/>
      <c r="G24" s="139" t="s">
        <v>263</v>
      </c>
      <c r="H24" s="157"/>
      <c r="I24" s="159" t="s">
        <v>264</v>
      </c>
      <c r="J24" s="159" t="s">
        <v>265</v>
      </c>
      <c r="K24" s="160" t="s">
        <v>2388</v>
      </c>
    </row>
    <row r="25" ht="17.25" spans="1:11">
      <c r="A25" s="139">
        <f t="shared" si="0"/>
        <v>15</v>
      </c>
      <c r="B25" s="156" t="s">
        <v>242</v>
      </c>
      <c r="C25" s="139" t="s">
        <v>2319</v>
      </c>
      <c r="D25" s="87" t="s">
        <v>2319</v>
      </c>
      <c r="E25" s="158" t="s">
        <v>2320</v>
      </c>
      <c r="F25" s="157"/>
      <c r="G25" s="139" t="s">
        <v>263</v>
      </c>
      <c r="H25" s="157"/>
      <c r="I25" s="159" t="s">
        <v>264</v>
      </c>
      <c r="J25" s="159" t="s">
        <v>265</v>
      </c>
      <c r="K25" s="160" t="s">
        <v>2320</v>
      </c>
    </row>
    <row r="26" ht="17.25" spans="1:11">
      <c r="A26" s="139">
        <f t="shared" si="0"/>
        <v>16</v>
      </c>
      <c r="B26" s="156" t="s">
        <v>242</v>
      </c>
      <c r="C26" s="139" t="s">
        <v>2323</v>
      </c>
      <c r="D26" s="87" t="s">
        <v>2323</v>
      </c>
      <c r="E26" s="158" t="s">
        <v>2324</v>
      </c>
      <c r="F26" s="157"/>
      <c r="G26" s="139" t="s">
        <v>263</v>
      </c>
      <c r="H26" s="157"/>
      <c r="I26" s="159" t="s">
        <v>264</v>
      </c>
      <c r="J26" s="159" t="s">
        <v>265</v>
      </c>
      <c r="K26" s="160" t="s">
        <v>2324</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workbookViewId="0">
      <selection activeCell="C25" sqref="C25:K25"/>
    </sheetView>
  </sheetViews>
  <sheetFormatPr defaultColWidth="9" defaultRowHeight="13.5"/>
  <cols>
    <col min="1" max="1" width="4.83333333333333" style="127" customWidth="1"/>
    <col min="2" max="2" width="5.83333333333333" style="100" customWidth="1"/>
    <col min="3" max="4" width="20.8333333333333" style="127" customWidth="1"/>
    <col min="5" max="5" width="35.8333333333333" style="127" customWidth="1"/>
    <col min="6" max="6" width="35" style="100" customWidth="1"/>
    <col min="7" max="7" width="20.8333333333333" style="127" customWidth="1"/>
    <col min="8" max="8" width="15.25" style="100" customWidth="1"/>
    <col min="9" max="9" width="25.8333333333333" style="100" customWidth="1"/>
    <col min="10" max="10" width="11.1666666666667" style="100" customWidth="1"/>
    <col min="11" max="11" width="24.3333333333333" style="100" customWidth="1"/>
    <col min="12" max="16384" width="9" style="100"/>
  </cols>
  <sheetData>
    <row r="1" ht="23" customHeight="1" spans="1:8">
      <c r="A1" s="135" t="s">
        <v>223</v>
      </c>
      <c r="B1" s="136" t="s">
        <v>2389</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2390</v>
      </c>
      <c r="F4" s="150"/>
      <c r="G4" s="150"/>
      <c r="H4" s="151"/>
    </row>
    <row r="5" ht="17.25" spans="1:8">
      <c r="A5" s="139">
        <v>2</v>
      </c>
      <c r="B5" s="146" t="s">
        <v>228</v>
      </c>
      <c r="C5" s="147"/>
      <c r="D5" s="148"/>
      <c r="E5" s="149" t="s">
        <v>2391</v>
      </c>
      <c r="F5" s="150"/>
      <c r="G5" s="150"/>
      <c r="H5" s="151"/>
    </row>
    <row r="6" ht="17.25" spans="1:8">
      <c r="A6" s="139">
        <v>3</v>
      </c>
      <c r="B6" s="146" t="s">
        <v>229</v>
      </c>
      <c r="C6" s="147"/>
      <c r="D6" s="148"/>
      <c r="E6" s="149"/>
      <c r="F6" s="150"/>
      <c r="G6" s="150"/>
      <c r="H6" s="151"/>
    </row>
    <row r="7" ht="17.25" spans="1:8">
      <c r="A7" s="139">
        <v>4</v>
      </c>
      <c r="B7" s="146" t="s">
        <v>231</v>
      </c>
      <c r="C7" s="147"/>
      <c r="D7" s="148"/>
      <c r="E7" s="149" t="s">
        <v>2392</v>
      </c>
      <c r="F7" s="150"/>
      <c r="G7" s="150"/>
      <c r="H7" s="151"/>
    </row>
    <row r="8" ht="17.25" spans="1:8">
      <c r="A8" s="139">
        <v>5</v>
      </c>
      <c r="B8" s="146" t="s">
        <v>627</v>
      </c>
      <c r="C8" s="147"/>
      <c r="D8" s="148"/>
      <c r="E8" s="149"/>
      <c r="F8" s="150"/>
      <c r="G8" s="150"/>
      <c r="H8" s="151"/>
    </row>
    <row r="9" ht="17.25" spans="1:8">
      <c r="A9" s="143" t="s">
        <v>234</v>
      </c>
      <c r="B9" s="144"/>
      <c r="C9" s="144"/>
      <c r="D9" s="144"/>
      <c r="E9" s="144"/>
      <c r="F9" s="144"/>
      <c r="G9" s="144"/>
      <c r="H9" s="145"/>
    </row>
    <row r="10" ht="17.25" spans="1:8">
      <c r="A10" s="152"/>
      <c r="B10" s="153" t="s">
        <v>235</v>
      </c>
      <c r="C10" s="152" t="s">
        <v>236</v>
      </c>
      <c r="D10" s="87" t="s">
        <v>236</v>
      </c>
      <c r="E10" s="152" t="s">
        <v>238</v>
      </c>
      <c r="F10" s="153" t="s">
        <v>239</v>
      </c>
      <c r="G10" s="152" t="s">
        <v>240</v>
      </c>
      <c r="H10" s="153" t="s">
        <v>241</v>
      </c>
    </row>
    <row r="11" ht="17.25" spans="1:8">
      <c r="A11" s="139">
        <v>1</v>
      </c>
      <c r="B11" s="156" t="s">
        <v>242</v>
      </c>
      <c r="C11" s="139" t="s">
        <v>243</v>
      </c>
      <c r="D11" s="87" t="s">
        <v>243</v>
      </c>
      <c r="E11" s="139" t="s">
        <v>243</v>
      </c>
      <c r="F11" s="157"/>
      <c r="G11" s="139" t="s">
        <v>306</v>
      </c>
      <c r="H11" s="157"/>
    </row>
    <row r="12" ht="17.25" spans="1:10">
      <c r="A12" s="139">
        <v>2</v>
      </c>
      <c r="B12" s="156" t="s">
        <v>242</v>
      </c>
      <c r="C12" s="139" t="s">
        <v>246</v>
      </c>
      <c r="D12" s="87" t="s">
        <v>246</v>
      </c>
      <c r="E12" s="139" t="s">
        <v>247</v>
      </c>
      <c r="F12" s="157"/>
      <c r="G12" s="139" t="s">
        <v>248</v>
      </c>
      <c r="H12" s="157"/>
      <c r="I12" s="159" t="s">
        <v>249</v>
      </c>
      <c r="J12" s="159" t="s">
        <v>247</v>
      </c>
    </row>
    <row r="13" ht="17.25" spans="1:8">
      <c r="A13" s="139">
        <v>3</v>
      </c>
      <c r="B13" s="156" t="s">
        <v>242</v>
      </c>
      <c r="C13" s="139" t="s">
        <v>2311</v>
      </c>
      <c r="D13" s="87" t="s">
        <v>2312</v>
      </c>
      <c r="E13" s="139" t="s">
        <v>332</v>
      </c>
      <c r="F13" s="157"/>
      <c r="G13" s="139" t="s">
        <v>248</v>
      </c>
      <c r="H13" s="157"/>
    </row>
    <row r="14" ht="17.25" spans="1:8">
      <c r="A14" s="139">
        <v>4</v>
      </c>
      <c r="B14" s="156" t="s">
        <v>242</v>
      </c>
      <c r="C14" s="139" t="s">
        <v>2313</v>
      </c>
      <c r="D14" s="87" t="s">
        <v>2314</v>
      </c>
      <c r="E14" s="139" t="s">
        <v>337</v>
      </c>
      <c r="F14" s="157"/>
      <c r="G14" s="139" t="s">
        <v>248</v>
      </c>
      <c r="H14" s="157"/>
    </row>
    <row r="15" ht="17.25" spans="1:10">
      <c r="A15" s="139">
        <v>5</v>
      </c>
      <c r="B15" s="156" t="s">
        <v>242</v>
      </c>
      <c r="C15" s="139" t="s">
        <v>2373</v>
      </c>
      <c r="D15" s="87" t="s">
        <v>2374</v>
      </c>
      <c r="E15" s="139" t="s">
        <v>602</v>
      </c>
      <c r="F15" s="157"/>
      <c r="G15" s="139" t="s">
        <v>248</v>
      </c>
      <c r="H15" s="157"/>
      <c r="I15" s="159" t="s">
        <v>604</v>
      </c>
      <c r="J15" s="159" t="s">
        <v>243</v>
      </c>
    </row>
    <row r="16" ht="17.25" spans="1:10">
      <c r="A16" s="139">
        <v>6</v>
      </c>
      <c r="B16" s="156" t="s">
        <v>242</v>
      </c>
      <c r="C16" s="139" t="s">
        <v>2375</v>
      </c>
      <c r="D16" s="87" t="s">
        <v>2375</v>
      </c>
      <c r="E16" s="139" t="s">
        <v>2376</v>
      </c>
      <c r="F16" s="157" t="s">
        <v>2393</v>
      </c>
      <c r="G16" s="139" t="s">
        <v>421</v>
      </c>
      <c r="H16" s="157"/>
      <c r="I16" s="159"/>
      <c r="J16" s="159"/>
    </row>
    <row r="17" ht="17.25" spans="1:10">
      <c r="A17" s="139">
        <v>7</v>
      </c>
      <c r="B17" s="156" t="s">
        <v>242</v>
      </c>
      <c r="C17" s="139" t="s">
        <v>588</v>
      </c>
      <c r="D17" s="87" t="s">
        <v>2317</v>
      </c>
      <c r="E17" s="139" t="s">
        <v>590</v>
      </c>
      <c r="F17" s="157"/>
      <c r="G17" s="139" t="s">
        <v>248</v>
      </c>
      <c r="H17" s="157"/>
      <c r="I17" s="159" t="s">
        <v>592</v>
      </c>
      <c r="J17" s="159" t="s">
        <v>243</v>
      </c>
    </row>
    <row r="18" ht="17.25" spans="1:8">
      <c r="A18" s="139">
        <v>8</v>
      </c>
      <c r="B18" s="156" t="s">
        <v>242</v>
      </c>
      <c r="C18" s="139" t="s">
        <v>2377</v>
      </c>
      <c r="D18" s="87" t="s">
        <v>2377</v>
      </c>
      <c r="E18" s="139" t="s">
        <v>2378</v>
      </c>
      <c r="F18" s="157"/>
      <c r="G18" s="139" t="s">
        <v>1130</v>
      </c>
      <c r="H18" s="157"/>
    </row>
    <row r="19" ht="17.25" spans="1:8">
      <c r="A19" s="139">
        <v>9</v>
      </c>
      <c r="B19" s="157"/>
      <c r="C19" s="139" t="s">
        <v>2379</v>
      </c>
      <c r="D19" s="87" t="s">
        <v>2379</v>
      </c>
      <c r="E19" s="139" t="s">
        <v>2380</v>
      </c>
      <c r="F19" s="157"/>
      <c r="G19" s="139" t="s">
        <v>248</v>
      </c>
      <c r="H19" s="157"/>
    </row>
    <row r="20" ht="17.25" spans="1:8">
      <c r="A20" s="139">
        <v>10</v>
      </c>
      <c r="B20" s="156" t="s">
        <v>242</v>
      </c>
      <c r="C20" s="139" t="s">
        <v>2383</v>
      </c>
      <c r="D20" s="87" t="s">
        <v>2383</v>
      </c>
      <c r="E20" s="139" t="s">
        <v>2384</v>
      </c>
      <c r="F20" s="157"/>
      <c r="G20" s="139" t="s">
        <v>359</v>
      </c>
      <c r="H20" s="157"/>
    </row>
    <row r="21" ht="17.25" spans="1:8">
      <c r="A21" s="139">
        <v>11</v>
      </c>
      <c r="B21" s="156" t="s">
        <v>242</v>
      </c>
      <c r="C21" s="139" t="s">
        <v>2385</v>
      </c>
      <c r="D21" s="87" t="s">
        <v>2385</v>
      </c>
      <c r="E21" s="139" t="s">
        <v>2386</v>
      </c>
      <c r="F21" s="157"/>
      <c r="G21" s="139" t="s">
        <v>359</v>
      </c>
      <c r="H21" s="157"/>
    </row>
    <row r="22" ht="17.25" spans="1:8">
      <c r="A22" s="139">
        <v>12</v>
      </c>
      <c r="B22" s="156" t="s">
        <v>242</v>
      </c>
      <c r="C22" s="139" t="s">
        <v>2394</v>
      </c>
      <c r="D22" s="87" t="s">
        <v>2394</v>
      </c>
      <c r="E22" s="139" t="s">
        <v>2395</v>
      </c>
      <c r="F22" s="157"/>
      <c r="G22" s="139" t="s">
        <v>248</v>
      </c>
      <c r="H22" s="157"/>
    </row>
    <row r="23" ht="17.25" spans="1:8">
      <c r="A23" s="139">
        <v>13</v>
      </c>
      <c r="B23" s="156" t="s">
        <v>242</v>
      </c>
      <c r="C23" s="139" t="s">
        <v>2396</v>
      </c>
      <c r="D23" s="87" t="s">
        <v>2396</v>
      </c>
      <c r="E23" s="139" t="s">
        <v>2397</v>
      </c>
      <c r="F23" s="157"/>
      <c r="G23" s="139" t="s">
        <v>248</v>
      </c>
      <c r="H23" s="157"/>
    </row>
    <row r="24" ht="17.25" spans="1:8">
      <c r="A24" s="139">
        <v>14</v>
      </c>
      <c r="B24" s="156" t="s">
        <v>242</v>
      </c>
      <c r="C24" s="139" t="s">
        <v>2398</v>
      </c>
      <c r="D24" s="87" t="s">
        <v>2398</v>
      </c>
      <c r="E24" s="139" t="s">
        <v>299</v>
      </c>
      <c r="F24" s="157" t="s">
        <v>1989</v>
      </c>
      <c r="G24" s="139" t="s">
        <v>248</v>
      </c>
      <c r="H24" s="157"/>
    </row>
    <row r="25" ht="17.25" spans="1:11">
      <c r="A25" s="139">
        <v>15</v>
      </c>
      <c r="B25" s="156"/>
      <c r="C25" s="139" t="s">
        <v>2399</v>
      </c>
      <c r="D25" s="87" t="s">
        <v>2135</v>
      </c>
      <c r="E25" s="139" t="s">
        <v>2400</v>
      </c>
      <c r="F25" s="157" t="s">
        <v>2401</v>
      </c>
      <c r="G25" s="139" t="s">
        <v>248</v>
      </c>
      <c r="H25" s="157" t="s">
        <v>2402</v>
      </c>
      <c r="I25" s="159" t="s">
        <v>264</v>
      </c>
      <c r="J25" s="159" t="s">
        <v>265</v>
      </c>
      <c r="K25" s="159" t="s">
        <v>2400</v>
      </c>
    </row>
    <row r="26" ht="17.25" spans="1:11">
      <c r="A26" s="139">
        <f t="shared" ref="A26:A28" si="0">ROW(A26)-10</f>
        <v>16</v>
      </c>
      <c r="B26" s="156" t="s">
        <v>242</v>
      </c>
      <c r="C26" s="139" t="s">
        <v>2387</v>
      </c>
      <c r="D26" s="87" t="s">
        <v>2387</v>
      </c>
      <c r="E26" s="158" t="s">
        <v>2388</v>
      </c>
      <c r="F26" s="157"/>
      <c r="G26" s="139" t="s">
        <v>263</v>
      </c>
      <c r="H26" s="157"/>
      <c r="I26" s="159" t="s">
        <v>264</v>
      </c>
      <c r="J26" s="159" t="s">
        <v>265</v>
      </c>
      <c r="K26" s="160" t="s">
        <v>2388</v>
      </c>
    </row>
    <row r="27" ht="17.25" spans="1:11">
      <c r="A27" s="139">
        <f t="shared" si="0"/>
        <v>17</v>
      </c>
      <c r="B27" s="156" t="s">
        <v>242</v>
      </c>
      <c r="C27" s="139" t="s">
        <v>2319</v>
      </c>
      <c r="D27" s="87" t="s">
        <v>2319</v>
      </c>
      <c r="E27" s="158" t="s">
        <v>2320</v>
      </c>
      <c r="F27" s="157"/>
      <c r="G27" s="139" t="s">
        <v>263</v>
      </c>
      <c r="H27" s="157"/>
      <c r="I27" s="159" t="s">
        <v>264</v>
      </c>
      <c r="J27" s="159" t="s">
        <v>265</v>
      </c>
      <c r="K27" s="160" t="s">
        <v>2320</v>
      </c>
    </row>
    <row r="28" ht="17.25" spans="1:11">
      <c r="A28" s="139">
        <f t="shared" si="0"/>
        <v>18</v>
      </c>
      <c r="B28" s="156" t="s">
        <v>242</v>
      </c>
      <c r="C28" s="139" t="s">
        <v>2323</v>
      </c>
      <c r="D28" s="87" t="s">
        <v>2323</v>
      </c>
      <c r="E28" s="158" t="s">
        <v>2324</v>
      </c>
      <c r="F28" s="157"/>
      <c r="G28" s="139" t="s">
        <v>263</v>
      </c>
      <c r="H28" s="157"/>
      <c r="I28" s="159" t="s">
        <v>264</v>
      </c>
      <c r="J28" s="159" t="s">
        <v>265</v>
      </c>
      <c r="K28" s="160" t="s">
        <v>2324</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topLeftCell="C4" workbookViewId="0">
      <selection activeCell="G24" sqref="G24"/>
    </sheetView>
  </sheetViews>
  <sheetFormatPr defaultColWidth="9" defaultRowHeight="13.5"/>
  <cols>
    <col min="1" max="1" width="9.33333333333333" style="100" customWidth="1"/>
    <col min="2" max="2" width="9" style="100"/>
    <col min="3" max="4" width="18.5" style="100" customWidth="1"/>
    <col min="5" max="5" width="15" style="100" customWidth="1"/>
    <col min="6" max="6" width="46.3333333333333" style="100" customWidth="1"/>
    <col min="7" max="7" width="20.1666666666667" style="100" customWidth="1"/>
    <col min="8" max="8" width="25.3333333333333" style="100" customWidth="1"/>
    <col min="9" max="9" width="24.1666666666667" style="100" customWidth="1"/>
    <col min="10" max="10" width="18" style="100" customWidth="1"/>
    <col min="11" max="11" width="14.6666666666667" style="100" customWidth="1"/>
    <col min="12" max="16384" width="9" style="100"/>
  </cols>
  <sheetData>
    <row r="1" ht="14.25" spans="1:8">
      <c r="A1" s="101" t="s">
        <v>223</v>
      </c>
      <c r="B1" s="102" t="s">
        <v>181</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2403</v>
      </c>
      <c r="F4" s="112"/>
      <c r="G4" s="112"/>
      <c r="H4" s="112"/>
    </row>
    <row r="5" ht="17.25" spans="1:8">
      <c r="A5" s="102">
        <v>2</v>
      </c>
      <c r="B5" s="102" t="s">
        <v>228</v>
      </c>
      <c r="C5" s="102"/>
      <c r="D5" s="102"/>
      <c r="E5" s="112" t="s">
        <v>2404</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f>ROW(A11)-10</f>
        <v>1</v>
      </c>
      <c r="B11" s="109" t="s">
        <v>242</v>
      </c>
      <c r="C11" s="110" t="s">
        <v>243</v>
      </c>
      <c r="D11" s="123" t="s">
        <v>243</v>
      </c>
      <c r="E11" s="110" t="s">
        <v>243</v>
      </c>
      <c r="F11" s="111"/>
      <c r="G11" s="128" t="s">
        <v>571</v>
      </c>
      <c r="H11" s="111"/>
    </row>
    <row r="12" ht="34.5" spans="1:8">
      <c r="A12" s="102">
        <f t="shared" ref="A12:A26" si="0">ROW(A12)-10</f>
        <v>2</v>
      </c>
      <c r="B12" s="109" t="s">
        <v>242</v>
      </c>
      <c r="C12" s="111" t="s">
        <v>2405</v>
      </c>
      <c r="D12" s="126" t="s">
        <v>2406</v>
      </c>
      <c r="E12" s="110" t="s">
        <v>2407</v>
      </c>
      <c r="F12" s="111" t="s">
        <v>2408</v>
      </c>
      <c r="G12" s="128" t="s">
        <v>571</v>
      </c>
      <c r="H12" s="113" t="s">
        <v>2409</v>
      </c>
    </row>
    <row r="13" ht="17.25" spans="1:10">
      <c r="A13" s="102">
        <f t="shared" si="0"/>
        <v>3</v>
      </c>
      <c r="B13" s="109" t="s">
        <v>242</v>
      </c>
      <c r="C13" s="111" t="s">
        <v>2410</v>
      </c>
      <c r="D13" s="126" t="s">
        <v>2411</v>
      </c>
      <c r="E13" s="110" t="s">
        <v>2412</v>
      </c>
      <c r="F13" s="111"/>
      <c r="G13" s="128" t="s">
        <v>571</v>
      </c>
      <c r="H13" s="155"/>
      <c r="I13" s="130" t="s">
        <v>2413</v>
      </c>
      <c r="J13" s="131" t="s">
        <v>2412</v>
      </c>
    </row>
    <row r="14" ht="17.25" spans="1:10">
      <c r="A14" s="102">
        <f t="shared" si="0"/>
        <v>4</v>
      </c>
      <c r="B14" s="109" t="s">
        <v>242</v>
      </c>
      <c r="C14" s="111" t="s">
        <v>1262</v>
      </c>
      <c r="D14" s="126" t="s">
        <v>1262</v>
      </c>
      <c r="E14" s="110" t="s">
        <v>353</v>
      </c>
      <c r="F14" s="111"/>
      <c r="G14" s="128" t="s">
        <v>248</v>
      </c>
      <c r="H14" s="155"/>
      <c r="I14" s="130" t="s">
        <v>2413</v>
      </c>
      <c r="J14" s="131" t="s">
        <v>353</v>
      </c>
    </row>
    <row r="15" ht="17.25" spans="1:8">
      <c r="A15" s="102">
        <f t="shared" si="0"/>
        <v>5</v>
      </c>
      <c r="B15" s="109" t="s">
        <v>242</v>
      </c>
      <c r="C15" s="111" t="s">
        <v>2414</v>
      </c>
      <c r="D15" s="126" t="s">
        <v>2414</v>
      </c>
      <c r="E15" s="111" t="s">
        <v>286</v>
      </c>
      <c r="F15" s="111" t="s">
        <v>2415</v>
      </c>
      <c r="G15" s="111" t="s">
        <v>2416</v>
      </c>
      <c r="H15" s="111"/>
    </row>
    <row r="16" ht="17.25" spans="1:8">
      <c r="A16" s="102">
        <f t="shared" si="0"/>
        <v>6</v>
      </c>
      <c r="B16" s="109" t="s">
        <v>242</v>
      </c>
      <c r="C16" s="111" t="s">
        <v>287</v>
      </c>
      <c r="D16" s="126" t="s">
        <v>287</v>
      </c>
      <c r="E16" s="111" t="s">
        <v>288</v>
      </c>
      <c r="F16" s="111" t="s">
        <v>2417</v>
      </c>
      <c r="G16" s="111" t="s">
        <v>2416</v>
      </c>
      <c r="H16" s="111"/>
    </row>
    <row r="17" ht="34.5" spans="1:8">
      <c r="A17" s="102">
        <f t="shared" si="0"/>
        <v>7</v>
      </c>
      <c r="B17" s="109"/>
      <c r="C17" s="111" t="s">
        <v>2418</v>
      </c>
      <c r="D17" s="126" t="s">
        <v>2418</v>
      </c>
      <c r="E17" s="111" t="s">
        <v>2419</v>
      </c>
      <c r="F17" s="121" t="s">
        <v>2420</v>
      </c>
      <c r="G17" s="111" t="s">
        <v>564</v>
      </c>
      <c r="H17" s="113" t="s">
        <v>2421</v>
      </c>
    </row>
    <row r="18" ht="17.25" spans="1:8">
      <c r="A18" s="102">
        <f t="shared" si="0"/>
        <v>8</v>
      </c>
      <c r="B18" s="109"/>
      <c r="C18" s="111" t="s">
        <v>2422</v>
      </c>
      <c r="D18" s="126" t="s">
        <v>2422</v>
      </c>
      <c r="E18" s="111" t="s">
        <v>2423</v>
      </c>
      <c r="F18" s="111"/>
      <c r="G18" s="111" t="s">
        <v>1552</v>
      </c>
      <c r="H18" s="111"/>
    </row>
    <row r="19" ht="17.25" spans="1:8">
      <c r="A19" s="102">
        <f t="shared" si="0"/>
        <v>9</v>
      </c>
      <c r="B19" s="109"/>
      <c r="C19" s="111" t="s">
        <v>2424</v>
      </c>
      <c r="D19" s="126" t="s">
        <v>2424</v>
      </c>
      <c r="E19" s="111" t="s">
        <v>2425</v>
      </c>
      <c r="F19" s="111"/>
      <c r="G19" s="111" t="s">
        <v>2416</v>
      </c>
      <c r="H19" s="111"/>
    </row>
    <row r="20" ht="17.25" spans="1:8">
      <c r="A20" s="102">
        <f t="shared" si="0"/>
        <v>10</v>
      </c>
      <c r="B20" s="109"/>
      <c r="C20" s="111" t="s">
        <v>2426</v>
      </c>
      <c r="D20" s="126" t="s">
        <v>2426</v>
      </c>
      <c r="E20" s="111" t="s">
        <v>2427</v>
      </c>
      <c r="F20" s="111"/>
      <c r="G20" s="111" t="s">
        <v>2428</v>
      </c>
      <c r="H20" s="113" t="s">
        <v>2429</v>
      </c>
    </row>
    <row r="21" ht="17.25" spans="1:8">
      <c r="A21" s="102">
        <f t="shared" si="0"/>
        <v>11</v>
      </c>
      <c r="B21" s="109"/>
      <c r="C21" s="111" t="s">
        <v>2430</v>
      </c>
      <c r="D21" s="126" t="s">
        <v>2430</v>
      </c>
      <c r="E21" s="111" t="s">
        <v>2431</v>
      </c>
      <c r="F21" s="111"/>
      <c r="G21" s="111" t="s">
        <v>2428</v>
      </c>
      <c r="H21" s="113" t="s">
        <v>2429</v>
      </c>
    </row>
    <row r="22" ht="17.25" spans="1:8">
      <c r="A22" s="102">
        <f t="shared" si="0"/>
        <v>12</v>
      </c>
      <c r="B22" s="109"/>
      <c r="C22" s="111" t="s">
        <v>2432</v>
      </c>
      <c r="D22" s="126" t="s">
        <v>2432</v>
      </c>
      <c r="E22" s="111" t="s">
        <v>2433</v>
      </c>
      <c r="F22" s="111"/>
      <c r="G22" s="111" t="s">
        <v>1552</v>
      </c>
      <c r="H22" s="111"/>
    </row>
    <row r="23" ht="17.25" spans="1:8">
      <c r="A23" s="102">
        <f t="shared" si="0"/>
        <v>13</v>
      </c>
      <c r="B23" s="109"/>
      <c r="C23" s="111" t="s">
        <v>2434</v>
      </c>
      <c r="D23" s="126" t="s">
        <v>2434</v>
      </c>
      <c r="E23" s="111" t="s">
        <v>2435</v>
      </c>
      <c r="F23" s="111" t="s">
        <v>2436</v>
      </c>
      <c r="G23" s="111" t="s">
        <v>282</v>
      </c>
      <c r="H23" s="111"/>
    </row>
    <row r="24" s="23" customFormat="1" ht="27" spans="1:8">
      <c r="A24" s="102">
        <f t="shared" si="0"/>
        <v>14</v>
      </c>
      <c r="B24" s="109"/>
      <c r="C24" s="111" t="s">
        <v>2437</v>
      </c>
      <c r="D24" s="126" t="s">
        <v>2437</v>
      </c>
      <c r="E24" s="111" t="s">
        <v>2438</v>
      </c>
      <c r="F24" s="121" t="s">
        <v>2439</v>
      </c>
      <c r="G24" s="111" t="s">
        <v>564</v>
      </c>
      <c r="H24" s="111"/>
    </row>
    <row r="25" customFormat="1" ht="17.25" spans="1:8">
      <c r="A25" s="25">
        <f t="shared" si="0"/>
        <v>15</v>
      </c>
      <c r="B25" s="111"/>
      <c r="C25" s="111" t="s">
        <v>2440</v>
      </c>
      <c r="D25" s="126" t="s">
        <v>2342</v>
      </c>
      <c r="E25" s="111" t="s">
        <v>2441</v>
      </c>
      <c r="F25" s="111" t="s">
        <v>2442</v>
      </c>
      <c r="G25" s="111" t="s">
        <v>282</v>
      </c>
      <c r="H25" s="111"/>
    </row>
    <row r="26" customFormat="1" ht="17.25" spans="1:8">
      <c r="A26" s="25">
        <f t="shared" si="0"/>
        <v>16</v>
      </c>
      <c r="B26" s="111"/>
      <c r="C26" s="111" t="s">
        <v>2443</v>
      </c>
      <c r="D26" s="126" t="s">
        <v>2443</v>
      </c>
      <c r="E26" s="111" t="s">
        <v>2444</v>
      </c>
      <c r="F26" s="111" t="s">
        <v>2445</v>
      </c>
      <c r="G26" s="111" t="s">
        <v>359</v>
      </c>
      <c r="H2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300" verticalDpi="300"/>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A8" workbookViewId="0">
      <selection activeCell="I20" sqref="I20"/>
    </sheetView>
  </sheetViews>
  <sheetFormatPr defaultColWidth="9" defaultRowHeight="13.5"/>
  <cols>
    <col min="1" max="1" width="6.5" style="100" customWidth="1"/>
    <col min="2" max="2" width="7.16666666666667" style="100" customWidth="1"/>
    <col min="3" max="4" width="16.3333333333333" style="100" customWidth="1"/>
    <col min="5" max="5" width="38.6666666666667" style="100" customWidth="1"/>
    <col min="6" max="6" width="36" style="100" customWidth="1"/>
    <col min="7" max="7" width="21.6666666666667" style="100" customWidth="1"/>
    <col min="8" max="8" width="14.875" style="100" customWidth="1"/>
    <col min="9" max="9" width="16.875" style="100" customWidth="1"/>
    <col min="10" max="10" width="9" style="100"/>
    <col min="11" max="11" width="18.6666666666667" style="100" customWidth="1"/>
    <col min="12" max="16384" width="9" style="100"/>
  </cols>
  <sheetData>
    <row r="1" ht="14.25" spans="1:8">
      <c r="A1" s="135" t="s">
        <v>223</v>
      </c>
      <c r="B1" s="136" t="s">
        <v>2446</v>
      </c>
      <c r="C1" s="137"/>
      <c r="D1" s="137"/>
      <c r="E1" s="137"/>
      <c r="F1" s="137"/>
      <c r="G1" s="137"/>
      <c r="H1" s="138"/>
    </row>
    <row r="2" ht="17.25" spans="1:8">
      <c r="A2" s="139"/>
      <c r="B2" s="140"/>
      <c r="C2" s="141"/>
      <c r="D2" s="141"/>
      <c r="E2" s="141"/>
      <c r="F2" s="141"/>
      <c r="G2" s="141"/>
      <c r="H2" s="142"/>
    </row>
    <row r="3" ht="17.25" spans="1:8">
      <c r="A3" s="143" t="s">
        <v>225</v>
      </c>
      <c r="B3" s="144"/>
      <c r="C3" s="144"/>
      <c r="D3" s="144"/>
      <c r="E3" s="144"/>
      <c r="F3" s="144"/>
      <c r="G3" s="144"/>
      <c r="H3" s="145"/>
    </row>
    <row r="4" ht="17.25" spans="1:8">
      <c r="A4" s="139">
        <v>1</v>
      </c>
      <c r="B4" s="146" t="s">
        <v>226</v>
      </c>
      <c r="C4" s="147"/>
      <c r="D4" s="148"/>
      <c r="E4" s="149" t="s">
        <v>2447</v>
      </c>
      <c r="F4" s="150"/>
      <c r="G4" s="150"/>
      <c r="H4" s="151"/>
    </row>
    <row r="5" ht="17.25" spans="1:8">
      <c r="A5" s="139">
        <v>2</v>
      </c>
      <c r="B5" s="146" t="s">
        <v>228</v>
      </c>
      <c r="C5" s="147"/>
      <c r="D5" s="148"/>
      <c r="E5" s="149" t="s">
        <v>2448</v>
      </c>
      <c r="F5" s="150"/>
      <c r="G5" s="150"/>
      <c r="H5" s="151"/>
    </row>
    <row r="6" ht="17.25" spans="1:8">
      <c r="A6" s="139">
        <v>3</v>
      </c>
      <c r="B6" s="146" t="s">
        <v>229</v>
      </c>
      <c r="C6" s="147"/>
      <c r="D6" s="148"/>
      <c r="E6" s="149"/>
      <c r="F6" s="150"/>
      <c r="G6" s="150"/>
      <c r="H6" s="151"/>
    </row>
    <row r="7" ht="17.25" spans="1:8">
      <c r="A7" s="139">
        <v>4</v>
      </c>
      <c r="B7" s="146" t="s">
        <v>231</v>
      </c>
      <c r="C7" s="147"/>
      <c r="D7" s="148"/>
      <c r="E7" s="149" t="s">
        <v>583</v>
      </c>
      <c r="F7" s="150"/>
      <c r="G7" s="150"/>
      <c r="H7" s="151"/>
    </row>
    <row r="8" ht="17.25" spans="1:8">
      <c r="A8" s="139">
        <v>5</v>
      </c>
      <c r="B8" s="146" t="s">
        <v>627</v>
      </c>
      <c r="C8" s="147"/>
      <c r="D8" s="148"/>
      <c r="E8" s="149"/>
      <c r="F8" s="150"/>
      <c r="G8" s="150"/>
      <c r="H8" s="151"/>
    </row>
    <row r="9" ht="17.25" spans="1:8">
      <c r="A9" s="104" t="s">
        <v>234</v>
      </c>
      <c r="B9" s="104"/>
      <c r="C9" s="104"/>
      <c r="D9" s="104"/>
      <c r="E9" s="104"/>
      <c r="F9" s="104"/>
      <c r="G9" s="104"/>
      <c r="H9" s="104"/>
    </row>
    <row r="10" ht="17.25" spans="1:8">
      <c r="A10" s="152"/>
      <c r="B10" s="153" t="s">
        <v>235</v>
      </c>
      <c r="C10" s="152" t="s">
        <v>236</v>
      </c>
      <c r="D10" s="87" t="s">
        <v>237</v>
      </c>
      <c r="E10" s="152" t="s">
        <v>238</v>
      </c>
      <c r="F10" s="153" t="s">
        <v>239</v>
      </c>
      <c r="G10" s="152" t="s">
        <v>240</v>
      </c>
      <c r="H10" s="153" t="s">
        <v>241</v>
      </c>
    </row>
    <row r="11" ht="25.25" customHeight="1" spans="1:8">
      <c r="A11" s="139">
        <v>1</v>
      </c>
      <c r="B11" s="154" t="s">
        <v>242</v>
      </c>
      <c r="C11" s="139" t="s">
        <v>243</v>
      </c>
      <c r="D11" s="87" t="s">
        <v>243</v>
      </c>
      <c r="E11" s="139" t="s">
        <v>243</v>
      </c>
      <c r="F11" s="139" t="s">
        <v>2189</v>
      </c>
      <c r="G11" s="139" t="s">
        <v>306</v>
      </c>
      <c r="H11" s="111"/>
    </row>
    <row r="12" ht="25.25" customHeight="1" spans="1:12">
      <c r="A12" s="139">
        <v>2</v>
      </c>
      <c r="B12" s="111"/>
      <c r="C12" s="139" t="s">
        <v>2449</v>
      </c>
      <c r="D12" s="87" t="s">
        <v>2449</v>
      </c>
      <c r="E12" s="139" t="s">
        <v>353</v>
      </c>
      <c r="F12" s="139" t="s">
        <v>2450</v>
      </c>
      <c r="G12" s="139" t="s">
        <v>248</v>
      </c>
      <c r="H12" s="111"/>
      <c r="I12" s="100" t="s">
        <v>352</v>
      </c>
      <c r="J12" s="100" t="s">
        <v>353</v>
      </c>
      <c r="L12" s="122" t="s">
        <v>365</v>
      </c>
    </row>
    <row r="13" ht="25.25" customHeight="1" spans="1:8">
      <c r="A13" s="139">
        <v>3</v>
      </c>
      <c r="B13" s="111"/>
      <c r="C13" s="139" t="s">
        <v>2451</v>
      </c>
      <c r="D13" s="87" t="s">
        <v>2451</v>
      </c>
      <c r="E13" s="139" t="s">
        <v>2452</v>
      </c>
      <c r="F13" s="139" t="s">
        <v>2453</v>
      </c>
      <c r="G13" s="139" t="s">
        <v>248</v>
      </c>
      <c r="H13" s="111"/>
    </row>
    <row r="14" ht="25.25" customHeight="1" spans="1:12">
      <c r="A14" s="139">
        <v>4</v>
      </c>
      <c r="B14" s="154" t="s">
        <v>242</v>
      </c>
      <c r="C14" s="139" t="s">
        <v>2454</v>
      </c>
      <c r="D14" s="87" t="s">
        <v>2454</v>
      </c>
      <c r="E14" s="139" t="s">
        <v>2455</v>
      </c>
      <c r="F14" s="139" t="s">
        <v>2456</v>
      </c>
      <c r="G14" s="139" t="s">
        <v>248</v>
      </c>
      <c r="H14" s="139" t="s">
        <v>2457</v>
      </c>
      <c r="I14" s="100" t="s">
        <v>264</v>
      </c>
      <c r="J14" s="100" t="s">
        <v>265</v>
      </c>
      <c r="K14" s="100" t="s">
        <v>2455</v>
      </c>
      <c r="L14" s="122" t="s">
        <v>365</v>
      </c>
    </row>
    <row r="15" ht="25.25" customHeight="1" spans="1:8">
      <c r="A15" s="139">
        <v>5</v>
      </c>
      <c r="B15" s="154" t="s">
        <v>242</v>
      </c>
      <c r="C15" s="139" t="s">
        <v>2458</v>
      </c>
      <c r="D15" s="87" t="s">
        <v>2458</v>
      </c>
      <c r="E15" s="139" t="s">
        <v>2459</v>
      </c>
      <c r="F15" s="139" t="s">
        <v>2460</v>
      </c>
      <c r="G15" s="139" t="s">
        <v>248</v>
      </c>
      <c r="H15" s="111"/>
    </row>
    <row r="16" ht="25.25" customHeight="1" spans="1:8">
      <c r="A16" s="139">
        <v>6</v>
      </c>
      <c r="B16" s="154"/>
      <c r="C16" s="87" t="s">
        <v>2461</v>
      </c>
      <c r="D16" s="87" t="s">
        <v>2461</v>
      </c>
      <c r="E16" s="120" t="s">
        <v>2462</v>
      </c>
      <c r="F16" s="139" t="s">
        <v>2463</v>
      </c>
      <c r="G16" s="139" t="s">
        <v>320</v>
      </c>
      <c r="H16" s="111"/>
    </row>
    <row r="17" ht="25.25" customHeight="1" spans="1:8">
      <c r="A17" s="139">
        <v>7</v>
      </c>
      <c r="B17" s="154" t="s">
        <v>242</v>
      </c>
      <c r="C17" s="139" t="s">
        <v>2464</v>
      </c>
      <c r="D17" s="87" t="s">
        <v>2464</v>
      </c>
      <c r="E17" s="139" t="s">
        <v>2465</v>
      </c>
      <c r="F17" s="139" t="s">
        <v>2466</v>
      </c>
      <c r="G17" s="139" t="s">
        <v>248</v>
      </c>
      <c r="H17" s="111"/>
    </row>
    <row r="18" ht="25.25" customHeight="1" spans="1:8">
      <c r="A18" s="139">
        <v>8</v>
      </c>
      <c r="B18" s="154" t="s">
        <v>242</v>
      </c>
      <c r="C18" s="139" t="s">
        <v>2467</v>
      </c>
      <c r="D18" s="87" t="s">
        <v>2467</v>
      </c>
      <c r="E18" s="139" t="s">
        <v>2468</v>
      </c>
      <c r="F18" s="139" t="s">
        <v>2469</v>
      </c>
      <c r="G18" s="139" t="s">
        <v>248</v>
      </c>
      <c r="H18" s="111"/>
    </row>
    <row r="19" ht="25.25" customHeight="1" spans="1:8">
      <c r="A19" s="139">
        <v>9</v>
      </c>
      <c r="B19" s="154" t="s">
        <v>242</v>
      </c>
      <c r="C19" s="139" t="s">
        <v>2470</v>
      </c>
      <c r="D19" s="87" t="s">
        <v>2470</v>
      </c>
      <c r="E19" s="139" t="s">
        <v>2471</v>
      </c>
      <c r="F19" s="139" t="s">
        <v>2472</v>
      </c>
      <c r="G19" s="139" t="s">
        <v>248</v>
      </c>
      <c r="H19" s="111"/>
    </row>
    <row r="20" ht="25.25" customHeight="1" spans="1:12">
      <c r="A20" s="139">
        <v>10</v>
      </c>
      <c r="B20" s="154" t="s">
        <v>242</v>
      </c>
      <c r="C20" s="139" t="s">
        <v>2473</v>
      </c>
      <c r="D20" s="87" t="s">
        <v>2473</v>
      </c>
      <c r="E20" s="139" t="s">
        <v>2474</v>
      </c>
      <c r="F20" s="139" t="s">
        <v>2475</v>
      </c>
      <c r="G20" s="139" t="s">
        <v>306</v>
      </c>
      <c r="H20" s="111"/>
      <c r="I20" s="100" t="s">
        <v>2337</v>
      </c>
      <c r="J20" s="100" t="s">
        <v>243</v>
      </c>
      <c r="L20" s="122" t="s">
        <v>365</v>
      </c>
    </row>
    <row r="21" ht="25.25" customHeight="1" spans="1:8">
      <c r="A21" s="139">
        <v>11</v>
      </c>
      <c r="B21" s="111"/>
      <c r="C21" s="87" t="s">
        <v>2476</v>
      </c>
      <c r="D21" s="87" t="s">
        <v>2476</v>
      </c>
      <c r="E21" s="87" t="s">
        <v>2477</v>
      </c>
      <c r="F21" s="139"/>
      <c r="G21" s="139" t="s">
        <v>248</v>
      </c>
      <c r="H21" s="111"/>
    </row>
    <row r="22" ht="25.25" customHeight="1" spans="1:8">
      <c r="A22" s="139">
        <v>12</v>
      </c>
      <c r="B22" s="154" t="s">
        <v>242</v>
      </c>
      <c r="C22" s="139" t="s">
        <v>2478</v>
      </c>
      <c r="D22" s="87" t="s">
        <v>2478</v>
      </c>
      <c r="E22" s="139" t="s">
        <v>2479</v>
      </c>
      <c r="F22" s="139" t="s">
        <v>2480</v>
      </c>
      <c r="G22" s="139" t="s">
        <v>248</v>
      </c>
      <c r="H22" s="111"/>
    </row>
    <row r="23" ht="25.25" customHeight="1" spans="1:8">
      <c r="A23" s="139">
        <v>13</v>
      </c>
      <c r="B23" s="154" t="s">
        <v>242</v>
      </c>
      <c r="C23" s="139" t="s">
        <v>2481</v>
      </c>
      <c r="D23" s="87" t="s">
        <v>2481</v>
      </c>
      <c r="E23" s="139" t="s">
        <v>2482</v>
      </c>
      <c r="F23" s="139" t="s">
        <v>2483</v>
      </c>
      <c r="G23" s="139" t="s">
        <v>248</v>
      </c>
      <c r="H23" s="111"/>
    </row>
    <row r="24" ht="25.25" customHeight="1" spans="1:8">
      <c r="A24" s="139">
        <v>14</v>
      </c>
      <c r="B24" s="154" t="s">
        <v>242</v>
      </c>
      <c r="C24" s="139" t="s">
        <v>2484</v>
      </c>
      <c r="D24" s="87" t="s">
        <v>2484</v>
      </c>
      <c r="E24" s="139" t="s">
        <v>2485</v>
      </c>
      <c r="F24" s="139" t="s">
        <v>2486</v>
      </c>
      <c r="G24" s="139" t="s">
        <v>248</v>
      </c>
      <c r="H24" s="111"/>
    </row>
    <row r="25" ht="25.25" customHeight="1" spans="1:12">
      <c r="A25" s="139">
        <v>15</v>
      </c>
      <c r="B25" s="154" t="s">
        <v>242</v>
      </c>
      <c r="C25" s="139" t="s">
        <v>2487</v>
      </c>
      <c r="D25" s="87" t="s">
        <v>2487</v>
      </c>
      <c r="E25" s="139" t="s">
        <v>2488</v>
      </c>
      <c r="F25" s="139" t="s">
        <v>2489</v>
      </c>
      <c r="G25" s="139" t="s">
        <v>248</v>
      </c>
      <c r="H25" s="111"/>
      <c r="I25" s="100" t="s">
        <v>2337</v>
      </c>
      <c r="J25" s="100" t="s">
        <v>243</v>
      </c>
      <c r="L25" s="122" t="s">
        <v>365</v>
      </c>
    </row>
    <row r="26" ht="25.25" customHeight="1" spans="1:8">
      <c r="A26" s="139">
        <v>16</v>
      </c>
      <c r="B26" s="154"/>
      <c r="C26" s="87" t="s">
        <v>2490</v>
      </c>
      <c r="D26" s="87" t="s">
        <v>2490</v>
      </c>
      <c r="E26" s="87" t="s">
        <v>2491</v>
      </c>
      <c r="F26" s="139"/>
      <c r="G26" s="139" t="s">
        <v>306</v>
      </c>
      <c r="H2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300" verticalDpi="300"/>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D1" workbookViewId="0">
      <selection activeCell="G24" sqref="G24"/>
    </sheetView>
  </sheetViews>
  <sheetFormatPr defaultColWidth="9" defaultRowHeight="13.5"/>
  <cols>
    <col min="1" max="2" width="9" style="100"/>
    <col min="3" max="4" width="14.1666666666667" style="100" customWidth="1"/>
    <col min="5" max="5" width="17" style="100" customWidth="1"/>
    <col min="6" max="6" width="29.8333333333333" style="100" customWidth="1"/>
    <col min="7" max="7" width="18" style="100" customWidth="1"/>
    <col min="8" max="8" width="26" style="100" customWidth="1"/>
    <col min="9" max="9" width="13.25" style="100" customWidth="1"/>
    <col min="10" max="10" width="9" style="100"/>
    <col min="11" max="11" width="18.6666666666667" style="100" customWidth="1"/>
    <col min="12" max="16384" width="9" style="100"/>
  </cols>
  <sheetData>
    <row r="1" ht="14.25" spans="1:8">
      <c r="A1" s="103" t="s">
        <v>223</v>
      </c>
      <c r="B1" s="102" t="s">
        <v>183</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2492</v>
      </c>
      <c r="F4" s="112"/>
      <c r="G4" s="112"/>
      <c r="H4" s="112"/>
    </row>
    <row r="5" ht="17.25" spans="1:8">
      <c r="A5" s="102">
        <v>2</v>
      </c>
      <c r="B5" s="102" t="s">
        <v>228</v>
      </c>
      <c r="C5" s="102"/>
      <c r="D5" s="102"/>
      <c r="E5" s="112" t="s">
        <v>2493</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customHeight="1" spans="1:8">
      <c r="A11" s="102">
        <v>1</v>
      </c>
      <c r="B11" s="109" t="s">
        <v>242</v>
      </c>
      <c r="C11" s="110" t="s">
        <v>243</v>
      </c>
      <c r="D11" s="123" t="s">
        <v>243</v>
      </c>
      <c r="E11" s="110" t="s">
        <v>243</v>
      </c>
      <c r="F11" s="111"/>
      <c r="G11" s="111" t="s">
        <v>571</v>
      </c>
      <c r="H11" s="113" t="s">
        <v>2429</v>
      </c>
    </row>
    <row r="12" ht="17.25" customHeight="1" spans="1:10">
      <c r="A12" s="102">
        <v>2</v>
      </c>
      <c r="B12" s="109" t="s">
        <v>242</v>
      </c>
      <c r="C12" s="110" t="s">
        <v>2494</v>
      </c>
      <c r="D12" s="123" t="s">
        <v>2494</v>
      </c>
      <c r="E12" s="110" t="s">
        <v>2495</v>
      </c>
      <c r="F12" s="111" t="s">
        <v>2496</v>
      </c>
      <c r="G12" s="111" t="s">
        <v>571</v>
      </c>
      <c r="H12" s="113" t="s">
        <v>2429</v>
      </c>
      <c r="I12" s="100" t="s">
        <v>2403</v>
      </c>
      <c r="J12" s="100" t="s">
        <v>243</v>
      </c>
    </row>
    <row r="13" ht="17.25" spans="1:12">
      <c r="A13" s="102">
        <v>3</v>
      </c>
      <c r="B13" s="109" t="s">
        <v>242</v>
      </c>
      <c r="C13" s="110" t="s">
        <v>2497</v>
      </c>
      <c r="D13" s="123" t="s">
        <v>2497</v>
      </c>
      <c r="E13" s="110" t="s">
        <v>247</v>
      </c>
      <c r="F13" s="111"/>
      <c r="G13" s="111" t="s">
        <v>564</v>
      </c>
      <c r="H13" s="111"/>
      <c r="I13" s="100" t="s">
        <v>249</v>
      </c>
      <c r="J13" s="100" t="s">
        <v>247</v>
      </c>
      <c r="L13" s="122" t="s">
        <v>365</v>
      </c>
    </row>
    <row r="14" ht="17.25" spans="1:8">
      <c r="A14" s="102">
        <v>4</v>
      </c>
      <c r="B14" s="109" t="s">
        <v>242</v>
      </c>
      <c r="C14" s="110" t="s">
        <v>430</v>
      </c>
      <c r="D14" s="123" t="s">
        <v>430</v>
      </c>
      <c r="E14" s="110" t="s">
        <v>527</v>
      </c>
      <c r="F14" s="111" t="s">
        <v>2498</v>
      </c>
      <c r="G14" s="111" t="s">
        <v>2416</v>
      </c>
      <c r="H14" s="111"/>
    </row>
    <row r="15" ht="17.25" spans="1:8">
      <c r="A15" s="102">
        <v>5</v>
      </c>
      <c r="B15" s="109" t="s">
        <v>242</v>
      </c>
      <c r="C15" s="110" t="s">
        <v>2499</v>
      </c>
      <c r="D15" s="123" t="s">
        <v>2499</v>
      </c>
      <c r="E15" s="110" t="s">
        <v>2500</v>
      </c>
      <c r="F15" s="111" t="s">
        <v>2501</v>
      </c>
      <c r="G15" s="111" t="s">
        <v>359</v>
      </c>
      <c r="H15" s="111"/>
    </row>
    <row r="16" ht="34.5" spans="1:8">
      <c r="A16" s="102">
        <v>6</v>
      </c>
      <c r="B16" s="109" t="s">
        <v>242</v>
      </c>
      <c r="C16" s="111" t="s">
        <v>2502</v>
      </c>
      <c r="D16" s="126" t="s">
        <v>2503</v>
      </c>
      <c r="E16" s="111" t="s">
        <v>2504</v>
      </c>
      <c r="F16" s="121" t="s">
        <v>2505</v>
      </c>
      <c r="G16" s="111" t="s">
        <v>564</v>
      </c>
      <c r="H16" s="113" t="s">
        <v>2421</v>
      </c>
    </row>
    <row r="17" ht="27" spans="1:8">
      <c r="A17" s="102">
        <v>7</v>
      </c>
      <c r="B17" s="109"/>
      <c r="C17" s="111" t="s">
        <v>2506</v>
      </c>
      <c r="D17" s="126" t="s">
        <v>2507</v>
      </c>
      <c r="E17" s="111" t="s">
        <v>2508</v>
      </c>
      <c r="F17" s="121" t="s">
        <v>2509</v>
      </c>
      <c r="G17" s="111" t="s">
        <v>303</v>
      </c>
      <c r="H17" s="111" t="s">
        <v>2510</v>
      </c>
    </row>
    <row r="18" ht="17.25" spans="1:8">
      <c r="A18" s="102">
        <v>8</v>
      </c>
      <c r="B18" s="109"/>
      <c r="C18" s="111" t="s">
        <v>2426</v>
      </c>
      <c r="D18" s="126" t="s">
        <v>2426</v>
      </c>
      <c r="E18" s="111" t="s">
        <v>2427</v>
      </c>
      <c r="F18" s="111"/>
      <c r="G18" s="111" t="s">
        <v>2428</v>
      </c>
      <c r="H18" s="111"/>
    </row>
    <row r="19" ht="17.25" spans="1:8">
      <c r="A19" s="102">
        <v>9</v>
      </c>
      <c r="B19" s="109"/>
      <c r="C19" s="111" t="s">
        <v>2430</v>
      </c>
      <c r="D19" s="126" t="s">
        <v>2430</v>
      </c>
      <c r="E19" s="111" t="s">
        <v>2431</v>
      </c>
      <c r="F19" s="111"/>
      <c r="G19" s="111" t="s">
        <v>2428</v>
      </c>
      <c r="H19" s="111"/>
    </row>
    <row r="20" ht="17.25" spans="1:8">
      <c r="A20" s="102">
        <v>10</v>
      </c>
      <c r="B20" s="109"/>
      <c r="C20" s="111" t="s">
        <v>2511</v>
      </c>
      <c r="D20" s="126" t="s">
        <v>2511</v>
      </c>
      <c r="E20" s="111" t="s">
        <v>2512</v>
      </c>
      <c r="F20" s="111"/>
      <c r="G20" s="111" t="s">
        <v>2513</v>
      </c>
      <c r="H20" s="111"/>
    </row>
    <row r="21" ht="17.25" spans="1:8">
      <c r="A21" s="102">
        <v>11</v>
      </c>
      <c r="B21" s="109"/>
      <c r="C21" s="111" t="s">
        <v>2432</v>
      </c>
      <c r="D21" s="126" t="s">
        <v>2432</v>
      </c>
      <c r="E21" s="111" t="s">
        <v>2433</v>
      </c>
      <c r="F21" s="111"/>
      <c r="G21" s="111" t="s">
        <v>1552</v>
      </c>
      <c r="H21" s="111"/>
    </row>
    <row r="22" ht="17.25" spans="1:8">
      <c r="A22" s="102">
        <v>12</v>
      </c>
      <c r="B22" s="109"/>
      <c r="C22" s="111" t="s">
        <v>569</v>
      </c>
      <c r="D22" s="126" t="s">
        <v>569</v>
      </c>
      <c r="E22" s="111" t="s">
        <v>570</v>
      </c>
      <c r="F22" s="111"/>
      <c r="G22" s="111" t="s">
        <v>1352</v>
      </c>
      <c r="H22" s="111"/>
    </row>
    <row r="23" customFormat="1" ht="17.25" spans="1:12">
      <c r="A23" s="102">
        <v>13</v>
      </c>
      <c r="B23" s="111" t="s">
        <v>242</v>
      </c>
      <c r="C23" s="111" t="s">
        <v>2514</v>
      </c>
      <c r="D23" s="126" t="s">
        <v>2514</v>
      </c>
      <c r="E23" s="111" t="s">
        <v>2515</v>
      </c>
      <c r="F23" s="111" t="s">
        <v>2516</v>
      </c>
      <c r="G23" s="111" t="s">
        <v>282</v>
      </c>
      <c r="H23" s="134"/>
      <c r="I23" s="130" t="s">
        <v>264</v>
      </c>
      <c r="J23" s="130" t="s">
        <v>265</v>
      </c>
      <c r="K23" s="130" t="s">
        <v>2515</v>
      </c>
      <c r="L23" s="122" t="s">
        <v>365</v>
      </c>
    </row>
    <row r="24" customFormat="1" ht="17.25" spans="1:12">
      <c r="A24" s="102">
        <v>14</v>
      </c>
      <c r="B24" s="111"/>
      <c r="C24" s="111" t="s">
        <v>2517</v>
      </c>
      <c r="D24" s="126" t="s">
        <v>2517</v>
      </c>
      <c r="E24" s="111" t="s">
        <v>2518</v>
      </c>
      <c r="F24" s="111" t="s">
        <v>2519</v>
      </c>
      <c r="G24" s="111" t="s">
        <v>282</v>
      </c>
      <c r="H24" s="134"/>
      <c r="I24" s="130" t="s">
        <v>264</v>
      </c>
      <c r="J24" s="130" t="s">
        <v>265</v>
      </c>
      <c r="K24" s="130" t="s">
        <v>2518</v>
      </c>
      <c r="L24" s="122"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300" verticalDpi="300"/>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5"/>
  <sheetViews>
    <sheetView workbookViewId="0">
      <selection activeCell="D10" sqref="D10"/>
    </sheetView>
  </sheetViews>
  <sheetFormatPr defaultColWidth="9" defaultRowHeight="13.5"/>
  <cols>
    <col min="1" max="2" width="9" style="100"/>
    <col min="3" max="4" width="19" style="100" customWidth="1"/>
    <col min="5" max="5" width="14.3333333333333" style="100" customWidth="1"/>
    <col min="6" max="6" width="29.6666666666667" style="100" customWidth="1"/>
    <col min="7" max="7" width="17.6666666666667" style="100" customWidth="1"/>
    <col min="8" max="8" width="16.6666666666667" style="100" customWidth="1"/>
    <col min="9" max="9" width="12.5" style="100" customWidth="1"/>
    <col min="10" max="10" width="9" style="100"/>
    <col min="11" max="11" width="11.25" style="100" customWidth="1"/>
    <col min="12" max="16384" width="9" style="100"/>
  </cols>
  <sheetData>
    <row r="1" ht="14.25" spans="1:8">
      <c r="A1" s="103" t="s">
        <v>223</v>
      </c>
      <c r="B1" s="102" t="s">
        <v>184</v>
      </c>
      <c r="C1" s="102"/>
      <c r="D1" s="102"/>
      <c r="E1" s="102"/>
      <c r="F1" s="102"/>
      <c r="G1" s="102"/>
      <c r="H1" s="102"/>
    </row>
    <row r="2" ht="14.25" spans="1:8">
      <c r="A2" s="103"/>
      <c r="B2" s="102"/>
      <c r="C2" s="102"/>
      <c r="D2" s="102"/>
      <c r="E2" s="102"/>
      <c r="F2" s="102"/>
      <c r="G2" s="102"/>
      <c r="H2" s="102"/>
    </row>
    <row r="3" ht="17.25" spans="1:8">
      <c r="A3" s="104" t="s">
        <v>225</v>
      </c>
      <c r="B3" s="104"/>
      <c r="C3" s="104"/>
      <c r="D3" s="104"/>
      <c r="E3" s="133"/>
      <c r="F3" s="133"/>
      <c r="G3" s="133"/>
      <c r="H3" s="133"/>
    </row>
    <row r="4" ht="17.25" spans="1:8">
      <c r="A4" s="102">
        <v>1</v>
      </c>
      <c r="B4" s="102" t="s">
        <v>226</v>
      </c>
      <c r="C4" s="102"/>
      <c r="D4" s="102"/>
      <c r="E4" s="102" t="s">
        <v>2520</v>
      </c>
      <c r="F4" s="102"/>
      <c r="G4" s="102"/>
      <c r="H4" s="102"/>
    </row>
    <row r="5" ht="19" customHeight="1" spans="1:8">
      <c r="A5" s="102">
        <v>2</v>
      </c>
      <c r="B5" s="102" t="s">
        <v>228</v>
      </c>
      <c r="C5" s="102"/>
      <c r="D5" s="102"/>
      <c r="E5" s="102" t="s">
        <v>2521</v>
      </c>
      <c r="F5" s="102"/>
      <c r="G5" s="102"/>
      <c r="H5" s="102"/>
    </row>
    <row r="6" ht="17.25" spans="1:8">
      <c r="A6" s="102">
        <v>3</v>
      </c>
      <c r="B6" s="102" t="s">
        <v>229</v>
      </c>
      <c r="C6" s="102"/>
      <c r="D6" s="102"/>
      <c r="E6" s="102"/>
      <c r="F6" s="102"/>
      <c r="G6" s="102"/>
      <c r="H6" s="102"/>
    </row>
    <row r="7" ht="17.25" spans="1:8">
      <c r="A7" s="102">
        <v>4</v>
      </c>
      <c r="B7" s="102" t="s">
        <v>231</v>
      </c>
      <c r="C7" s="102"/>
      <c r="D7" s="102"/>
      <c r="E7" s="102"/>
      <c r="F7" s="102"/>
      <c r="G7" s="102"/>
      <c r="H7" s="102"/>
    </row>
    <row r="8" ht="17.25" spans="1:8">
      <c r="A8" s="102">
        <v>5</v>
      </c>
      <c r="B8" s="102" t="s">
        <v>233</v>
      </c>
      <c r="C8" s="102"/>
      <c r="D8" s="102"/>
      <c r="E8" s="102"/>
      <c r="F8" s="102"/>
      <c r="G8" s="102"/>
      <c r="H8" s="102"/>
    </row>
    <row r="9" ht="17.25" spans="1:8">
      <c r="A9" s="104" t="s">
        <v>234</v>
      </c>
      <c r="B9" s="104"/>
      <c r="C9" s="104"/>
      <c r="D9" s="104"/>
      <c r="E9" s="104"/>
      <c r="F9" s="104"/>
      <c r="G9" s="104"/>
      <c r="H9" s="104"/>
    </row>
    <row r="10" ht="18" spans="1:8">
      <c r="A10" s="17" t="s">
        <v>1446</v>
      </c>
      <c r="B10" s="108" t="s">
        <v>235</v>
      </c>
      <c r="C10" s="17" t="s">
        <v>236</v>
      </c>
      <c r="D10" s="17" t="s">
        <v>237</v>
      </c>
      <c r="E10" s="17" t="s">
        <v>238</v>
      </c>
      <c r="F10" s="17" t="s">
        <v>239</v>
      </c>
      <c r="G10" s="17" t="s">
        <v>240</v>
      </c>
      <c r="H10" s="17" t="s">
        <v>241</v>
      </c>
    </row>
    <row r="11" ht="17.25" spans="1:8">
      <c r="A11" s="102">
        <v>1</v>
      </c>
      <c r="B11" s="109" t="s">
        <v>242</v>
      </c>
      <c r="C11" s="110" t="s">
        <v>243</v>
      </c>
      <c r="D11" s="110"/>
      <c r="E11" s="110" t="s">
        <v>243</v>
      </c>
      <c r="F11" s="111"/>
      <c r="G11" s="111" t="s">
        <v>564</v>
      </c>
      <c r="H11" s="111"/>
    </row>
    <row r="12" ht="17.25" spans="1:8">
      <c r="A12" s="102">
        <v>2</v>
      </c>
      <c r="B12" s="109" t="s">
        <v>242</v>
      </c>
      <c r="C12" s="111" t="s">
        <v>2405</v>
      </c>
      <c r="D12" s="111"/>
      <c r="E12" s="110" t="s">
        <v>2407</v>
      </c>
      <c r="F12" s="111" t="s">
        <v>2408</v>
      </c>
      <c r="G12" s="128" t="s">
        <v>571</v>
      </c>
      <c r="H12" s="111"/>
    </row>
    <row r="13" ht="17.25" spans="1:8">
      <c r="A13" s="102">
        <v>3</v>
      </c>
      <c r="B13" s="109" t="s">
        <v>242</v>
      </c>
      <c r="C13" s="110" t="s">
        <v>1350</v>
      </c>
      <c r="D13" s="110"/>
      <c r="E13" s="110" t="s">
        <v>2522</v>
      </c>
      <c r="F13" s="111"/>
      <c r="G13" s="111" t="s">
        <v>1647</v>
      </c>
      <c r="H13" s="111"/>
    </row>
    <row r="14" ht="17.25" spans="1:12">
      <c r="A14" s="102">
        <v>4</v>
      </c>
      <c r="B14" s="111"/>
      <c r="C14" s="116" t="s">
        <v>2523</v>
      </c>
      <c r="D14" s="116"/>
      <c r="E14" s="116" t="s">
        <v>247</v>
      </c>
      <c r="F14" s="117"/>
      <c r="G14" s="117" t="s">
        <v>564</v>
      </c>
      <c r="H14" s="117"/>
      <c r="I14" s="100" t="s">
        <v>352</v>
      </c>
      <c r="J14" s="100" t="s">
        <v>353</v>
      </c>
      <c r="L14" s="100" t="s">
        <v>365</v>
      </c>
    </row>
    <row r="15" ht="17.25" spans="1:8">
      <c r="A15" s="102">
        <v>5</v>
      </c>
      <c r="B15" s="111"/>
      <c r="C15" s="111" t="s">
        <v>2524</v>
      </c>
      <c r="D15" s="111"/>
      <c r="E15" s="111" t="s">
        <v>2525</v>
      </c>
      <c r="F15" s="111"/>
      <c r="G15" s="111" t="s">
        <v>564</v>
      </c>
      <c r="H15" s="111"/>
    </row>
  </sheetData>
  <mergeCells count="8">
    <mergeCell ref="A3:H3"/>
    <mergeCell ref="B4:C4"/>
    <mergeCell ref="B5:C5"/>
    <mergeCell ref="B6:C6"/>
    <mergeCell ref="B7:C7"/>
    <mergeCell ref="B8:C8"/>
    <mergeCell ref="A9:H9"/>
    <mergeCell ref="B1:H2"/>
  </mergeCells>
  <hyperlinks>
    <hyperlink ref="A1" location="总览!A1" display="首页"/>
  </hyperlinks>
  <pageMargins left="0.699305555555556" right="0.699305555555556" top="0.75" bottom="0.75" header="0.3" footer="0.3"/>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selection activeCell="J7" sqref="J7"/>
    </sheetView>
  </sheetViews>
  <sheetFormatPr defaultColWidth="9" defaultRowHeight="13.5"/>
  <cols>
    <col min="1" max="2" width="9" style="100"/>
    <col min="3" max="4" width="10.8333333333333" style="100" customWidth="1"/>
    <col min="5" max="5" width="12.1666666666667" style="100" customWidth="1"/>
    <col min="6" max="6" width="21.25" style="100" customWidth="1"/>
    <col min="7" max="7" width="16.1666666666667" style="100" customWidth="1"/>
    <col min="8" max="8" width="9" style="100"/>
    <col min="9" max="9" width="15.75" style="100" customWidth="1"/>
    <col min="10" max="16384" width="9" style="100"/>
  </cols>
  <sheetData>
    <row r="1" ht="14.25" spans="1:8">
      <c r="A1" s="103" t="s">
        <v>223</v>
      </c>
      <c r="B1" s="102" t="s">
        <v>185</v>
      </c>
      <c r="C1" s="102"/>
      <c r="D1" s="102"/>
      <c r="E1" s="102"/>
      <c r="F1" s="102"/>
      <c r="G1" s="102"/>
      <c r="H1" s="102"/>
    </row>
    <row r="2" ht="14.25" spans="1:8">
      <c r="A2" s="103"/>
      <c r="B2" s="102"/>
      <c r="C2" s="102"/>
      <c r="D2" s="102"/>
      <c r="E2" s="102"/>
      <c r="F2" s="102"/>
      <c r="G2" s="102"/>
      <c r="H2" s="102"/>
    </row>
    <row r="3" ht="17.25" spans="1:8">
      <c r="A3" s="104" t="s">
        <v>225</v>
      </c>
      <c r="B3" s="104"/>
      <c r="C3" s="104"/>
      <c r="D3" s="104"/>
      <c r="E3" s="133"/>
      <c r="F3" s="133"/>
      <c r="G3" s="133"/>
      <c r="H3" s="133"/>
    </row>
    <row r="4" ht="21" customHeight="1" spans="1:8">
      <c r="A4" s="102">
        <v>1</v>
      </c>
      <c r="B4" s="102" t="s">
        <v>226</v>
      </c>
      <c r="C4" s="102"/>
      <c r="D4" s="102"/>
      <c r="E4" s="112" t="s">
        <v>2526</v>
      </c>
      <c r="F4" s="112"/>
      <c r="G4" s="112"/>
      <c r="H4" s="112"/>
    </row>
    <row r="5" ht="17.25" spans="1:8">
      <c r="A5" s="102">
        <v>2</v>
      </c>
      <c r="B5" s="102" t="s">
        <v>228</v>
      </c>
      <c r="C5" s="102"/>
      <c r="D5" s="102"/>
      <c r="E5" s="112" t="s">
        <v>2527</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7" t="s">
        <v>237</v>
      </c>
      <c r="E10" s="17" t="s">
        <v>238</v>
      </c>
      <c r="F10" s="17" t="s">
        <v>239</v>
      </c>
      <c r="G10" s="17" t="s">
        <v>240</v>
      </c>
      <c r="H10" s="17" t="s">
        <v>241</v>
      </c>
    </row>
    <row r="11" ht="17.25" spans="1:8">
      <c r="A11" s="102">
        <v>1</v>
      </c>
      <c r="B11" s="109" t="s">
        <v>242</v>
      </c>
      <c r="C11" s="110" t="s">
        <v>243</v>
      </c>
      <c r="D11" s="110"/>
      <c r="E11" s="110" t="s">
        <v>243</v>
      </c>
      <c r="F11" s="111" t="s">
        <v>1879</v>
      </c>
      <c r="G11" s="111" t="s">
        <v>564</v>
      </c>
      <c r="H11" s="111"/>
    </row>
    <row r="12" ht="17.25" spans="1:12">
      <c r="A12" s="102">
        <v>2</v>
      </c>
      <c r="B12" s="109" t="s">
        <v>242</v>
      </c>
      <c r="C12" s="110" t="s">
        <v>2528</v>
      </c>
      <c r="D12" s="110"/>
      <c r="E12" s="110" t="s">
        <v>543</v>
      </c>
      <c r="F12" s="111" t="s">
        <v>2529</v>
      </c>
      <c r="G12" s="111" t="s">
        <v>564</v>
      </c>
      <c r="H12" s="111"/>
      <c r="I12" s="100" t="s">
        <v>2520</v>
      </c>
      <c r="J12" s="100" t="s">
        <v>243</v>
      </c>
      <c r="L12" s="100" t="s">
        <v>2522</v>
      </c>
    </row>
    <row r="13" ht="17.25" spans="1:8">
      <c r="A13" s="102">
        <v>3</v>
      </c>
      <c r="B13" s="109" t="s">
        <v>242</v>
      </c>
      <c r="C13" s="110" t="s">
        <v>2530</v>
      </c>
      <c r="D13" s="110"/>
      <c r="E13" s="110" t="s">
        <v>2531</v>
      </c>
      <c r="F13" s="111" t="s">
        <v>2532</v>
      </c>
      <c r="G13" s="111" t="s">
        <v>564</v>
      </c>
      <c r="H13" s="111"/>
    </row>
    <row r="14" ht="17.25" spans="1:12">
      <c r="A14" s="102">
        <v>4</v>
      </c>
      <c r="B14" s="109" t="s">
        <v>242</v>
      </c>
      <c r="C14" s="110" t="s">
        <v>2497</v>
      </c>
      <c r="D14" s="110"/>
      <c r="E14" s="110" t="s">
        <v>247</v>
      </c>
      <c r="F14" s="111"/>
      <c r="G14" s="111" t="s">
        <v>564</v>
      </c>
      <c r="H14" s="111"/>
      <c r="I14" s="100" t="s">
        <v>249</v>
      </c>
      <c r="J14" s="100" t="s">
        <v>247</v>
      </c>
      <c r="L14" s="100" t="s">
        <v>365</v>
      </c>
    </row>
    <row r="15" ht="17.25" spans="1:8">
      <c r="A15" s="102">
        <v>5</v>
      </c>
      <c r="B15" s="109" t="s">
        <v>242</v>
      </c>
      <c r="C15" s="110" t="s">
        <v>2533</v>
      </c>
      <c r="D15" s="110"/>
      <c r="E15" s="110" t="s">
        <v>527</v>
      </c>
      <c r="F15" s="111"/>
      <c r="G15" s="111" t="s">
        <v>564</v>
      </c>
      <c r="H15"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selection activeCell="I17" sqref="I17:J17"/>
    </sheetView>
  </sheetViews>
  <sheetFormatPr defaultColWidth="9" defaultRowHeight="13.5"/>
  <cols>
    <col min="1" max="2" width="9" style="100"/>
    <col min="3" max="4" width="13.8333333333333" style="100" customWidth="1"/>
    <col min="5" max="5" width="12.1666666666667" style="100" customWidth="1"/>
    <col min="6" max="6" width="19.5" style="100" customWidth="1"/>
    <col min="7" max="7" width="20" style="100" customWidth="1"/>
    <col min="8" max="8" width="9" style="100"/>
    <col min="9" max="9" width="17.875" style="100" customWidth="1"/>
    <col min="10" max="16384" width="9" style="100"/>
  </cols>
  <sheetData>
    <row r="1" ht="14.25" spans="1:8">
      <c r="A1" s="103" t="s">
        <v>223</v>
      </c>
      <c r="B1" s="102" t="s">
        <v>186</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2534</v>
      </c>
      <c r="F4" s="112"/>
      <c r="G4" s="112"/>
      <c r="H4" s="112"/>
    </row>
    <row r="5" ht="17.25" spans="1:8">
      <c r="A5" s="102">
        <v>2</v>
      </c>
      <c r="B5" s="102" t="s">
        <v>228</v>
      </c>
      <c r="C5" s="102"/>
      <c r="D5" s="102"/>
      <c r="E5" s="112" t="s">
        <v>2535</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t="s">
        <v>2189</v>
      </c>
      <c r="G11" s="111" t="s">
        <v>564</v>
      </c>
      <c r="H11" s="111"/>
    </row>
    <row r="12" ht="17.25" spans="1:8">
      <c r="A12" s="102">
        <v>2</v>
      </c>
      <c r="B12" s="109" t="s">
        <v>242</v>
      </c>
      <c r="C12" s="110" t="s">
        <v>974</v>
      </c>
      <c r="D12" s="114" t="s">
        <v>2536</v>
      </c>
      <c r="E12" s="110" t="s">
        <v>365</v>
      </c>
      <c r="F12" s="111"/>
      <c r="G12" s="111" t="s">
        <v>320</v>
      </c>
      <c r="H12" s="111"/>
    </row>
    <row r="13" ht="17.25" spans="1:8">
      <c r="A13" s="102">
        <v>3</v>
      </c>
      <c r="B13" s="109"/>
      <c r="C13" s="110" t="s">
        <v>964</v>
      </c>
      <c r="D13" s="114" t="s">
        <v>964</v>
      </c>
      <c r="E13" s="110" t="s">
        <v>965</v>
      </c>
      <c r="F13" s="111" t="s">
        <v>2537</v>
      </c>
      <c r="G13" s="111" t="s">
        <v>320</v>
      </c>
      <c r="H13" s="111"/>
    </row>
    <row r="14" ht="17.25" spans="1:8">
      <c r="A14" s="102">
        <v>4</v>
      </c>
      <c r="B14" s="109"/>
      <c r="C14" s="110" t="s">
        <v>962</v>
      </c>
      <c r="D14" s="114" t="s">
        <v>962</v>
      </c>
      <c r="E14" s="110" t="s">
        <v>2538</v>
      </c>
      <c r="F14" s="111" t="s">
        <v>2539</v>
      </c>
      <c r="G14" s="111" t="s">
        <v>320</v>
      </c>
      <c r="H14" s="111"/>
    </row>
    <row r="15" ht="17.25" spans="1:8">
      <c r="A15" s="102">
        <v>5</v>
      </c>
      <c r="B15" s="109" t="s">
        <v>242</v>
      </c>
      <c r="C15" s="110" t="s">
        <v>1314</v>
      </c>
      <c r="D15" s="114" t="s">
        <v>1314</v>
      </c>
      <c r="E15" s="110" t="s">
        <v>265</v>
      </c>
      <c r="F15" s="111"/>
      <c r="G15" s="111" t="s">
        <v>564</v>
      </c>
      <c r="H15" s="111"/>
    </row>
    <row r="16" ht="17.25" spans="1:8">
      <c r="A16" s="102">
        <v>6</v>
      </c>
      <c r="B16" s="109"/>
      <c r="C16" s="111" t="s">
        <v>959</v>
      </c>
      <c r="D16" s="120" t="s">
        <v>959</v>
      </c>
      <c r="E16" s="111" t="s">
        <v>960</v>
      </c>
      <c r="F16" s="111"/>
      <c r="G16" s="111" t="s">
        <v>564</v>
      </c>
      <c r="H16" s="111"/>
    </row>
    <row r="17" ht="17.25" spans="1:10">
      <c r="A17" s="102">
        <v>7</v>
      </c>
      <c r="B17" s="109" t="s">
        <v>242</v>
      </c>
      <c r="C17" s="111" t="s">
        <v>2540</v>
      </c>
      <c r="D17" s="120" t="s">
        <v>2540</v>
      </c>
      <c r="E17" s="111" t="s">
        <v>952</v>
      </c>
      <c r="F17" s="111"/>
      <c r="G17" s="111" t="s">
        <v>564</v>
      </c>
      <c r="H17" s="111"/>
      <c r="I17" s="100" t="s">
        <v>2534</v>
      </c>
      <c r="J17" s="100" t="s">
        <v>243</v>
      </c>
    </row>
    <row r="18" ht="17.25" spans="1:8">
      <c r="A18" s="102">
        <v>8</v>
      </c>
      <c r="B18" s="109"/>
      <c r="C18" s="111" t="s">
        <v>953</v>
      </c>
      <c r="D18" s="120" t="s">
        <v>953</v>
      </c>
      <c r="E18" s="111" t="s">
        <v>954</v>
      </c>
      <c r="F18" s="111"/>
      <c r="G18" s="111" t="s">
        <v>564</v>
      </c>
      <c r="H18" s="111"/>
    </row>
    <row r="19" ht="17.25" spans="1:8">
      <c r="A19" s="102">
        <v>9</v>
      </c>
      <c r="B19" s="109" t="s">
        <v>242</v>
      </c>
      <c r="C19" s="111" t="s">
        <v>2541</v>
      </c>
      <c r="D19" s="120" t="s">
        <v>2541</v>
      </c>
      <c r="E19" s="111" t="s">
        <v>2542</v>
      </c>
      <c r="F19" s="111"/>
      <c r="G19" s="111" t="s">
        <v>1352</v>
      </c>
      <c r="H19" s="111"/>
    </row>
    <row r="20" ht="17.25" spans="1:8">
      <c r="A20" s="102">
        <v>10</v>
      </c>
      <c r="B20" s="109" t="s">
        <v>242</v>
      </c>
      <c r="C20" s="111" t="s">
        <v>558</v>
      </c>
      <c r="D20" s="120" t="s">
        <v>558</v>
      </c>
      <c r="E20" s="111" t="s">
        <v>560</v>
      </c>
      <c r="F20" s="111"/>
      <c r="G20" s="111" t="s">
        <v>564</v>
      </c>
      <c r="H20" s="111"/>
    </row>
    <row r="21" ht="17.25" spans="1:8">
      <c r="A21" s="102">
        <v>11</v>
      </c>
      <c r="B21" s="109" t="s">
        <v>242</v>
      </c>
      <c r="C21" s="111" t="s">
        <v>2543</v>
      </c>
      <c r="D21" s="120" t="s">
        <v>2543</v>
      </c>
      <c r="E21" s="111" t="s">
        <v>2544</v>
      </c>
      <c r="F21" s="111"/>
      <c r="G21" s="111" t="s">
        <v>2545</v>
      </c>
      <c r="H21" s="111"/>
    </row>
    <row r="22" ht="17.25" spans="1:8">
      <c r="A22" s="102">
        <v>12</v>
      </c>
      <c r="B22" s="109"/>
      <c r="C22" s="111" t="s">
        <v>569</v>
      </c>
      <c r="D22" s="120" t="s">
        <v>569</v>
      </c>
      <c r="E22" s="111" t="s">
        <v>570</v>
      </c>
      <c r="F22" s="111"/>
      <c r="G22" s="111" t="s">
        <v>1352</v>
      </c>
      <c r="H22"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E13" sqref="E13"/>
    </sheetView>
  </sheetViews>
  <sheetFormatPr defaultColWidth="9" defaultRowHeight="13.5" outlineLevelCol="7"/>
  <cols>
    <col min="1" max="2" width="9" style="100"/>
    <col min="3" max="4" width="10" style="100" customWidth="1"/>
    <col min="5" max="5" width="11.3333333333333" style="100" customWidth="1"/>
    <col min="6" max="6" width="19.1666666666667" style="100" customWidth="1"/>
    <col min="7" max="7" width="15" style="100" customWidth="1"/>
    <col min="8" max="16384" width="9" style="100"/>
  </cols>
  <sheetData>
    <row r="1" ht="14.25" spans="1:8">
      <c r="A1" s="103" t="s">
        <v>223</v>
      </c>
      <c r="B1" s="102" t="s">
        <v>2546</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2547</v>
      </c>
      <c r="F4" s="112"/>
      <c r="G4" s="112"/>
      <c r="H4" s="112"/>
    </row>
    <row r="5" ht="17.25" spans="1:8">
      <c r="A5" s="102">
        <v>2</v>
      </c>
      <c r="B5" s="102" t="s">
        <v>228</v>
      </c>
      <c r="C5" s="102"/>
      <c r="D5" s="102"/>
      <c r="E5" s="112" t="s">
        <v>2548</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23" t="s">
        <v>243</v>
      </c>
      <c r="E11" s="110" t="s">
        <v>243</v>
      </c>
      <c r="F11" s="111"/>
      <c r="G11" s="111" t="s">
        <v>564</v>
      </c>
      <c r="H11" s="111"/>
    </row>
    <row r="12" ht="17.25" spans="1:8">
      <c r="A12" s="102">
        <v>2</v>
      </c>
      <c r="B12" s="109" t="s">
        <v>242</v>
      </c>
      <c r="C12" s="110" t="s">
        <v>2549</v>
      </c>
      <c r="D12" s="123" t="s">
        <v>2549</v>
      </c>
      <c r="E12" s="110" t="s">
        <v>2550</v>
      </c>
      <c r="F12" s="111"/>
      <c r="G12" s="111" t="s">
        <v>2551</v>
      </c>
      <c r="H12" s="111"/>
    </row>
    <row r="13" ht="27" spans="1:8">
      <c r="A13" s="102">
        <v>3</v>
      </c>
      <c r="B13" s="109"/>
      <c r="C13" s="110" t="s">
        <v>2552</v>
      </c>
      <c r="D13" s="123" t="s">
        <v>2552</v>
      </c>
      <c r="E13" s="110" t="s">
        <v>954</v>
      </c>
      <c r="F13" s="121" t="s">
        <v>2553</v>
      </c>
      <c r="G13" s="111" t="s">
        <v>1552</v>
      </c>
      <c r="H13"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L19" sqref="L19"/>
    </sheetView>
  </sheetViews>
  <sheetFormatPr defaultColWidth="9" defaultRowHeight="13.5"/>
  <cols>
    <col min="1" max="2" width="9" style="100"/>
    <col min="3" max="4" width="10.8333333333333" style="100" customWidth="1"/>
    <col min="5" max="5" width="11" style="100" customWidth="1"/>
    <col min="6" max="6" width="22" style="100" customWidth="1"/>
    <col min="7" max="7" width="16.8333333333333" style="100" customWidth="1"/>
    <col min="8" max="8" width="9" style="100"/>
    <col min="9" max="9" width="15.3333333333333" style="100" customWidth="1"/>
    <col min="10" max="11" width="9" style="100"/>
    <col min="12" max="12" width="17" style="100" customWidth="1"/>
    <col min="13" max="16384" width="9" style="100"/>
  </cols>
  <sheetData>
    <row r="1" ht="14.25" spans="1:8">
      <c r="A1" s="103" t="s">
        <v>223</v>
      </c>
      <c r="B1" s="102" t="s">
        <v>187</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2554</v>
      </c>
      <c r="F4" s="112"/>
      <c r="G4" s="112"/>
      <c r="H4" s="112"/>
    </row>
    <row r="5" ht="17.25" spans="1:8">
      <c r="A5" s="102">
        <v>2</v>
      </c>
      <c r="B5" s="102" t="s">
        <v>228</v>
      </c>
      <c r="C5" s="102"/>
      <c r="D5" s="102"/>
      <c r="E5" s="112" t="s">
        <v>2555</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23" t="s">
        <v>243</v>
      </c>
      <c r="E11" s="110" t="s">
        <v>243</v>
      </c>
      <c r="F11" s="111"/>
      <c r="G11" s="111" t="s">
        <v>564</v>
      </c>
      <c r="H11" s="111"/>
    </row>
    <row r="12" ht="20" customHeight="1" spans="1:12">
      <c r="A12" s="102">
        <v>2</v>
      </c>
      <c r="B12" s="109" t="s">
        <v>242</v>
      </c>
      <c r="C12" s="110" t="s">
        <v>2556</v>
      </c>
      <c r="D12" s="123" t="s">
        <v>2557</v>
      </c>
      <c r="E12" s="110" t="s">
        <v>2558</v>
      </c>
      <c r="F12" s="111"/>
      <c r="G12" s="111" t="s">
        <v>564</v>
      </c>
      <c r="H12" s="111"/>
      <c r="I12" s="100" t="s">
        <v>2534</v>
      </c>
      <c r="J12" s="100" t="s">
        <v>243</v>
      </c>
      <c r="L12" s="127" t="s">
        <v>2559</v>
      </c>
    </row>
    <row r="13" ht="17.25" spans="1:8">
      <c r="A13" s="102">
        <v>3</v>
      </c>
      <c r="B13" s="109" t="s">
        <v>242</v>
      </c>
      <c r="C13" s="110" t="s">
        <v>2560</v>
      </c>
      <c r="D13" s="123" t="s">
        <v>2561</v>
      </c>
      <c r="E13" s="110" t="s">
        <v>2562</v>
      </c>
      <c r="F13" s="111"/>
      <c r="G13" s="111" t="s">
        <v>1352</v>
      </c>
      <c r="H13" s="111"/>
    </row>
    <row r="14" ht="17.25" spans="1:8">
      <c r="A14" s="102">
        <v>4</v>
      </c>
      <c r="B14" s="109" t="s">
        <v>242</v>
      </c>
      <c r="C14" s="110" t="s">
        <v>2563</v>
      </c>
      <c r="D14" s="123" t="s">
        <v>2564</v>
      </c>
      <c r="E14" s="110" t="s">
        <v>2565</v>
      </c>
      <c r="F14" s="111"/>
      <c r="G14" s="111" t="s">
        <v>263</v>
      </c>
      <c r="H14" s="111"/>
    </row>
    <row r="15" ht="17.25" spans="1:8">
      <c r="A15" s="102">
        <v>5</v>
      </c>
      <c r="B15" s="109" t="s">
        <v>242</v>
      </c>
      <c r="C15" s="110" t="s">
        <v>2566</v>
      </c>
      <c r="D15" s="123" t="s">
        <v>2567</v>
      </c>
      <c r="E15" s="110" t="s">
        <v>2568</v>
      </c>
      <c r="F15" s="111"/>
      <c r="G15" s="111" t="s">
        <v>1202</v>
      </c>
      <c r="H15" s="111"/>
    </row>
    <row r="16" ht="17.25" spans="1:8">
      <c r="A16" s="102">
        <v>6</v>
      </c>
      <c r="B16" s="109" t="s">
        <v>242</v>
      </c>
      <c r="C16" s="111" t="s">
        <v>2569</v>
      </c>
      <c r="D16" s="126" t="s">
        <v>2570</v>
      </c>
      <c r="E16" s="111" t="s">
        <v>2571</v>
      </c>
      <c r="F16" s="111" t="s">
        <v>2572</v>
      </c>
      <c r="G16" s="111" t="s">
        <v>282</v>
      </c>
      <c r="H16" s="111"/>
    </row>
    <row r="17" ht="17.25" spans="1:8">
      <c r="A17" s="102">
        <v>7</v>
      </c>
      <c r="B17" s="109" t="s">
        <v>242</v>
      </c>
      <c r="C17" s="111" t="s">
        <v>2573</v>
      </c>
      <c r="D17" s="126" t="s">
        <v>2573</v>
      </c>
      <c r="E17" s="111" t="s">
        <v>2574</v>
      </c>
      <c r="F17" s="111"/>
      <c r="G17" s="111" t="s">
        <v>1352</v>
      </c>
      <c r="H17" s="111"/>
    </row>
    <row r="18" ht="17.25" spans="1:8">
      <c r="A18" s="102">
        <v>8</v>
      </c>
      <c r="B18" s="109"/>
      <c r="C18" s="111" t="s">
        <v>2575</v>
      </c>
      <c r="D18" s="126" t="s">
        <v>2575</v>
      </c>
      <c r="E18" s="111" t="s">
        <v>2576</v>
      </c>
      <c r="F18" s="111"/>
      <c r="G18" s="111" t="s">
        <v>1352</v>
      </c>
      <c r="H18" s="111"/>
    </row>
    <row r="19" ht="17.25" spans="1:12">
      <c r="A19" s="102">
        <v>9</v>
      </c>
      <c r="B19" s="111"/>
      <c r="C19" s="111" t="s">
        <v>2577</v>
      </c>
      <c r="D19" s="126" t="s">
        <v>2578</v>
      </c>
      <c r="E19" s="111" t="s">
        <v>2579</v>
      </c>
      <c r="F19" s="111"/>
      <c r="G19" s="111" t="s">
        <v>564</v>
      </c>
      <c r="H19" s="111"/>
      <c r="I19" s="100" t="s">
        <v>2547</v>
      </c>
      <c r="J19" s="100" t="s">
        <v>243</v>
      </c>
      <c r="L19" s="100" t="s">
        <v>2550</v>
      </c>
    </row>
    <row r="20" ht="27" spans="1:8">
      <c r="A20" s="102">
        <v>10</v>
      </c>
      <c r="B20" s="111"/>
      <c r="C20" s="110" t="s">
        <v>2552</v>
      </c>
      <c r="D20" s="123" t="s">
        <v>2552</v>
      </c>
      <c r="E20" s="110" t="s">
        <v>954</v>
      </c>
      <c r="F20" s="121" t="s">
        <v>2553</v>
      </c>
      <c r="G20" s="111" t="s">
        <v>1552</v>
      </c>
      <c r="H20"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300" verticalDpi="300"/>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L12" sqref="L12"/>
    </sheetView>
  </sheetViews>
  <sheetFormatPr defaultColWidth="9" defaultRowHeight="13.5"/>
  <cols>
    <col min="1" max="2" width="9" style="100"/>
    <col min="3" max="4" width="11.1666666666667" style="100" customWidth="1"/>
    <col min="5" max="6" width="9" style="100"/>
    <col min="7" max="7" width="20.3333333333333" style="100" customWidth="1"/>
    <col min="8" max="8" width="9" style="100"/>
    <col min="9" max="9" width="17" style="100" customWidth="1"/>
    <col min="10" max="10" width="11.6666666666667" style="100" customWidth="1"/>
    <col min="11" max="16384" width="9" style="100"/>
  </cols>
  <sheetData>
    <row r="1" ht="14.25" spans="1:8">
      <c r="A1" s="103" t="s">
        <v>223</v>
      </c>
      <c r="B1" s="102" t="s">
        <v>188</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2580</v>
      </c>
      <c r="F4" s="112"/>
      <c r="G4" s="112"/>
      <c r="H4" s="112"/>
    </row>
    <row r="5" ht="17.25" spans="1:8">
      <c r="A5" s="102">
        <v>2</v>
      </c>
      <c r="B5" s="102" t="s">
        <v>228</v>
      </c>
      <c r="C5" s="102"/>
      <c r="D5" s="102"/>
      <c r="E5" s="112" t="s">
        <v>2581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23" t="s">
        <v>243</v>
      </c>
      <c r="E11" s="110" t="s">
        <v>243</v>
      </c>
      <c r="F11" s="111"/>
      <c r="G11" s="111" t="s">
        <v>564</v>
      </c>
      <c r="H11" s="111"/>
    </row>
    <row r="12" ht="17.25" spans="1:12">
      <c r="A12" s="102">
        <v>2</v>
      </c>
      <c r="B12" s="109" t="s">
        <v>242</v>
      </c>
      <c r="C12" s="110" t="s">
        <v>2582</v>
      </c>
      <c r="D12" s="123" t="s">
        <v>2561</v>
      </c>
      <c r="E12" s="110" t="s">
        <v>2583</v>
      </c>
      <c r="F12" s="111"/>
      <c r="G12" s="111" t="s">
        <v>564</v>
      </c>
      <c r="H12" s="111"/>
      <c r="I12" s="100" t="s">
        <v>2554</v>
      </c>
      <c r="J12" s="100" t="s">
        <v>243</v>
      </c>
      <c r="L12" s="100" t="s">
        <v>2562</v>
      </c>
    </row>
    <row r="13" ht="17.25" spans="1:8">
      <c r="A13" s="102">
        <v>3</v>
      </c>
      <c r="B13" s="109" t="s">
        <v>242</v>
      </c>
      <c r="C13" s="110" t="s">
        <v>1314</v>
      </c>
      <c r="D13" s="123" t="s">
        <v>2584</v>
      </c>
      <c r="E13" s="110" t="s">
        <v>265</v>
      </c>
      <c r="F13" s="111"/>
      <c r="G13" s="111" t="s">
        <v>564</v>
      </c>
      <c r="H13" s="111"/>
    </row>
    <row r="14" ht="17.25" spans="1:8">
      <c r="A14" s="102">
        <v>4</v>
      </c>
      <c r="B14" s="109" t="s">
        <v>242</v>
      </c>
      <c r="C14" s="110" t="s">
        <v>1350</v>
      </c>
      <c r="D14" s="123" t="s">
        <v>2585</v>
      </c>
      <c r="E14" s="110" t="s">
        <v>2522</v>
      </c>
      <c r="F14" s="111"/>
      <c r="G14" s="111" t="s">
        <v>1352</v>
      </c>
      <c r="H14" s="111"/>
    </row>
    <row r="15" ht="17.25" spans="1:8">
      <c r="A15" s="102">
        <v>5</v>
      </c>
      <c r="B15" s="109" t="s">
        <v>242</v>
      </c>
      <c r="C15" s="110" t="s">
        <v>2586</v>
      </c>
      <c r="D15" s="123" t="s">
        <v>2586</v>
      </c>
      <c r="E15" s="110" t="s">
        <v>2587</v>
      </c>
      <c r="F15" s="111"/>
      <c r="G15" s="111" t="s">
        <v>2545</v>
      </c>
      <c r="H15" s="111"/>
    </row>
    <row r="16" ht="17.25" spans="1:8">
      <c r="A16" s="102">
        <v>6</v>
      </c>
      <c r="B16" s="109" t="s">
        <v>242</v>
      </c>
      <c r="C16" s="111" t="s">
        <v>558</v>
      </c>
      <c r="D16" s="126" t="s">
        <v>558</v>
      </c>
      <c r="E16" s="111" t="s">
        <v>560</v>
      </c>
      <c r="F16" s="111"/>
      <c r="G16" s="111" t="s">
        <v>1202</v>
      </c>
      <c r="H16" s="111"/>
    </row>
    <row r="17" ht="17.25" spans="1:8">
      <c r="A17" s="102">
        <v>7</v>
      </c>
      <c r="B17" s="111"/>
      <c r="C17" s="110" t="s">
        <v>2552</v>
      </c>
      <c r="D17" s="123" t="s">
        <v>2552</v>
      </c>
      <c r="E17" s="110" t="s">
        <v>954</v>
      </c>
      <c r="F17" s="111"/>
      <c r="G17" s="111" t="s">
        <v>1552</v>
      </c>
      <c r="H17"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I13" sqref="I13"/>
    </sheetView>
  </sheetViews>
  <sheetFormatPr defaultColWidth="9" defaultRowHeight="13.5"/>
  <cols>
    <col min="1" max="1" width="11.8333333333333" style="100" customWidth="1"/>
    <col min="2" max="2" width="9" style="100"/>
    <col min="3" max="4" width="18" style="100" customWidth="1"/>
    <col min="5" max="5" width="17.6666666666667" style="100" customWidth="1"/>
    <col min="6" max="6" width="15.1666666666667" style="100" customWidth="1"/>
    <col min="7" max="7" width="16.8333333333333" style="100" customWidth="1"/>
    <col min="8" max="8" width="14.1666666666667" style="100" customWidth="1"/>
    <col min="9" max="9" width="25.1666666666667" style="100" customWidth="1"/>
    <col min="10" max="10" width="18.5" style="100" customWidth="1"/>
    <col min="11" max="11" width="15.6666666666667" style="100" customWidth="1"/>
    <col min="12" max="16384" width="9" style="100"/>
  </cols>
  <sheetData>
    <row r="1" ht="14.25" spans="1:8">
      <c r="A1" s="132" t="s">
        <v>223</v>
      </c>
      <c r="B1" s="102" t="s">
        <v>190</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2588</v>
      </c>
      <c r="F4" s="112"/>
      <c r="G4" s="112"/>
      <c r="H4" s="112"/>
    </row>
    <row r="5" ht="17.25" spans="1:8">
      <c r="A5" s="102">
        <v>2</v>
      </c>
      <c r="B5" s="102" t="s">
        <v>228</v>
      </c>
      <c r="C5" s="102"/>
      <c r="D5" s="102"/>
      <c r="E5" s="112" t="s">
        <v>2589</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f t="shared" ref="A11:A24" si="0">ROW(A11)-10</f>
        <v>1</v>
      </c>
      <c r="B11" s="109" t="s">
        <v>242</v>
      </c>
      <c r="C11" s="110" t="s">
        <v>243</v>
      </c>
      <c r="D11" s="123" t="s">
        <v>243</v>
      </c>
      <c r="E11" s="110" t="s">
        <v>243</v>
      </c>
      <c r="F11" s="111"/>
      <c r="G11" s="111" t="s">
        <v>564</v>
      </c>
      <c r="H11" s="111"/>
    </row>
    <row r="12" ht="17.25" spans="1:8">
      <c r="A12" s="102">
        <f t="shared" si="0"/>
        <v>2</v>
      </c>
      <c r="B12" s="109" t="s">
        <v>242</v>
      </c>
      <c r="C12" s="110" t="s">
        <v>2405</v>
      </c>
      <c r="D12" s="124" t="s">
        <v>2406</v>
      </c>
      <c r="E12" s="110" t="s">
        <v>2407</v>
      </c>
      <c r="F12" s="111"/>
      <c r="G12" s="111" t="s">
        <v>564</v>
      </c>
      <c r="H12" s="111"/>
    </row>
    <row r="13" ht="17.25" spans="1:12">
      <c r="A13" s="102">
        <f t="shared" si="0"/>
        <v>3</v>
      </c>
      <c r="B13" s="109" t="s">
        <v>242</v>
      </c>
      <c r="C13" s="111" t="s">
        <v>2410</v>
      </c>
      <c r="D13" s="126" t="s">
        <v>2411</v>
      </c>
      <c r="E13" s="110" t="s">
        <v>2412</v>
      </c>
      <c r="F13" s="111"/>
      <c r="G13" s="128" t="s">
        <v>571</v>
      </c>
      <c r="H13" s="111"/>
      <c r="I13" s="130" t="s">
        <v>2590</v>
      </c>
      <c r="J13" s="131" t="s">
        <v>243</v>
      </c>
      <c r="L13" s="100" t="s">
        <v>365</v>
      </c>
    </row>
    <row r="14" ht="17.25" spans="1:12">
      <c r="A14" s="102">
        <f t="shared" si="0"/>
        <v>4</v>
      </c>
      <c r="B14" s="109" t="s">
        <v>242</v>
      </c>
      <c r="C14" s="111" t="s">
        <v>1262</v>
      </c>
      <c r="D14" s="126" t="s">
        <v>1262</v>
      </c>
      <c r="E14" s="110" t="s">
        <v>353</v>
      </c>
      <c r="F14" s="111"/>
      <c r="G14" s="128" t="s">
        <v>248</v>
      </c>
      <c r="H14" s="111"/>
      <c r="I14" s="130" t="s">
        <v>352</v>
      </c>
      <c r="J14" s="131" t="s">
        <v>353</v>
      </c>
      <c r="L14" s="100" t="s">
        <v>365</v>
      </c>
    </row>
    <row r="15" ht="17.25" spans="1:8">
      <c r="A15" s="102">
        <f t="shared" si="0"/>
        <v>5</v>
      </c>
      <c r="B15" s="109"/>
      <c r="C15" s="110" t="s">
        <v>2591</v>
      </c>
      <c r="D15" s="123" t="s">
        <v>2591</v>
      </c>
      <c r="E15" s="110" t="s">
        <v>365</v>
      </c>
      <c r="F15" s="111"/>
      <c r="G15" s="111" t="s">
        <v>320</v>
      </c>
      <c r="H15" s="111"/>
    </row>
    <row r="16" ht="17.25" spans="1:8">
      <c r="A16" s="102">
        <f t="shared" si="0"/>
        <v>6</v>
      </c>
      <c r="B16" s="109" t="s">
        <v>242</v>
      </c>
      <c r="C16" s="110" t="s">
        <v>2566</v>
      </c>
      <c r="D16" s="123" t="s">
        <v>2566</v>
      </c>
      <c r="E16" s="110" t="s">
        <v>2568</v>
      </c>
      <c r="F16" s="111"/>
      <c r="G16" s="111" t="s">
        <v>1202</v>
      </c>
      <c r="H16" s="111"/>
    </row>
    <row r="17" ht="17.25" spans="1:8">
      <c r="A17" s="102">
        <f t="shared" si="0"/>
        <v>7</v>
      </c>
      <c r="B17" s="109" t="s">
        <v>242</v>
      </c>
      <c r="C17" s="110" t="s">
        <v>2271</v>
      </c>
      <c r="D17" s="123" t="s">
        <v>2271</v>
      </c>
      <c r="E17" s="110" t="s">
        <v>2504</v>
      </c>
      <c r="F17" s="111"/>
      <c r="G17" s="111" t="s">
        <v>1849</v>
      </c>
      <c r="H17" s="111"/>
    </row>
    <row r="18" ht="17.25" spans="1:8">
      <c r="A18" s="102">
        <f t="shared" si="0"/>
        <v>8</v>
      </c>
      <c r="B18" s="109"/>
      <c r="C18" s="111" t="s">
        <v>2524</v>
      </c>
      <c r="D18" s="126" t="s">
        <v>2524</v>
      </c>
      <c r="E18" s="111" t="s">
        <v>527</v>
      </c>
      <c r="F18" s="111"/>
      <c r="G18" s="111" t="s">
        <v>2416</v>
      </c>
      <c r="H18" s="111"/>
    </row>
    <row r="19" ht="17.25" spans="1:8">
      <c r="A19" s="102">
        <f t="shared" si="0"/>
        <v>9</v>
      </c>
      <c r="B19" s="109" t="s">
        <v>242</v>
      </c>
      <c r="C19" s="111" t="s">
        <v>2592</v>
      </c>
      <c r="D19" s="126" t="s">
        <v>2592</v>
      </c>
      <c r="E19" s="111" t="s">
        <v>2565</v>
      </c>
      <c r="F19" s="111"/>
      <c r="G19" s="111" t="s">
        <v>263</v>
      </c>
      <c r="H19" s="111"/>
    </row>
    <row r="20" ht="17.25" spans="1:8">
      <c r="A20" s="102">
        <f t="shared" si="0"/>
        <v>10</v>
      </c>
      <c r="B20" s="111"/>
      <c r="C20" s="111" t="s">
        <v>2573</v>
      </c>
      <c r="D20" s="126" t="s">
        <v>2573</v>
      </c>
      <c r="E20" s="111" t="s">
        <v>2574</v>
      </c>
      <c r="F20" s="111"/>
      <c r="G20" s="111" t="s">
        <v>320</v>
      </c>
      <c r="H20" s="111"/>
    </row>
    <row r="21" ht="17.25" spans="1:8">
      <c r="A21" s="102">
        <f t="shared" si="0"/>
        <v>11</v>
      </c>
      <c r="B21" s="111"/>
      <c r="C21" s="111" t="s">
        <v>2593</v>
      </c>
      <c r="D21" s="126" t="s">
        <v>2593</v>
      </c>
      <c r="E21" s="111" t="s">
        <v>2594</v>
      </c>
      <c r="F21" s="111"/>
      <c r="G21" s="111" t="s">
        <v>320</v>
      </c>
      <c r="H21" s="111"/>
    </row>
    <row r="22" ht="17.25" spans="1:8">
      <c r="A22" s="102">
        <f t="shared" si="0"/>
        <v>12</v>
      </c>
      <c r="B22" s="111"/>
      <c r="C22" s="111" t="s">
        <v>2595</v>
      </c>
      <c r="D22" s="126" t="s">
        <v>2595</v>
      </c>
      <c r="E22" s="111" t="s">
        <v>2596</v>
      </c>
      <c r="F22" s="111"/>
      <c r="G22" s="111" t="s">
        <v>263</v>
      </c>
      <c r="H22" s="111"/>
    </row>
    <row r="23" ht="17.25" spans="1:8">
      <c r="A23" s="102">
        <f t="shared" si="0"/>
        <v>13</v>
      </c>
      <c r="B23" s="109" t="s">
        <v>242</v>
      </c>
      <c r="C23" s="111" t="s">
        <v>2597</v>
      </c>
      <c r="D23" s="126" t="s">
        <v>2597</v>
      </c>
      <c r="E23" s="111" t="s">
        <v>2598</v>
      </c>
      <c r="F23" s="111"/>
      <c r="G23" s="111" t="s">
        <v>1552</v>
      </c>
      <c r="H23" s="111"/>
    </row>
    <row r="24" ht="17.25" spans="1:8">
      <c r="A24" s="102">
        <f t="shared" si="0"/>
        <v>14</v>
      </c>
      <c r="B24" s="111"/>
      <c r="C24" s="111" t="s">
        <v>2599</v>
      </c>
      <c r="D24" s="126" t="s">
        <v>2599</v>
      </c>
      <c r="E24" s="111" t="s">
        <v>2600</v>
      </c>
      <c r="F24" s="111" t="s">
        <v>2601</v>
      </c>
      <c r="G24" s="111" t="s">
        <v>2545</v>
      </c>
      <c r="H24" s="111"/>
    </row>
    <row r="25" ht="17.25" spans="1:8">
      <c r="A25" s="102">
        <f t="shared" ref="A25" si="1">ROW(A25)-10</f>
        <v>15</v>
      </c>
      <c r="B25" s="109"/>
      <c r="C25" s="111" t="s">
        <v>2434</v>
      </c>
      <c r="D25" s="126" t="s">
        <v>2434</v>
      </c>
      <c r="E25" s="111" t="s">
        <v>2435</v>
      </c>
      <c r="F25" s="111"/>
      <c r="G25" s="111" t="s">
        <v>282</v>
      </c>
      <c r="H25"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I12" sqref="I12:J12"/>
    </sheetView>
  </sheetViews>
  <sheetFormatPr defaultColWidth="9" defaultRowHeight="13.5"/>
  <cols>
    <col min="1" max="2" width="9" style="100"/>
    <col min="3" max="3" width="13.5" style="100" customWidth="1"/>
    <col min="4" max="4" width="17.1666666666667" style="100" customWidth="1"/>
    <col min="5" max="5" width="14.6666666666667" style="100" customWidth="1"/>
    <col min="6" max="6" width="9" style="100"/>
    <col min="7" max="7" width="15.1666666666667" style="100" customWidth="1"/>
    <col min="8" max="8" width="9" style="100"/>
    <col min="9" max="9" width="11.5" style="100" customWidth="1"/>
    <col min="10" max="10" width="10.5" style="100" customWidth="1"/>
    <col min="11" max="16384" width="9" style="100"/>
  </cols>
  <sheetData>
    <row r="1" ht="14.25" spans="1:8">
      <c r="A1" s="103" t="s">
        <v>223</v>
      </c>
      <c r="B1" s="102" t="s">
        <v>191</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2602</v>
      </c>
      <c r="F4" s="112"/>
      <c r="G4" s="112"/>
      <c r="H4" s="112"/>
    </row>
    <row r="5" ht="17.25" spans="1:8">
      <c r="A5" s="102">
        <v>2</v>
      </c>
      <c r="B5" s="102" t="s">
        <v>228</v>
      </c>
      <c r="C5" s="102"/>
      <c r="D5" s="102"/>
      <c r="E5" s="112" t="s">
        <v>2603</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2604</v>
      </c>
      <c r="D12" s="114" t="s">
        <v>2605</v>
      </c>
      <c r="E12" s="110" t="s">
        <v>2606</v>
      </c>
      <c r="F12" s="111"/>
      <c r="G12" s="111" t="s">
        <v>564</v>
      </c>
      <c r="H12" s="111"/>
      <c r="I12" s="100" t="s">
        <v>2588</v>
      </c>
      <c r="J12" s="100" t="s">
        <v>243</v>
      </c>
      <c r="L12" s="122" t="s">
        <v>365</v>
      </c>
    </row>
    <row r="13" ht="17.25" spans="1:12">
      <c r="A13" s="102">
        <v>3</v>
      </c>
      <c r="B13" s="109" t="s">
        <v>242</v>
      </c>
      <c r="C13" s="110" t="s">
        <v>2497</v>
      </c>
      <c r="D13" s="114" t="s">
        <v>2497</v>
      </c>
      <c r="E13" s="110" t="s">
        <v>2607</v>
      </c>
      <c r="F13" s="111"/>
      <c r="G13" s="111" t="s">
        <v>564</v>
      </c>
      <c r="H13" s="111"/>
      <c r="I13" s="100" t="s">
        <v>249</v>
      </c>
      <c r="J13" s="100" t="s">
        <v>247</v>
      </c>
      <c r="L13" s="122" t="s">
        <v>365</v>
      </c>
    </row>
    <row r="14" ht="17.25" spans="1:8">
      <c r="A14" s="102">
        <v>4</v>
      </c>
      <c r="B14" s="109" t="s">
        <v>242</v>
      </c>
      <c r="C14" s="110" t="s">
        <v>2608</v>
      </c>
      <c r="D14" s="114" t="s">
        <v>2608</v>
      </c>
      <c r="E14" s="110" t="s">
        <v>2609</v>
      </c>
      <c r="F14" s="111"/>
      <c r="G14" s="111" t="s">
        <v>2545</v>
      </c>
      <c r="H14" s="111"/>
    </row>
    <row r="15" ht="17.25" spans="1:8">
      <c r="A15" s="102">
        <v>5</v>
      </c>
      <c r="B15" s="109" t="s">
        <v>242</v>
      </c>
      <c r="C15" s="110" t="s">
        <v>2610</v>
      </c>
      <c r="D15" s="114" t="s">
        <v>2610</v>
      </c>
      <c r="E15" s="110" t="s">
        <v>2611</v>
      </c>
      <c r="F15" s="111"/>
      <c r="G15" s="111" t="s">
        <v>1202</v>
      </c>
      <c r="H15" s="111"/>
    </row>
    <row r="16" ht="17.25" spans="1:8">
      <c r="A16" s="102">
        <v>6</v>
      </c>
      <c r="B16" s="111"/>
      <c r="C16" s="111" t="s">
        <v>2612</v>
      </c>
      <c r="D16" s="120" t="s">
        <v>2612</v>
      </c>
      <c r="E16" s="111" t="s">
        <v>2613</v>
      </c>
      <c r="F16" s="111"/>
      <c r="G16" s="111" t="s">
        <v>576</v>
      </c>
      <c r="H16" s="111"/>
    </row>
    <row r="17" ht="17.25" spans="1:8">
      <c r="A17" s="102">
        <v>7</v>
      </c>
      <c r="B17" s="111"/>
      <c r="C17" s="111" t="s">
        <v>2614</v>
      </c>
      <c r="D17" s="120" t="s">
        <v>2614</v>
      </c>
      <c r="E17" s="111" t="s">
        <v>2615</v>
      </c>
      <c r="F17" s="111"/>
      <c r="G17" s="111" t="s">
        <v>2616</v>
      </c>
      <c r="H17" s="111"/>
    </row>
    <row r="18" ht="17.25" spans="1:8">
      <c r="A18" s="102">
        <v>8</v>
      </c>
      <c r="B18" s="111"/>
      <c r="C18" s="111" t="s">
        <v>2617</v>
      </c>
      <c r="D18" s="120" t="s">
        <v>2617</v>
      </c>
      <c r="E18" s="111" t="s">
        <v>2618</v>
      </c>
      <c r="F18" s="111"/>
      <c r="G18" s="111" t="s">
        <v>2545</v>
      </c>
      <c r="H18" s="111"/>
    </row>
    <row r="19" ht="17.25" spans="1:8">
      <c r="A19" s="102">
        <v>9</v>
      </c>
      <c r="B19" s="111"/>
      <c r="C19" s="111" t="s">
        <v>2619</v>
      </c>
      <c r="D19" s="120" t="s">
        <v>2619</v>
      </c>
      <c r="E19" s="111" t="s">
        <v>2620</v>
      </c>
      <c r="F19" s="111"/>
      <c r="G19" s="111" t="s">
        <v>576</v>
      </c>
      <c r="H19"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300" verticalDpi="300"/>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4" workbookViewId="0">
      <selection activeCell="I13" sqref="I13"/>
    </sheetView>
  </sheetViews>
  <sheetFormatPr defaultColWidth="9" defaultRowHeight="13.5"/>
  <cols>
    <col min="1" max="2" width="9" style="100"/>
    <col min="3" max="4" width="16.6666666666667" style="100" customWidth="1"/>
    <col min="5" max="5" width="16.1666666666667" style="100" customWidth="1"/>
    <col min="6" max="6" width="20.1666666666667" style="100" customWidth="1"/>
    <col min="7" max="7" width="16.8333333333333" style="100" customWidth="1"/>
    <col min="8" max="8" width="9" style="100"/>
    <col min="9" max="9" width="24.1666666666667" style="100" customWidth="1"/>
    <col min="10" max="10" width="18.3333333333333" style="100" customWidth="1"/>
    <col min="11" max="11" width="14.3333333333333" style="100" customWidth="1"/>
    <col min="12" max="16384" width="9" style="100"/>
  </cols>
  <sheetData>
    <row r="1" ht="14.25" spans="1:8">
      <c r="A1" s="103" t="s">
        <v>223</v>
      </c>
      <c r="B1" s="102" t="s">
        <v>192</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2621</v>
      </c>
      <c r="F4" s="112"/>
      <c r="G4" s="112"/>
      <c r="H4" s="112"/>
    </row>
    <row r="5" ht="17.25" spans="1:8">
      <c r="A5" s="102">
        <v>2</v>
      </c>
      <c r="B5" s="102" t="s">
        <v>228</v>
      </c>
      <c r="C5" s="102"/>
      <c r="D5" s="102"/>
      <c r="E5" s="112" t="s">
        <v>2622</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f t="shared" ref="A11:A25" si="0">ROW(A11)-10</f>
        <v>1</v>
      </c>
      <c r="B11" s="109" t="s">
        <v>242</v>
      </c>
      <c r="C11" s="110" t="s">
        <v>243</v>
      </c>
      <c r="D11" s="123" t="s">
        <v>243</v>
      </c>
      <c r="E11" s="110" t="s">
        <v>243</v>
      </c>
      <c r="F11" s="121"/>
      <c r="G11" s="111" t="s">
        <v>564</v>
      </c>
      <c r="H11" s="111"/>
    </row>
    <row r="12" ht="17.25" spans="1:8">
      <c r="A12" s="102">
        <f t="shared" si="0"/>
        <v>2</v>
      </c>
      <c r="B12" s="109" t="s">
        <v>242</v>
      </c>
      <c r="C12" s="110" t="s">
        <v>2405</v>
      </c>
      <c r="D12" s="124" t="s">
        <v>2406</v>
      </c>
      <c r="E12" s="110" t="s">
        <v>2407</v>
      </c>
      <c r="F12" s="121"/>
      <c r="G12" s="111" t="s">
        <v>564</v>
      </c>
      <c r="H12" s="111"/>
    </row>
    <row r="13" ht="17.25" spans="1:12">
      <c r="A13" s="102">
        <f t="shared" si="0"/>
        <v>3</v>
      </c>
      <c r="B13" s="109" t="s">
        <v>242</v>
      </c>
      <c r="C13" s="111" t="s">
        <v>2410</v>
      </c>
      <c r="D13" s="126" t="s">
        <v>2623</v>
      </c>
      <c r="E13" s="110" t="s">
        <v>2412</v>
      </c>
      <c r="F13" s="111"/>
      <c r="G13" s="128" t="s">
        <v>571</v>
      </c>
      <c r="H13" s="111"/>
      <c r="I13" s="130" t="s">
        <v>2590</v>
      </c>
      <c r="J13" s="131" t="s">
        <v>243</v>
      </c>
      <c r="L13" s="122" t="s">
        <v>365</v>
      </c>
    </row>
    <row r="14" ht="17.25" spans="1:12">
      <c r="A14" s="102">
        <f t="shared" si="0"/>
        <v>4</v>
      </c>
      <c r="B14" s="109" t="s">
        <v>242</v>
      </c>
      <c r="C14" s="111" t="s">
        <v>1262</v>
      </c>
      <c r="D14" s="126" t="s">
        <v>1262</v>
      </c>
      <c r="E14" s="110" t="s">
        <v>353</v>
      </c>
      <c r="F14" s="111"/>
      <c r="G14" s="128" t="s">
        <v>248</v>
      </c>
      <c r="H14" s="111"/>
      <c r="I14" s="130" t="s">
        <v>352</v>
      </c>
      <c r="J14" s="131" t="s">
        <v>353</v>
      </c>
      <c r="L14" s="122" t="s">
        <v>365</v>
      </c>
    </row>
    <row r="15" ht="54" spans="1:12">
      <c r="A15" s="102">
        <f t="shared" si="0"/>
        <v>5</v>
      </c>
      <c r="B15" s="109" t="s">
        <v>242</v>
      </c>
      <c r="C15" s="110" t="s">
        <v>2563</v>
      </c>
      <c r="D15" s="123" t="s">
        <v>2563</v>
      </c>
      <c r="E15" s="110" t="s">
        <v>2624</v>
      </c>
      <c r="F15" s="121" t="s">
        <v>2625</v>
      </c>
      <c r="G15" s="111" t="s">
        <v>1939</v>
      </c>
      <c r="H15" s="111"/>
      <c r="I15" s="100" t="s">
        <v>264</v>
      </c>
      <c r="J15" s="100" t="s">
        <v>265</v>
      </c>
      <c r="K15" s="100" t="s">
        <v>2624</v>
      </c>
      <c r="L15" s="122" t="s">
        <v>365</v>
      </c>
    </row>
    <row r="16" ht="17.25" spans="1:8">
      <c r="A16" s="102">
        <f t="shared" si="0"/>
        <v>6</v>
      </c>
      <c r="B16" s="109" t="s">
        <v>242</v>
      </c>
      <c r="C16" s="110" t="s">
        <v>974</v>
      </c>
      <c r="D16" s="123" t="s">
        <v>974</v>
      </c>
      <c r="E16" s="110" t="s">
        <v>365</v>
      </c>
      <c r="F16" s="121"/>
      <c r="G16" s="111" t="s">
        <v>320</v>
      </c>
      <c r="H16" s="111"/>
    </row>
    <row r="17" ht="17.25" spans="1:8">
      <c r="A17" s="102">
        <f t="shared" si="0"/>
        <v>7</v>
      </c>
      <c r="B17" s="109" t="s">
        <v>242</v>
      </c>
      <c r="C17" s="110" t="s">
        <v>2626</v>
      </c>
      <c r="D17" s="123" t="s">
        <v>2626</v>
      </c>
      <c r="E17" s="110" t="s">
        <v>1918</v>
      </c>
      <c r="F17" s="121"/>
      <c r="G17" s="111" t="s">
        <v>1647</v>
      </c>
      <c r="H17" s="111"/>
    </row>
    <row r="18" ht="17.25" spans="1:8">
      <c r="A18" s="102">
        <f t="shared" si="0"/>
        <v>8</v>
      </c>
      <c r="B18" s="109" t="s">
        <v>242</v>
      </c>
      <c r="C18" s="111" t="s">
        <v>2414</v>
      </c>
      <c r="D18" s="126" t="s">
        <v>2414</v>
      </c>
      <c r="E18" s="111" t="s">
        <v>483</v>
      </c>
      <c r="F18" s="121"/>
      <c r="G18" s="111" t="s">
        <v>2416</v>
      </c>
      <c r="H18" s="111"/>
    </row>
    <row r="19" ht="17.25" spans="1:8">
      <c r="A19" s="102">
        <f t="shared" si="0"/>
        <v>9</v>
      </c>
      <c r="B19" s="111"/>
      <c r="C19" s="111" t="s">
        <v>287</v>
      </c>
      <c r="D19" s="126" t="s">
        <v>287</v>
      </c>
      <c r="E19" s="111" t="s">
        <v>486</v>
      </c>
      <c r="F19" s="121"/>
      <c r="G19" s="111" t="s">
        <v>2416</v>
      </c>
      <c r="H19" s="111"/>
    </row>
    <row r="20" ht="17.25" spans="1:8">
      <c r="A20" s="102">
        <f t="shared" si="0"/>
        <v>10</v>
      </c>
      <c r="B20" s="109" t="s">
        <v>242</v>
      </c>
      <c r="C20" s="111" t="s">
        <v>2566</v>
      </c>
      <c r="D20" s="126" t="s">
        <v>2566</v>
      </c>
      <c r="E20" s="111" t="s">
        <v>2568</v>
      </c>
      <c r="F20" s="121"/>
      <c r="G20" s="111" t="s">
        <v>2627</v>
      </c>
      <c r="H20" s="111"/>
    </row>
    <row r="21" ht="17.25" spans="1:8">
      <c r="A21" s="102">
        <f t="shared" si="0"/>
        <v>11</v>
      </c>
      <c r="B21" s="111"/>
      <c r="C21" s="111" t="s">
        <v>2271</v>
      </c>
      <c r="D21" s="126" t="s">
        <v>2271</v>
      </c>
      <c r="E21" s="111" t="s">
        <v>2504</v>
      </c>
      <c r="F21" s="121"/>
      <c r="G21" s="111" t="s">
        <v>1849</v>
      </c>
      <c r="H21" s="111"/>
    </row>
    <row r="22" ht="54" spans="1:8">
      <c r="A22" s="102">
        <f t="shared" si="0"/>
        <v>12</v>
      </c>
      <c r="B22" s="111"/>
      <c r="C22" s="111" t="s">
        <v>2628</v>
      </c>
      <c r="D22" s="129" t="s">
        <v>2628</v>
      </c>
      <c r="E22" s="111" t="s">
        <v>2565</v>
      </c>
      <c r="F22" s="121" t="s">
        <v>2629</v>
      </c>
      <c r="G22" s="111" t="s">
        <v>1849</v>
      </c>
      <c r="H22" s="111"/>
    </row>
    <row r="23" ht="27" spans="1:8">
      <c r="A23" s="102">
        <f t="shared" si="0"/>
        <v>13</v>
      </c>
      <c r="B23" s="111"/>
      <c r="C23" s="111" t="s">
        <v>2630</v>
      </c>
      <c r="D23" s="126" t="s">
        <v>2630</v>
      </c>
      <c r="E23" s="111" t="s">
        <v>954</v>
      </c>
      <c r="F23" s="121" t="s">
        <v>2553</v>
      </c>
      <c r="G23" s="111" t="s">
        <v>1552</v>
      </c>
      <c r="H23" s="111"/>
    </row>
    <row r="24" ht="17.25" spans="1:8">
      <c r="A24" s="102">
        <f t="shared" si="0"/>
        <v>14</v>
      </c>
      <c r="B24" s="111"/>
      <c r="C24" s="111" t="s">
        <v>2631</v>
      </c>
      <c r="D24" s="126" t="s">
        <v>2631</v>
      </c>
      <c r="E24" s="111" t="s">
        <v>2632</v>
      </c>
      <c r="F24" s="121"/>
      <c r="G24" s="111" t="s">
        <v>1849</v>
      </c>
      <c r="H24" s="111"/>
    </row>
    <row r="25" ht="17.25" spans="1:8">
      <c r="A25" s="102">
        <f t="shared" si="0"/>
        <v>15</v>
      </c>
      <c r="B25" s="109"/>
      <c r="C25" s="111" t="s">
        <v>2434</v>
      </c>
      <c r="D25" s="126" t="s">
        <v>2434</v>
      </c>
      <c r="E25" s="111" t="s">
        <v>2435</v>
      </c>
      <c r="F25" s="111"/>
      <c r="G25" s="111" t="s">
        <v>282</v>
      </c>
      <c r="H25"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selection activeCell="A12" sqref="A12:A16"/>
    </sheetView>
  </sheetViews>
  <sheetFormatPr defaultColWidth="9" defaultRowHeight="13.5"/>
  <cols>
    <col min="1" max="4" width="9" style="100"/>
    <col min="5" max="5" width="15.1666666666667" style="100" customWidth="1"/>
    <col min="6" max="6" width="20" style="100" customWidth="1"/>
    <col min="7" max="7" width="16.3333333333333" style="100" customWidth="1"/>
    <col min="8" max="8" width="9" style="100"/>
    <col min="9" max="9" width="12.75" style="100" customWidth="1"/>
    <col min="10" max="10" width="10.25" style="100" customWidth="1"/>
    <col min="11" max="16384" width="9" style="100"/>
  </cols>
  <sheetData>
    <row r="1" ht="14.25" spans="1:8">
      <c r="A1" s="103" t="s">
        <v>223</v>
      </c>
      <c r="B1" s="102" t="s">
        <v>193</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2633</v>
      </c>
      <c r="F4" s="112"/>
      <c r="G4" s="112"/>
      <c r="H4" s="112"/>
    </row>
    <row r="5" ht="17.25" spans="1:8">
      <c r="A5" s="102">
        <v>2</v>
      </c>
      <c r="B5" s="102" t="s">
        <v>228</v>
      </c>
      <c r="C5" s="102"/>
      <c r="D5" s="102"/>
      <c r="E5" s="112" t="s">
        <v>2634</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2635</v>
      </c>
      <c r="D12" s="114" t="s">
        <v>2636</v>
      </c>
      <c r="E12" s="110" t="s">
        <v>2637</v>
      </c>
      <c r="F12" s="111"/>
      <c r="G12" s="111" t="s">
        <v>564</v>
      </c>
      <c r="H12" s="111"/>
      <c r="I12" s="100" t="s">
        <v>2621</v>
      </c>
      <c r="J12" s="100" t="s">
        <v>243</v>
      </c>
      <c r="L12" s="122" t="s">
        <v>365</v>
      </c>
    </row>
    <row r="13" ht="17.25" spans="1:12">
      <c r="A13" s="102">
        <v>3</v>
      </c>
      <c r="B13" s="109" t="s">
        <v>242</v>
      </c>
      <c r="C13" s="110" t="s">
        <v>2497</v>
      </c>
      <c r="D13" s="114" t="s">
        <v>2497</v>
      </c>
      <c r="E13" s="110" t="s">
        <v>247</v>
      </c>
      <c r="F13" s="111"/>
      <c r="G13" s="111" t="s">
        <v>564</v>
      </c>
      <c r="H13" s="111"/>
      <c r="I13" s="100" t="s">
        <v>249</v>
      </c>
      <c r="J13" s="100" t="s">
        <v>247</v>
      </c>
      <c r="L13" s="122" t="s">
        <v>365</v>
      </c>
    </row>
    <row r="14" ht="17.25" spans="1:8">
      <c r="A14" s="102">
        <v>4</v>
      </c>
      <c r="B14" s="111"/>
      <c r="C14" s="111" t="s">
        <v>2610</v>
      </c>
      <c r="D14" s="120" t="s">
        <v>2610</v>
      </c>
      <c r="E14" s="111" t="s">
        <v>2611</v>
      </c>
      <c r="F14" s="111"/>
      <c r="G14" s="111" t="s">
        <v>2627</v>
      </c>
      <c r="H14" s="111"/>
    </row>
    <row r="15" ht="17.25" spans="1:8">
      <c r="A15" s="102">
        <v>5</v>
      </c>
      <c r="B15" s="111"/>
      <c r="C15" s="111" t="s">
        <v>2638</v>
      </c>
      <c r="D15" s="120" t="s">
        <v>2638</v>
      </c>
      <c r="E15" s="111" t="s">
        <v>2639</v>
      </c>
      <c r="F15" s="121"/>
      <c r="G15" s="111" t="s">
        <v>1849</v>
      </c>
      <c r="H15" s="111"/>
    </row>
    <row r="16" ht="17.25" spans="1:8">
      <c r="A16" s="102">
        <v>6</v>
      </c>
      <c r="B16" s="111"/>
      <c r="C16" s="111" t="s">
        <v>2586</v>
      </c>
      <c r="D16" s="120" t="s">
        <v>2586</v>
      </c>
      <c r="E16" s="111" t="s">
        <v>2587</v>
      </c>
      <c r="F16" s="111"/>
      <c r="G16" s="111" t="s">
        <v>2545</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I12" sqref="I12:L12"/>
    </sheetView>
  </sheetViews>
  <sheetFormatPr defaultColWidth="9" defaultRowHeight="13.5"/>
  <cols>
    <col min="1" max="5" width="9" style="100"/>
    <col min="6" max="6" width="16.1666666666667" style="100" customWidth="1"/>
    <col min="7" max="7" width="15.8333333333333" style="100" customWidth="1"/>
    <col min="8" max="8" width="9" style="100"/>
    <col min="9" max="9" width="12.625" style="100" customWidth="1"/>
    <col min="10" max="16384" width="9" style="100"/>
  </cols>
  <sheetData>
    <row r="1" ht="14.25" spans="1:8">
      <c r="A1" s="103" t="s">
        <v>223</v>
      </c>
      <c r="B1" s="102" t="s">
        <v>194</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2640</v>
      </c>
      <c r="F4" s="112"/>
      <c r="G4" s="112"/>
      <c r="H4" s="112"/>
    </row>
    <row r="5" ht="17.25" spans="1:8">
      <c r="A5" s="102">
        <v>2</v>
      </c>
      <c r="B5" s="102" t="s">
        <v>228</v>
      </c>
      <c r="C5" s="102"/>
      <c r="D5" s="102"/>
      <c r="E5" s="112" t="s">
        <v>2641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23" t="s">
        <v>243</v>
      </c>
      <c r="E11" s="110" t="s">
        <v>243</v>
      </c>
      <c r="F11" s="111"/>
      <c r="G11" s="111" t="s">
        <v>564</v>
      </c>
      <c r="H11" s="111"/>
    </row>
    <row r="12" ht="24" spans="1:12">
      <c r="A12" s="102">
        <v>2</v>
      </c>
      <c r="B12" s="109" t="s">
        <v>242</v>
      </c>
      <c r="C12" s="110" t="s">
        <v>2635</v>
      </c>
      <c r="D12" s="123" t="s">
        <v>2642</v>
      </c>
      <c r="E12" s="110" t="s">
        <v>2637</v>
      </c>
      <c r="F12" s="111"/>
      <c r="G12" s="111" t="s">
        <v>564</v>
      </c>
      <c r="H12" s="111"/>
      <c r="I12" s="100" t="s">
        <v>2621</v>
      </c>
      <c r="J12" s="100" t="s">
        <v>243</v>
      </c>
      <c r="L12" s="122" t="s">
        <v>365</v>
      </c>
    </row>
    <row r="13" ht="17.25" spans="1:8">
      <c r="A13" s="102">
        <v>3</v>
      </c>
      <c r="B13" s="109" t="s">
        <v>242</v>
      </c>
      <c r="C13" s="110" t="s">
        <v>1314</v>
      </c>
      <c r="D13" s="123" t="s">
        <v>1314</v>
      </c>
      <c r="E13" s="110" t="s">
        <v>265</v>
      </c>
      <c r="F13" s="111" t="s">
        <v>2643</v>
      </c>
      <c r="G13" s="111" t="s">
        <v>1352</v>
      </c>
      <c r="H13" s="111"/>
    </row>
    <row r="14" ht="17.25" spans="1:8">
      <c r="A14" s="102">
        <v>4</v>
      </c>
      <c r="B14" s="109" t="s">
        <v>242</v>
      </c>
      <c r="C14" s="110" t="s">
        <v>2644</v>
      </c>
      <c r="D14" s="123" t="s">
        <v>2644</v>
      </c>
      <c r="E14" s="110" t="s">
        <v>2645</v>
      </c>
      <c r="F14" s="111"/>
      <c r="G14" s="111" t="s">
        <v>1352</v>
      </c>
      <c r="H14"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8"/>
  <sheetViews>
    <sheetView workbookViewId="0">
      <selection activeCell="E4" sqref="E4:H4"/>
    </sheetView>
  </sheetViews>
  <sheetFormatPr defaultColWidth="9" defaultRowHeight="13.5"/>
  <cols>
    <col min="1" max="2" width="9" style="100"/>
    <col min="3" max="4" width="13.8333333333333" style="100" customWidth="1"/>
    <col min="5" max="5" width="9" style="100"/>
    <col min="6" max="6" width="19.6666666666667" style="100" customWidth="1"/>
    <col min="7" max="7" width="15.1666666666667" style="100" customWidth="1"/>
    <col min="8" max="16384" width="9" style="100"/>
  </cols>
  <sheetData>
    <row r="1" ht="14.25" spans="1:8">
      <c r="A1" s="103" t="s">
        <v>223</v>
      </c>
      <c r="B1" s="102" t="s">
        <v>195</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2646</v>
      </c>
      <c r="F4" s="112"/>
      <c r="G4" s="112"/>
      <c r="H4" s="112"/>
    </row>
    <row r="5" ht="17.25" spans="1:8">
      <c r="A5" s="102">
        <v>2</v>
      </c>
      <c r="B5" s="102" t="s">
        <v>228</v>
      </c>
      <c r="C5" s="102"/>
      <c r="D5" s="102"/>
      <c r="E5" s="112" t="s">
        <v>2647</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7" t="s">
        <v>237</v>
      </c>
      <c r="E10" s="17" t="s">
        <v>238</v>
      </c>
      <c r="F10" s="17" t="s">
        <v>239</v>
      </c>
      <c r="G10" s="17" t="s">
        <v>240</v>
      </c>
      <c r="H10" s="17" t="s">
        <v>241</v>
      </c>
    </row>
    <row r="11" ht="17.25" spans="1:8">
      <c r="A11" s="102">
        <v>1</v>
      </c>
      <c r="B11" s="109" t="s">
        <v>242</v>
      </c>
      <c r="C11" s="110" t="s">
        <v>243</v>
      </c>
      <c r="D11" s="123" t="s">
        <v>243</v>
      </c>
      <c r="E11" s="110" t="s">
        <v>243</v>
      </c>
      <c r="F11" s="111"/>
      <c r="G11" s="111" t="s">
        <v>564</v>
      </c>
      <c r="H11" s="111"/>
    </row>
    <row r="12" ht="17.25" spans="1:12">
      <c r="A12" s="102">
        <v>2</v>
      </c>
      <c r="B12" s="109" t="s">
        <v>242</v>
      </c>
      <c r="C12" s="110" t="s">
        <v>2635</v>
      </c>
      <c r="D12" s="123" t="s">
        <v>2642</v>
      </c>
      <c r="E12" s="110" t="s">
        <v>2637</v>
      </c>
      <c r="G12" s="111" t="s">
        <v>564</v>
      </c>
      <c r="H12" s="111"/>
      <c r="I12" s="100" t="s">
        <v>2621</v>
      </c>
      <c r="J12" s="100" t="s">
        <v>243</v>
      </c>
      <c r="L12" s="122" t="s">
        <v>365</v>
      </c>
    </row>
    <row r="13" ht="17.25" spans="1:8">
      <c r="A13" s="102">
        <v>3</v>
      </c>
      <c r="B13" s="109" t="s">
        <v>242</v>
      </c>
      <c r="C13" s="110" t="s">
        <v>2648</v>
      </c>
      <c r="D13" s="124" t="s">
        <v>2648</v>
      </c>
      <c r="E13" s="110" t="s">
        <v>2649</v>
      </c>
      <c r="F13" s="111" t="s">
        <v>2650</v>
      </c>
      <c r="G13" s="111" t="s">
        <v>263</v>
      </c>
      <c r="H13" s="111"/>
    </row>
    <row r="14" ht="17.25" spans="1:8">
      <c r="A14" s="102">
        <v>4</v>
      </c>
      <c r="B14" s="109" t="s">
        <v>242</v>
      </c>
      <c r="C14" s="116" t="s">
        <v>2651</v>
      </c>
      <c r="D14" s="125" t="s">
        <v>2651</v>
      </c>
      <c r="E14" s="116" t="s">
        <v>2652</v>
      </c>
      <c r="F14" s="117" t="s">
        <v>2653</v>
      </c>
      <c r="G14" s="117" t="s">
        <v>564</v>
      </c>
      <c r="H14" s="117"/>
    </row>
    <row r="15" ht="17.25" spans="1:8">
      <c r="A15" s="102">
        <v>5</v>
      </c>
      <c r="B15" s="109" t="s">
        <v>242</v>
      </c>
      <c r="C15" s="110" t="s">
        <v>1350</v>
      </c>
      <c r="D15" s="123" t="s">
        <v>1350</v>
      </c>
      <c r="E15" s="110" t="s">
        <v>2522</v>
      </c>
      <c r="F15" s="111"/>
      <c r="G15" s="111" t="s">
        <v>1647</v>
      </c>
      <c r="H15" s="111"/>
    </row>
    <row r="16" ht="17.25" spans="1:8">
      <c r="A16" s="102">
        <v>6</v>
      </c>
      <c r="B16" s="109" t="s">
        <v>242</v>
      </c>
      <c r="C16" s="110" t="s">
        <v>2654</v>
      </c>
      <c r="D16" s="123" t="s">
        <v>2654</v>
      </c>
      <c r="E16" s="110" t="s">
        <v>527</v>
      </c>
      <c r="F16" s="111"/>
      <c r="G16" s="111" t="s">
        <v>2416</v>
      </c>
      <c r="H16" s="111"/>
    </row>
    <row r="17" ht="17.25" spans="1:8">
      <c r="A17" s="102">
        <v>7</v>
      </c>
      <c r="B17" s="111"/>
      <c r="C17" s="111" t="s">
        <v>2610</v>
      </c>
      <c r="D17" s="126" t="s">
        <v>2610</v>
      </c>
      <c r="E17" s="111" t="s">
        <v>2611</v>
      </c>
      <c r="F17" s="111"/>
      <c r="G17" s="111" t="s">
        <v>2627</v>
      </c>
      <c r="H17" s="111"/>
    </row>
    <row r="18" ht="27" spans="1:11">
      <c r="A18" s="102">
        <v>8</v>
      </c>
      <c r="B18" s="111"/>
      <c r="C18" s="111" t="s">
        <v>2630</v>
      </c>
      <c r="D18" s="126" t="s">
        <v>2630</v>
      </c>
      <c r="E18" s="111" t="s">
        <v>954</v>
      </c>
      <c r="F18" s="121" t="s">
        <v>2553</v>
      </c>
      <c r="G18" s="111" t="s">
        <v>1552</v>
      </c>
      <c r="H18" s="111"/>
      <c r="K18" s="12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300" verticalDpi="300"/>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6"/>
  <sheetViews>
    <sheetView workbookViewId="0">
      <selection activeCell="L12" sqref="L12"/>
    </sheetView>
  </sheetViews>
  <sheetFormatPr defaultColWidth="9" defaultRowHeight="13.5"/>
  <cols>
    <col min="1" max="2" width="9" style="100"/>
    <col min="3" max="4" width="22.1666666666667" style="100" customWidth="1"/>
    <col min="5" max="5" width="9" style="100"/>
    <col min="6" max="6" width="20.8333333333333" style="100" customWidth="1"/>
    <col min="7" max="7" width="14.6666666666667" style="100" customWidth="1"/>
    <col min="8" max="8" width="9" style="100"/>
    <col min="9" max="9" width="18.6666666666667" style="100" customWidth="1"/>
    <col min="10" max="16384" width="9" style="100"/>
  </cols>
  <sheetData>
    <row r="1" ht="14.25" spans="1:8">
      <c r="A1" s="103" t="s">
        <v>223</v>
      </c>
      <c r="B1" s="102" t="s">
        <v>196</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2655</v>
      </c>
      <c r="F4" s="112"/>
      <c r="G4" s="112"/>
      <c r="H4" s="112"/>
    </row>
    <row r="5" ht="17.25" spans="1:8">
      <c r="A5" s="102">
        <v>2</v>
      </c>
      <c r="B5" s="102" t="s">
        <v>228</v>
      </c>
      <c r="C5" s="102"/>
      <c r="D5" s="102"/>
      <c r="E5" s="112" t="s">
        <v>2656</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2657</v>
      </c>
      <c r="D12" s="114" t="s">
        <v>2658</v>
      </c>
      <c r="E12" s="110" t="s">
        <v>2659</v>
      </c>
      <c r="F12" s="111"/>
      <c r="G12" s="111" t="s">
        <v>564</v>
      </c>
      <c r="H12" s="111"/>
      <c r="I12" s="100" t="s">
        <v>2646</v>
      </c>
      <c r="J12" s="100" t="s">
        <v>243</v>
      </c>
      <c r="L12" s="100" t="s">
        <v>2522</v>
      </c>
    </row>
    <row r="13" ht="17.25" spans="1:8">
      <c r="A13" s="102">
        <v>3</v>
      </c>
      <c r="B13" s="109" t="s">
        <v>242</v>
      </c>
      <c r="C13" s="110" t="s">
        <v>2648</v>
      </c>
      <c r="D13" s="114" t="s">
        <v>2648</v>
      </c>
      <c r="E13" s="110" t="s">
        <v>2649</v>
      </c>
      <c r="F13" s="111" t="s">
        <v>2650</v>
      </c>
      <c r="G13" s="111" t="s">
        <v>263</v>
      </c>
      <c r="H13" s="111"/>
    </row>
    <row r="14" ht="17.25" spans="1:8">
      <c r="A14" s="102">
        <v>4</v>
      </c>
      <c r="B14" s="109" t="s">
        <v>242</v>
      </c>
      <c r="C14" s="116" t="s">
        <v>2651</v>
      </c>
      <c r="D14" s="116" t="s">
        <v>2651</v>
      </c>
      <c r="E14" s="116" t="s">
        <v>2652</v>
      </c>
      <c r="F14" s="117" t="s">
        <v>2653</v>
      </c>
      <c r="G14" s="117" t="s">
        <v>564</v>
      </c>
      <c r="H14" s="117"/>
    </row>
    <row r="15" ht="17.25" spans="1:8">
      <c r="A15" s="102">
        <v>5</v>
      </c>
      <c r="B15" s="109" t="s">
        <v>242</v>
      </c>
      <c r="C15" s="111" t="s">
        <v>2660</v>
      </c>
      <c r="D15" s="120" t="s">
        <v>2660</v>
      </c>
      <c r="E15" s="111" t="s">
        <v>2504</v>
      </c>
      <c r="F15" s="111" t="s">
        <v>2661</v>
      </c>
      <c r="G15" s="111" t="s">
        <v>1849</v>
      </c>
      <c r="H15" s="111"/>
    </row>
    <row r="16" ht="17.25" spans="1:8">
      <c r="A16" s="102">
        <v>6</v>
      </c>
      <c r="B16" s="111"/>
      <c r="C16" s="111" t="s">
        <v>2610</v>
      </c>
      <c r="D16" s="120" t="s">
        <v>2610</v>
      </c>
      <c r="E16" s="111" t="s">
        <v>2611</v>
      </c>
      <c r="F16" s="111"/>
      <c r="G16" s="111" t="s">
        <v>2627</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E4" sqref="E4:H4"/>
    </sheetView>
  </sheetViews>
  <sheetFormatPr defaultColWidth="9" defaultRowHeight="13.5"/>
  <cols>
    <col min="1" max="2" width="9" style="100"/>
    <col min="3" max="4" width="12.1666666666667" style="100" customWidth="1"/>
    <col min="5" max="6" width="9" style="100"/>
    <col min="7" max="7" width="15.1666666666667" style="100" customWidth="1"/>
    <col min="8" max="8" width="9" style="100"/>
    <col min="9" max="9" width="23.625" style="100" customWidth="1"/>
    <col min="10" max="16384" width="9" style="100"/>
  </cols>
  <sheetData>
    <row r="1" ht="14.25" spans="1:8">
      <c r="A1" s="103" t="s">
        <v>223</v>
      </c>
      <c r="B1" s="102" t="s">
        <v>197</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2662</v>
      </c>
      <c r="F4" s="112"/>
      <c r="G4" s="112"/>
      <c r="H4" s="112"/>
    </row>
    <row r="5" ht="17.25" spans="1:8">
      <c r="A5" s="102">
        <v>2</v>
      </c>
      <c r="B5" s="102" t="s">
        <v>228</v>
      </c>
      <c r="C5" s="102"/>
      <c r="D5" s="102"/>
      <c r="E5" s="112" t="s">
        <v>2663</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23" t="s">
        <v>243</v>
      </c>
      <c r="E11" s="110" t="s">
        <v>243</v>
      </c>
      <c r="F11" s="111"/>
      <c r="G11" s="111" t="s">
        <v>564</v>
      </c>
      <c r="H11" s="111"/>
    </row>
    <row r="12" ht="17.25" spans="1:12">
      <c r="A12" s="102">
        <v>2</v>
      </c>
      <c r="B12" s="109" t="s">
        <v>242</v>
      </c>
      <c r="C12" s="110" t="s">
        <v>2636</v>
      </c>
      <c r="D12" s="123" t="s">
        <v>2636</v>
      </c>
      <c r="E12" s="110" t="s">
        <v>2637</v>
      </c>
      <c r="F12" s="111"/>
      <c r="G12" s="111" t="s">
        <v>564</v>
      </c>
      <c r="H12" s="111"/>
      <c r="I12" s="100" t="s">
        <v>2621</v>
      </c>
      <c r="J12" s="100" t="s">
        <v>243</v>
      </c>
      <c r="L12" s="122" t="s">
        <v>365</v>
      </c>
    </row>
    <row r="13" ht="24" spans="1:12">
      <c r="A13" s="102">
        <v>3</v>
      </c>
      <c r="B13" s="109" t="s">
        <v>242</v>
      </c>
      <c r="C13" s="110" t="s">
        <v>2657</v>
      </c>
      <c r="D13" s="123" t="s">
        <v>2658</v>
      </c>
      <c r="E13" s="110" t="s">
        <v>2659</v>
      </c>
      <c r="F13" s="111"/>
      <c r="G13" s="111" t="s">
        <v>564</v>
      </c>
      <c r="H13" s="111"/>
      <c r="I13" s="100" t="s">
        <v>2646</v>
      </c>
      <c r="J13" s="100" t="s">
        <v>243</v>
      </c>
      <c r="L13" s="100" t="s">
        <v>2522</v>
      </c>
    </row>
    <row r="14" ht="17.25" spans="1:8">
      <c r="A14" s="102">
        <v>4</v>
      </c>
      <c r="B14" s="109" t="s">
        <v>242</v>
      </c>
      <c r="C14" s="110" t="s">
        <v>2664</v>
      </c>
      <c r="D14" s="123" t="s">
        <v>2664</v>
      </c>
      <c r="E14" s="110" t="s">
        <v>2665</v>
      </c>
      <c r="F14" s="111"/>
      <c r="G14" s="111" t="s">
        <v>1849</v>
      </c>
      <c r="H14"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E4" sqref="E4:H4"/>
    </sheetView>
  </sheetViews>
  <sheetFormatPr defaultColWidth="9" defaultRowHeight="13.5"/>
  <cols>
    <col min="1" max="2" width="9" style="100"/>
    <col min="3" max="4" width="13.1666666666667" style="100" customWidth="1"/>
    <col min="5" max="5" width="13.5" style="100" customWidth="1"/>
    <col min="6" max="6" width="9" style="100"/>
    <col min="7" max="7" width="13.8333333333333" style="100" customWidth="1"/>
    <col min="8" max="8" width="9" style="100"/>
    <col min="9" max="9" width="10" style="100" customWidth="1"/>
    <col min="10" max="16384" width="9" style="100"/>
  </cols>
  <sheetData>
    <row r="1" ht="14.25" spans="1:8">
      <c r="A1" s="103" t="s">
        <v>223</v>
      </c>
      <c r="B1" s="102" t="s">
        <v>198</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2666</v>
      </c>
      <c r="F4" s="112"/>
      <c r="G4" s="112"/>
      <c r="H4" s="112"/>
    </row>
    <row r="5" ht="17.25" spans="1:8">
      <c r="A5" s="102">
        <v>2</v>
      </c>
      <c r="B5" s="102" t="s">
        <v>228</v>
      </c>
      <c r="C5" s="102"/>
      <c r="D5" s="102"/>
      <c r="E5" s="112" t="s">
        <v>2667</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2635</v>
      </c>
      <c r="D12" s="114" t="s">
        <v>2636</v>
      </c>
      <c r="E12" s="110" t="s">
        <v>2637</v>
      </c>
      <c r="F12" s="111"/>
      <c r="G12" s="111" t="s">
        <v>564</v>
      </c>
      <c r="H12" s="111"/>
      <c r="I12" s="100" t="s">
        <v>2621</v>
      </c>
      <c r="J12" s="100" t="s">
        <v>243</v>
      </c>
      <c r="L12" s="122" t="s">
        <v>365</v>
      </c>
    </row>
    <row r="13" ht="17.25" spans="1:8">
      <c r="A13" s="102">
        <v>3</v>
      </c>
      <c r="B13" s="109" t="s">
        <v>242</v>
      </c>
      <c r="C13" s="110" t="s">
        <v>2668</v>
      </c>
      <c r="D13" s="114" t="s">
        <v>2668</v>
      </c>
      <c r="E13" s="110" t="s">
        <v>2669</v>
      </c>
      <c r="F13" s="111"/>
      <c r="G13" s="111" t="s">
        <v>1202</v>
      </c>
      <c r="H13" s="111"/>
    </row>
    <row r="14" ht="17.25" spans="1:8">
      <c r="A14" s="102">
        <v>4</v>
      </c>
      <c r="B14" s="109" t="s">
        <v>242</v>
      </c>
      <c r="C14" s="110" t="s">
        <v>2670</v>
      </c>
      <c r="D14" s="114" t="s">
        <v>2670</v>
      </c>
      <c r="E14" s="110" t="s">
        <v>2671</v>
      </c>
      <c r="F14" s="111"/>
      <c r="G14" s="111" t="s">
        <v>2545</v>
      </c>
      <c r="H14" s="111"/>
    </row>
    <row r="15" ht="17.25" spans="1:8">
      <c r="A15" s="102">
        <v>5</v>
      </c>
      <c r="B15" s="109" t="s">
        <v>242</v>
      </c>
      <c r="C15" s="110" t="s">
        <v>2672</v>
      </c>
      <c r="D15" s="114" t="s">
        <v>2672</v>
      </c>
      <c r="E15" s="110" t="s">
        <v>2673</v>
      </c>
      <c r="F15" s="111"/>
      <c r="G15" s="111" t="s">
        <v>1198</v>
      </c>
      <c r="H15" s="111"/>
    </row>
    <row r="16" ht="17.25" spans="1:8">
      <c r="A16" s="102">
        <v>6</v>
      </c>
      <c r="B16" s="109" t="s">
        <v>242</v>
      </c>
      <c r="C16" s="111" t="s">
        <v>2674</v>
      </c>
      <c r="D16" s="120" t="s">
        <v>2674</v>
      </c>
      <c r="E16" s="111" t="s">
        <v>2675</v>
      </c>
      <c r="F16" s="111"/>
      <c r="G16" s="111" t="s">
        <v>2545</v>
      </c>
      <c r="H16" s="111"/>
    </row>
    <row r="17" ht="17.25" spans="1:8">
      <c r="A17" s="102">
        <v>7</v>
      </c>
      <c r="B17" s="111"/>
      <c r="C17" s="111" t="s">
        <v>2676</v>
      </c>
      <c r="D17" s="120" t="s">
        <v>2676</v>
      </c>
      <c r="E17" s="111" t="s">
        <v>2677</v>
      </c>
      <c r="F17" s="111"/>
      <c r="G17" s="111" t="s">
        <v>359</v>
      </c>
      <c r="H17" s="111"/>
    </row>
    <row r="18" ht="17.25" spans="1:8">
      <c r="A18" s="102">
        <v>8</v>
      </c>
      <c r="B18" s="111"/>
      <c r="C18" s="111" t="s">
        <v>2678</v>
      </c>
      <c r="D18" s="120" t="s">
        <v>2678</v>
      </c>
      <c r="E18" s="111" t="s">
        <v>2679</v>
      </c>
      <c r="F18" s="111"/>
      <c r="G18" s="111" t="s">
        <v>1202</v>
      </c>
      <c r="H18"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selection activeCell="I13" sqref="I13:J13"/>
    </sheetView>
  </sheetViews>
  <sheetFormatPr defaultColWidth="9" defaultRowHeight="13.5"/>
  <cols>
    <col min="1" max="5" width="9" style="100"/>
    <col min="6" max="6" width="14.3333333333333" style="100" customWidth="1"/>
    <col min="7" max="7" width="14.8333333333333" style="100" customWidth="1"/>
    <col min="8" max="8" width="9" style="100"/>
    <col min="9" max="9" width="18.6666666666667" style="100" customWidth="1"/>
    <col min="10" max="16384" width="9" style="100"/>
  </cols>
  <sheetData>
    <row r="1" ht="14.25" spans="1:8">
      <c r="A1" s="103" t="s">
        <v>223</v>
      </c>
      <c r="B1" s="102" t="s">
        <v>199</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2680</v>
      </c>
      <c r="F4" s="112"/>
      <c r="G4" s="112"/>
      <c r="H4" s="112"/>
    </row>
    <row r="5" ht="17.25" spans="1:8">
      <c r="A5" s="102">
        <v>2</v>
      </c>
      <c r="B5" s="102" t="s">
        <v>228</v>
      </c>
      <c r="C5" s="102"/>
      <c r="D5" s="102"/>
      <c r="E5" s="112" t="s">
        <v>2681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0">
      <c r="A12" s="102">
        <v>2</v>
      </c>
      <c r="B12" s="109" t="s">
        <v>242</v>
      </c>
      <c r="C12" s="110" t="s">
        <v>2682</v>
      </c>
      <c r="D12" s="114" t="s">
        <v>2683</v>
      </c>
      <c r="E12" s="110" t="s">
        <v>2684</v>
      </c>
      <c r="F12" s="111"/>
      <c r="G12" s="111" t="s">
        <v>564</v>
      </c>
      <c r="H12" s="111"/>
      <c r="I12" s="100" t="s">
        <v>2666</v>
      </c>
      <c r="J12" s="100" t="s">
        <v>243</v>
      </c>
    </row>
    <row r="13" ht="17.25" spans="1:12">
      <c r="A13" s="102">
        <v>3</v>
      </c>
      <c r="B13" s="109" t="s">
        <v>242</v>
      </c>
      <c r="C13" s="110" t="s">
        <v>2685</v>
      </c>
      <c r="D13" s="114" t="s">
        <v>2685</v>
      </c>
      <c r="E13" s="110" t="s">
        <v>2686</v>
      </c>
      <c r="F13" s="111" t="s">
        <v>2687</v>
      </c>
      <c r="G13" s="111" t="s">
        <v>564</v>
      </c>
      <c r="H13" s="111"/>
      <c r="I13" s="100" t="s">
        <v>2554</v>
      </c>
      <c r="J13" s="100" t="s">
        <v>243</v>
      </c>
      <c r="L13" s="100" t="s">
        <v>2562</v>
      </c>
    </row>
    <row r="14" ht="17.25" spans="1:8">
      <c r="A14" s="102">
        <v>4</v>
      </c>
      <c r="B14" s="109" t="s">
        <v>242</v>
      </c>
      <c r="C14" s="110" t="s">
        <v>2566</v>
      </c>
      <c r="D14" s="114" t="s">
        <v>2566</v>
      </c>
      <c r="E14" s="110" t="s">
        <v>2568</v>
      </c>
      <c r="F14" s="111"/>
      <c r="G14" s="111" t="s">
        <v>958</v>
      </c>
      <c r="H14" s="111"/>
    </row>
    <row r="15" ht="17.25" spans="1:8">
      <c r="A15" s="102">
        <v>5</v>
      </c>
      <c r="B15" s="109" t="s">
        <v>242</v>
      </c>
      <c r="C15" s="110" t="s">
        <v>2569</v>
      </c>
      <c r="D15" s="114" t="s">
        <v>2569</v>
      </c>
      <c r="E15" s="110" t="s">
        <v>2571</v>
      </c>
      <c r="F15" s="111" t="s">
        <v>2572</v>
      </c>
      <c r="G15" s="111" t="s">
        <v>282</v>
      </c>
      <c r="H15" s="111"/>
    </row>
    <row r="16" ht="17.25" spans="1:8">
      <c r="A16" s="102">
        <v>6</v>
      </c>
      <c r="B16" s="109" t="s">
        <v>242</v>
      </c>
      <c r="C16" s="111" t="s">
        <v>558</v>
      </c>
      <c r="D16" s="120" t="s">
        <v>558</v>
      </c>
      <c r="E16" s="111" t="s">
        <v>560</v>
      </c>
      <c r="F16" s="111"/>
      <c r="G16" s="111" t="s">
        <v>1202</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I12" sqref="I12:J12"/>
    </sheetView>
  </sheetViews>
  <sheetFormatPr defaultColWidth="9" defaultRowHeight="13.5"/>
  <cols>
    <col min="1" max="2" width="9" style="100"/>
    <col min="3" max="4" width="13.8333333333333" style="100" customWidth="1"/>
    <col min="5" max="5" width="11.8333333333333" style="100" customWidth="1"/>
    <col min="6" max="6" width="9" style="100"/>
    <col min="7" max="7" width="14.1666666666667" style="100" customWidth="1"/>
    <col min="8" max="8" width="9" style="100"/>
    <col min="9" max="9" width="15.3333333333333" style="100" customWidth="1"/>
    <col min="10" max="16384" width="9" style="100"/>
  </cols>
  <sheetData>
    <row r="1" ht="14.25" spans="1:8">
      <c r="A1" s="103" t="s">
        <v>223</v>
      </c>
      <c r="B1" s="102" t="s">
        <v>200</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2688</v>
      </c>
      <c r="F4" s="112"/>
      <c r="G4" s="112"/>
      <c r="H4" s="112"/>
    </row>
    <row r="5" ht="17.25" spans="1:8">
      <c r="A5" s="102">
        <v>2</v>
      </c>
      <c r="B5" s="102" t="s">
        <v>228</v>
      </c>
      <c r="C5" s="102"/>
      <c r="D5" s="102"/>
      <c r="E5" s="112" t="s">
        <v>2689</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0">
      <c r="A12" s="102">
        <v>2</v>
      </c>
      <c r="B12" s="109" t="s">
        <v>242</v>
      </c>
      <c r="C12" s="110" t="s">
        <v>2682</v>
      </c>
      <c r="D12" s="114" t="s">
        <v>2690</v>
      </c>
      <c r="E12" s="110" t="s">
        <v>2684</v>
      </c>
      <c r="F12" s="111"/>
      <c r="G12" s="111" t="s">
        <v>564</v>
      </c>
      <c r="H12" s="111"/>
      <c r="I12" s="100" t="s">
        <v>2666</v>
      </c>
      <c r="J12" s="100" t="s">
        <v>243</v>
      </c>
    </row>
    <row r="13" ht="17.25" spans="1:12">
      <c r="A13" s="102">
        <v>3</v>
      </c>
      <c r="B13" s="109" t="s">
        <v>242</v>
      </c>
      <c r="C13" s="110" t="s">
        <v>2497</v>
      </c>
      <c r="D13" s="114" t="s">
        <v>2497</v>
      </c>
      <c r="E13" s="110" t="s">
        <v>247</v>
      </c>
      <c r="F13" s="111"/>
      <c r="G13" s="111" t="s">
        <v>564</v>
      </c>
      <c r="H13" s="111"/>
      <c r="I13" s="100" t="s">
        <v>249</v>
      </c>
      <c r="J13" s="100" t="s">
        <v>247</v>
      </c>
      <c r="L13" s="122" t="s">
        <v>365</v>
      </c>
    </row>
    <row r="14" ht="17.25" spans="1:8">
      <c r="A14" s="102">
        <v>4</v>
      </c>
      <c r="B14" s="109" t="s">
        <v>242</v>
      </c>
      <c r="C14" s="110" t="s">
        <v>2414</v>
      </c>
      <c r="D14" s="114" t="s">
        <v>2414</v>
      </c>
      <c r="E14" s="110" t="s">
        <v>483</v>
      </c>
      <c r="F14" s="111"/>
      <c r="G14" s="111" t="s">
        <v>576</v>
      </c>
      <c r="H14" s="111"/>
    </row>
    <row r="15" ht="17.25" spans="1:8">
      <c r="A15" s="102">
        <v>5</v>
      </c>
      <c r="B15" s="109" t="s">
        <v>242</v>
      </c>
      <c r="C15" s="110" t="s">
        <v>287</v>
      </c>
      <c r="D15" s="114" t="s">
        <v>287</v>
      </c>
      <c r="E15" s="110" t="s">
        <v>486</v>
      </c>
      <c r="F15" s="111"/>
      <c r="G15" s="111" t="s">
        <v>576</v>
      </c>
      <c r="H15" s="111"/>
    </row>
    <row r="16" ht="17.25" spans="1:8">
      <c r="A16" s="102">
        <v>6</v>
      </c>
      <c r="B16" s="109"/>
      <c r="C16" s="111" t="s">
        <v>2691</v>
      </c>
      <c r="D16" s="120" t="s">
        <v>2691</v>
      </c>
      <c r="E16" s="111" t="s">
        <v>2615</v>
      </c>
      <c r="F16" s="111"/>
      <c r="G16" s="111" t="s">
        <v>1202</v>
      </c>
      <c r="H16" s="111"/>
    </row>
    <row r="17" ht="17.25" spans="1:8">
      <c r="A17" s="102">
        <v>7</v>
      </c>
      <c r="B17" s="111"/>
      <c r="C17" s="111" t="s">
        <v>2692</v>
      </c>
      <c r="D17" s="120" t="s">
        <v>2692</v>
      </c>
      <c r="E17" s="111" t="s">
        <v>2693</v>
      </c>
      <c r="F17" s="111"/>
      <c r="G17" s="111" t="s">
        <v>1202</v>
      </c>
      <c r="H17" s="111"/>
    </row>
    <row r="18" ht="17.25" spans="1:8">
      <c r="A18" s="102">
        <v>8</v>
      </c>
      <c r="B18" s="111"/>
      <c r="C18" s="111" t="s">
        <v>2694</v>
      </c>
      <c r="D18" s="120" t="s">
        <v>2694</v>
      </c>
      <c r="E18" s="111" t="s">
        <v>2695</v>
      </c>
      <c r="F18" s="111"/>
      <c r="G18" s="111" t="s">
        <v>1202</v>
      </c>
      <c r="H18" s="111"/>
    </row>
    <row r="19" ht="17.25" spans="1:8">
      <c r="A19" s="102">
        <v>9</v>
      </c>
      <c r="B19" s="111"/>
      <c r="C19" s="111" t="s">
        <v>2696</v>
      </c>
      <c r="D19" s="120" t="s">
        <v>2696</v>
      </c>
      <c r="E19" s="111" t="s">
        <v>2697</v>
      </c>
      <c r="F19" s="111"/>
      <c r="G19" s="111" t="s">
        <v>1202</v>
      </c>
      <c r="H19" s="111"/>
    </row>
    <row r="20" ht="17.25" spans="1:8">
      <c r="A20" s="102">
        <v>10</v>
      </c>
      <c r="B20" s="111"/>
      <c r="C20" s="111" t="s">
        <v>2678</v>
      </c>
      <c r="D20" s="120" t="s">
        <v>2678</v>
      </c>
      <c r="E20" s="111" t="s">
        <v>2679</v>
      </c>
      <c r="F20" s="111"/>
      <c r="G20" s="111" t="s">
        <v>1202</v>
      </c>
      <c r="H20" s="111"/>
    </row>
    <row r="21" ht="17.25" spans="1:8">
      <c r="A21" s="102">
        <v>11</v>
      </c>
      <c r="B21" s="111"/>
      <c r="C21" s="111" t="s">
        <v>2698</v>
      </c>
      <c r="D21" s="120" t="s">
        <v>2698</v>
      </c>
      <c r="E21" s="111" t="s">
        <v>2699</v>
      </c>
      <c r="F21" s="111"/>
      <c r="G21" s="111" t="s">
        <v>1202</v>
      </c>
      <c r="H21"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L13" sqref="L13"/>
    </sheetView>
  </sheetViews>
  <sheetFormatPr defaultColWidth="9" defaultRowHeight="13.5"/>
  <cols>
    <col min="1" max="2" width="9" style="100"/>
    <col min="3" max="3" width="14.8333333333333" style="100" customWidth="1"/>
    <col min="4" max="4" width="16.8333333333333" style="100" customWidth="1"/>
    <col min="5" max="5" width="9.66666666666667" style="100" customWidth="1"/>
    <col min="6" max="6" width="14.6666666666667" style="100" customWidth="1"/>
    <col min="7" max="7" width="14" style="100" customWidth="1"/>
    <col min="8" max="8" width="9" style="100"/>
    <col min="9" max="9" width="23" style="100" customWidth="1"/>
    <col min="10" max="16384" width="9" style="100"/>
  </cols>
  <sheetData>
    <row r="1" ht="14.25" spans="1:8">
      <c r="A1" s="103" t="s">
        <v>223</v>
      </c>
      <c r="B1" s="102" t="s">
        <v>201</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2700</v>
      </c>
      <c r="F4" s="112"/>
      <c r="G4" s="112"/>
      <c r="H4" s="112"/>
    </row>
    <row r="5" ht="17.25" spans="1:8">
      <c r="A5" s="102">
        <v>2</v>
      </c>
      <c r="B5" s="102" t="s">
        <v>228</v>
      </c>
      <c r="C5" s="102"/>
      <c r="D5" s="102"/>
      <c r="E5" s="112" t="s">
        <v>2701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8">
      <c r="A12" s="102">
        <v>2</v>
      </c>
      <c r="B12" s="109" t="s">
        <v>242</v>
      </c>
      <c r="C12" s="110" t="s">
        <v>2702</v>
      </c>
      <c r="D12" s="114" t="s">
        <v>2702</v>
      </c>
      <c r="E12" s="110" t="s">
        <v>265</v>
      </c>
      <c r="F12" s="111"/>
      <c r="G12" s="111" t="s">
        <v>1202</v>
      </c>
      <c r="H12" s="111"/>
    </row>
    <row r="13" ht="17.25" spans="1:12">
      <c r="A13" s="102">
        <v>3</v>
      </c>
      <c r="B13" s="109" t="s">
        <v>242</v>
      </c>
      <c r="C13" s="110" t="s">
        <v>2703</v>
      </c>
      <c r="D13" s="114" t="s">
        <v>2704</v>
      </c>
      <c r="E13" s="110" t="s">
        <v>2705</v>
      </c>
      <c r="F13" s="111"/>
      <c r="G13" s="111" t="s">
        <v>564</v>
      </c>
      <c r="H13" s="111"/>
      <c r="I13" s="100" t="s">
        <v>2680</v>
      </c>
      <c r="J13" s="100" t="s">
        <v>243</v>
      </c>
      <c r="L13" s="100" t="s">
        <v>2686</v>
      </c>
    </row>
    <row r="14" ht="17.25" spans="1:12">
      <c r="A14" s="102">
        <v>4</v>
      </c>
      <c r="B14" s="109" t="s">
        <v>242</v>
      </c>
      <c r="C14" s="110" t="s">
        <v>2706</v>
      </c>
      <c r="D14" s="114" t="s">
        <v>2707</v>
      </c>
      <c r="E14" s="110" t="s">
        <v>2708</v>
      </c>
      <c r="F14" s="111"/>
      <c r="G14" s="111" t="s">
        <v>564</v>
      </c>
      <c r="H14" s="111"/>
      <c r="I14" s="100" t="s">
        <v>2688</v>
      </c>
      <c r="J14" s="100" t="s">
        <v>243</v>
      </c>
      <c r="L14" s="110"/>
    </row>
    <row r="15" ht="17.25" spans="1:8">
      <c r="A15" s="102">
        <v>5</v>
      </c>
      <c r="B15" s="109" t="s">
        <v>242</v>
      </c>
      <c r="C15" s="110" t="s">
        <v>2709</v>
      </c>
      <c r="D15" s="114" t="s">
        <v>2710</v>
      </c>
      <c r="E15" s="110" t="s">
        <v>2611</v>
      </c>
      <c r="F15" s="111"/>
      <c r="G15" s="111" t="s">
        <v>958</v>
      </c>
      <c r="H15" s="111"/>
    </row>
    <row r="16" ht="17.25" spans="1:8">
      <c r="A16" s="102">
        <v>6</v>
      </c>
      <c r="B16" s="109" t="s">
        <v>242</v>
      </c>
      <c r="C16" s="111" t="s">
        <v>2711</v>
      </c>
      <c r="D16" s="120" t="s">
        <v>2712</v>
      </c>
      <c r="E16" s="111" t="s">
        <v>2713</v>
      </c>
      <c r="F16" s="111"/>
      <c r="G16" s="111" t="s">
        <v>1849</v>
      </c>
      <c r="H16" s="111"/>
    </row>
    <row r="17" ht="17.25" spans="1:8">
      <c r="A17" s="102">
        <v>7</v>
      </c>
      <c r="B17" s="109" t="s">
        <v>242</v>
      </c>
      <c r="C17" s="111" t="s">
        <v>2586</v>
      </c>
      <c r="D17" s="120" t="s">
        <v>2586</v>
      </c>
      <c r="E17" s="111" t="s">
        <v>2587</v>
      </c>
      <c r="F17" s="111"/>
      <c r="G17" s="111" t="s">
        <v>2545</v>
      </c>
      <c r="H17"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I12" sqref="I12:J12"/>
    </sheetView>
  </sheetViews>
  <sheetFormatPr defaultColWidth="9" defaultRowHeight="13.5"/>
  <cols>
    <col min="1" max="2" width="9" style="100"/>
    <col min="3" max="4" width="10.8333333333333" style="100" customWidth="1"/>
    <col min="5" max="5" width="10.3333333333333" style="100" customWidth="1"/>
    <col min="6" max="6" width="14.3333333333333" style="100" customWidth="1"/>
    <col min="7" max="7" width="14.1666666666667" style="100" customWidth="1"/>
    <col min="8" max="16384" width="9" style="100"/>
  </cols>
  <sheetData>
    <row r="1" ht="14.25" spans="1:8">
      <c r="A1" s="103" t="s">
        <v>223</v>
      </c>
      <c r="B1" s="102" t="s">
        <v>202</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2714</v>
      </c>
      <c r="F4" s="112"/>
      <c r="G4" s="112"/>
      <c r="H4" s="112"/>
    </row>
    <row r="5" ht="17.25" spans="1:8">
      <c r="A5" s="102">
        <v>2</v>
      </c>
      <c r="B5" s="102" t="s">
        <v>228</v>
      </c>
      <c r="C5" s="102"/>
      <c r="D5" s="102"/>
      <c r="E5" s="112" t="s">
        <v>2715</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1">
      <c r="A12" s="102">
        <v>2</v>
      </c>
      <c r="B12" s="109" t="s">
        <v>242</v>
      </c>
      <c r="C12" s="110" t="s">
        <v>2635</v>
      </c>
      <c r="D12" s="114" t="s">
        <v>2636</v>
      </c>
      <c r="E12" s="110" t="s">
        <v>2637</v>
      </c>
      <c r="F12" s="111"/>
      <c r="G12" s="111" t="s">
        <v>564</v>
      </c>
      <c r="H12" s="111"/>
      <c r="I12" s="100" t="s">
        <v>2621</v>
      </c>
      <c r="J12" s="100" t="s">
        <v>243</v>
      </c>
      <c r="K12" s="100" t="s">
        <v>365</v>
      </c>
    </row>
    <row r="13" ht="17.25" spans="1:8">
      <c r="A13" s="102">
        <v>3</v>
      </c>
      <c r="B13" s="109" t="s">
        <v>242</v>
      </c>
      <c r="C13" s="110" t="s">
        <v>2716</v>
      </c>
      <c r="D13" s="114" t="s">
        <v>2716</v>
      </c>
      <c r="E13" s="110" t="s">
        <v>2717</v>
      </c>
      <c r="F13" s="111"/>
      <c r="G13" s="111" t="s">
        <v>1352</v>
      </c>
      <c r="H13" s="111"/>
    </row>
    <row r="14" ht="17.25" spans="1:8">
      <c r="A14" s="102">
        <v>4</v>
      </c>
      <c r="B14" s="109" t="s">
        <v>242</v>
      </c>
      <c r="C14" s="110" t="s">
        <v>2563</v>
      </c>
      <c r="D14" s="114" t="s">
        <v>2563</v>
      </c>
      <c r="E14" s="110" t="s">
        <v>2565</v>
      </c>
      <c r="F14" s="111" t="s">
        <v>2718</v>
      </c>
      <c r="G14" s="111" t="s">
        <v>564</v>
      </c>
      <c r="H14" s="111"/>
    </row>
    <row r="15" ht="17.25" spans="1:8">
      <c r="A15" s="102">
        <v>5</v>
      </c>
      <c r="B15" s="109" t="s">
        <v>242</v>
      </c>
      <c r="C15" s="110" t="s">
        <v>558</v>
      </c>
      <c r="D15" s="114" t="s">
        <v>558</v>
      </c>
      <c r="E15" s="110" t="s">
        <v>560</v>
      </c>
      <c r="F15" s="111"/>
      <c r="G15" s="111" t="s">
        <v>1202</v>
      </c>
      <c r="H15"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selection activeCell="L12" sqref="L12"/>
    </sheetView>
  </sheetViews>
  <sheetFormatPr defaultColWidth="9" defaultRowHeight="13.5"/>
  <cols>
    <col min="1" max="6" width="9" style="100"/>
    <col min="7" max="7" width="14.8333333333333" style="100" customWidth="1"/>
    <col min="8" max="8" width="9" style="100"/>
    <col min="9" max="9" width="18.6666666666667" style="100" customWidth="1"/>
    <col min="10" max="16384" width="9" style="100"/>
  </cols>
  <sheetData>
    <row r="1" ht="14.25" spans="1:8">
      <c r="A1" s="103" t="s">
        <v>223</v>
      </c>
      <c r="B1" s="102" t="s">
        <v>203</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2719</v>
      </c>
      <c r="F4" s="112"/>
      <c r="G4" s="112"/>
      <c r="H4" s="112"/>
    </row>
    <row r="5" ht="17.25" spans="1:8">
      <c r="A5" s="102">
        <v>2</v>
      </c>
      <c r="B5" s="102" t="s">
        <v>228</v>
      </c>
      <c r="C5" s="102"/>
      <c r="D5" s="102"/>
      <c r="E5" s="112" t="s">
        <v>2720</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2721</v>
      </c>
      <c r="D12" s="114" t="s">
        <v>2716</v>
      </c>
      <c r="E12" s="110" t="s">
        <v>2722</v>
      </c>
      <c r="F12" s="111"/>
      <c r="G12" s="111" t="s">
        <v>564</v>
      </c>
      <c r="H12" s="111"/>
      <c r="I12" s="100" t="s">
        <v>2714</v>
      </c>
      <c r="J12" s="100" t="s">
        <v>243</v>
      </c>
      <c r="L12" s="100" t="s">
        <v>2562</v>
      </c>
    </row>
    <row r="13" ht="17.25" spans="1:8">
      <c r="A13" s="102">
        <v>3</v>
      </c>
      <c r="B13" s="109" t="s">
        <v>242</v>
      </c>
      <c r="C13" s="110" t="s">
        <v>1314</v>
      </c>
      <c r="D13" s="114" t="s">
        <v>1314</v>
      </c>
      <c r="E13" s="110" t="s">
        <v>265</v>
      </c>
      <c r="F13" s="111"/>
      <c r="G13" s="111" t="s">
        <v>564</v>
      </c>
      <c r="H13" s="111"/>
    </row>
    <row r="14" ht="17.25" spans="1:8">
      <c r="A14" s="102">
        <v>4</v>
      </c>
      <c r="B14" s="109" t="s">
        <v>242</v>
      </c>
      <c r="C14" s="110" t="s">
        <v>2723</v>
      </c>
      <c r="D14" s="114" t="s">
        <v>2723</v>
      </c>
      <c r="E14" s="110" t="s">
        <v>2724</v>
      </c>
      <c r="F14" s="111"/>
      <c r="G14" s="111" t="s">
        <v>1352</v>
      </c>
      <c r="H14" s="111"/>
    </row>
    <row r="15" ht="17.25" spans="1:8">
      <c r="A15" s="102">
        <v>5</v>
      </c>
      <c r="B15" s="109" t="s">
        <v>242</v>
      </c>
      <c r="C15" s="110" t="s">
        <v>2586</v>
      </c>
      <c r="D15" s="114" t="s">
        <v>2586</v>
      </c>
      <c r="E15" s="110" t="s">
        <v>2587</v>
      </c>
      <c r="F15" s="111"/>
      <c r="G15" s="111" t="s">
        <v>2725</v>
      </c>
      <c r="H15" s="111"/>
    </row>
    <row r="16" ht="17.25" spans="1:8">
      <c r="A16" s="102">
        <v>6</v>
      </c>
      <c r="B16" s="109" t="s">
        <v>242</v>
      </c>
      <c r="C16" s="111" t="s">
        <v>558</v>
      </c>
      <c r="D16" s="120" t="s">
        <v>558</v>
      </c>
      <c r="E16" s="111" t="s">
        <v>560</v>
      </c>
      <c r="F16" s="111"/>
      <c r="G16" s="111" t="s">
        <v>1202</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E4" sqref="E4:H4"/>
    </sheetView>
  </sheetViews>
  <sheetFormatPr defaultColWidth="9" defaultRowHeight="13.5"/>
  <cols>
    <col min="1" max="2" width="9" style="100"/>
    <col min="3" max="4" width="13.1666666666667" style="100" customWidth="1"/>
    <col min="5" max="5" width="11.1666666666667" style="100" customWidth="1"/>
    <col min="6" max="6" width="9" style="100"/>
    <col min="7" max="7" width="14.8333333333333" style="100" customWidth="1"/>
    <col min="8" max="8" width="9" style="100"/>
    <col min="9" max="9" width="18.6666666666667" style="100" customWidth="1"/>
    <col min="10" max="16384" width="9" style="100"/>
  </cols>
  <sheetData>
    <row r="1" ht="14.25" spans="1:8">
      <c r="A1" s="103" t="s">
        <v>223</v>
      </c>
      <c r="B1" s="102" t="s">
        <v>2726</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2727</v>
      </c>
      <c r="F4" s="112"/>
      <c r="G4" s="112"/>
      <c r="H4" s="112"/>
    </row>
    <row r="5" ht="17.25" spans="1:8">
      <c r="A5" s="102">
        <v>2</v>
      </c>
      <c r="B5" s="102" t="s">
        <v>228</v>
      </c>
      <c r="C5" s="102"/>
      <c r="D5" s="102"/>
      <c r="E5" s="112" t="s">
        <v>2728</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2497</v>
      </c>
      <c r="D12" s="114" t="s">
        <v>2497</v>
      </c>
      <c r="E12" s="110" t="s">
        <v>247</v>
      </c>
      <c r="F12" s="111"/>
      <c r="G12" s="111" t="s">
        <v>564</v>
      </c>
      <c r="H12" s="111"/>
      <c r="I12" s="100" t="s">
        <v>249</v>
      </c>
      <c r="J12" s="100" t="s">
        <v>247</v>
      </c>
      <c r="L12" s="100" t="s">
        <v>365</v>
      </c>
    </row>
    <row r="13" ht="17.25" spans="1:12">
      <c r="A13" s="102">
        <v>3</v>
      </c>
      <c r="B13" s="109" t="s">
        <v>242</v>
      </c>
      <c r="C13" s="110" t="s">
        <v>2721</v>
      </c>
      <c r="D13" s="114" t="s">
        <v>2721</v>
      </c>
      <c r="E13" s="110" t="s">
        <v>2722</v>
      </c>
      <c r="F13" s="111"/>
      <c r="G13" s="111" t="s">
        <v>564</v>
      </c>
      <c r="H13" s="111"/>
      <c r="I13" s="100" t="s">
        <v>2714</v>
      </c>
      <c r="J13" s="100" t="s">
        <v>243</v>
      </c>
      <c r="L13" s="100" t="s">
        <v>2562</v>
      </c>
    </row>
    <row r="14" ht="17.25" spans="1:8">
      <c r="A14" s="102">
        <v>4</v>
      </c>
      <c r="B14" s="109" t="s">
        <v>242</v>
      </c>
      <c r="C14" s="110" t="s">
        <v>2729</v>
      </c>
      <c r="D14" s="114" t="s">
        <v>2729</v>
      </c>
      <c r="E14" s="110" t="s">
        <v>2713</v>
      </c>
      <c r="F14" s="111" t="s">
        <v>2730</v>
      </c>
      <c r="G14" s="111" t="s">
        <v>564</v>
      </c>
      <c r="H14"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8"/>
  <sheetViews>
    <sheetView workbookViewId="0">
      <selection activeCell="A14" sqref="A14:A18"/>
    </sheetView>
  </sheetViews>
  <sheetFormatPr defaultColWidth="9" defaultRowHeight="13.5"/>
  <cols>
    <col min="1" max="2" width="9" style="100"/>
    <col min="3" max="4" width="14" style="100" customWidth="1"/>
    <col min="5" max="5" width="9" style="100"/>
    <col min="6" max="6" width="21.3333333333333" style="100" customWidth="1"/>
    <col min="7" max="7" width="15" style="100" customWidth="1"/>
    <col min="8" max="16384" width="9" style="100"/>
  </cols>
  <sheetData>
    <row r="1" ht="14.25" spans="1:8">
      <c r="A1" s="103" t="s">
        <v>223</v>
      </c>
      <c r="B1" s="102" t="s">
        <v>205</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2731</v>
      </c>
      <c r="F4" s="112"/>
      <c r="G4" s="112"/>
      <c r="H4" s="112"/>
    </row>
    <row r="5" ht="17.25" spans="1:8">
      <c r="A5" s="102">
        <v>2</v>
      </c>
      <c r="B5" s="102" t="s">
        <v>228</v>
      </c>
      <c r="C5" s="102"/>
      <c r="D5" s="102"/>
      <c r="E5" s="112" t="s">
        <v>2732</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236</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2635</v>
      </c>
      <c r="D12" s="114" t="s">
        <v>2636</v>
      </c>
      <c r="E12" s="110" t="s">
        <v>2637</v>
      </c>
      <c r="G12" s="111" t="s">
        <v>564</v>
      </c>
      <c r="H12" s="111"/>
      <c r="I12" s="100" t="s">
        <v>2621</v>
      </c>
      <c r="J12" s="100" t="s">
        <v>243</v>
      </c>
      <c r="L12" s="100" t="s">
        <v>365</v>
      </c>
    </row>
    <row r="13" ht="17.25" spans="1:8">
      <c r="A13" s="102">
        <v>3</v>
      </c>
      <c r="B13" s="109" t="s">
        <v>242</v>
      </c>
      <c r="C13" s="110" t="s">
        <v>2648</v>
      </c>
      <c r="D13" s="115" t="s">
        <v>2648</v>
      </c>
      <c r="E13" s="110" t="s">
        <v>2649</v>
      </c>
      <c r="F13" s="111" t="s">
        <v>2650</v>
      </c>
      <c r="G13" s="111" t="s">
        <v>564</v>
      </c>
      <c r="H13" s="111"/>
    </row>
    <row r="14" ht="17.25" spans="1:8">
      <c r="A14" s="102">
        <v>4</v>
      </c>
      <c r="B14" s="109" t="s">
        <v>242</v>
      </c>
      <c r="C14" s="116" t="s">
        <v>2651</v>
      </c>
      <c r="D14" s="116" t="s">
        <v>2651</v>
      </c>
      <c r="E14" s="116" t="s">
        <v>2652</v>
      </c>
      <c r="F14" s="117" t="s">
        <v>2653</v>
      </c>
      <c r="G14" s="117" t="s">
        <v>564</v>
      </c>
      <c r="H14" s="117"/>
    </row>
    <row r="15" ht="17.25" spans="1:8">
      <c r="A15" s="102">
        <v>5</v>
      </c>
      <c r="B15" s="109" t="s">
        <v>242</v>
      </c>
      <c r="C15" s="110" t="s">
        <v>2563</v>
      </c>
      <c r="D15" s="114" t="s">
        <v>2563</v>
      </c>
      <c r="E15" s="110" t="s">
        <v>2565</v>
      </c>
      <c r="F15" s="111" t="s">
        <v>2733</v>
      </c>
      <c r="G15" s="111" t="s">
        <v>564</v>
      </c>
      <c r="H15" s="111"/>
    </row>
    <row r="16" ht="27" spans="1:8">
      <c r="A16" s="102">
        <v>6</v>
      </c>
      <c r="B16" s="109" t="s">
        <v>242</v>
      </c>
      <c r="C16" s="110" t="s">
        <v>1350</v>
      </c>
      <c r="D16" s="114" t="s">
        <v>1350</v>
      </c>
      <c r="E16" s="110" t="s">
        <v>2522</v>
      </c>
      <c r="F16" s="121" t="s">
        <v>2734</v>
      </c>
      <c r="G16" s="111" t="s">
        <v>1647</v>
      </c>
      <c r="H16" s="111"/>
    </row>
    <row r="17" ht="17.25" spans="1:8">
      <c r="A17" s="102">
        <v>7</v>
      </c>
      <c r="B17" s="109" t="s">
        <v>242</v>
      </c>
      <c r="C17" s="110" t="s">
        <v>2654</v>
      </c>
      <c r="D17" s="114" t="s">
        <v>2654</v>
      </c>
      <c r="E17" s="110" t="s">
        <v>527</v>
      </c>
      <c r="F17" s="111"/>
      <c r="G17" s="111" t="s">
        <v>576</v>
      </c>
      <c r="H17" s="111"/>
    </row>
    <row r="18" ht="17.25" spans="1:8">
      <c r="A18" s="102">
        <v>8</v>
      </c>
      <c r="B18" s="109" t="s">
        <v>242</v>
      </c>
      <c r="C18" s="111" t="s">
        <v>2610</v>
      </c>
      <c r="D18" s="120" t="s">
        <v>2610</v>
      </c>
      <c r="E18" s="111" t="s">
        <v>2611</v>
      </c>
      <c r="F18" s="111"/>
      <c r="G18" s="111" t="s">
        <v>1202</v>
      </c>
      <c r="H18"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16"/>
  <sheetViews>
    <sheetView workbookViewId="0">
      <selection activeCell="J12" sqref="I12:J12"/>
    </sheetView>
  </sheetViews>
  <sheetFormatPr defaultColWidth="9" defaultRowHeight="13.5"/>
  <cols>
    <col min="1" max="2" width="9" style="100"/>
    <col min="3" max="4" width="14.3333333333333" style="100" customWidth="1"/>
    <col min="5" max="5" width="9" style="100"/>
    <col min="6" max="6" width="19.3333333333333" style="100" customWidth="1"/>
    <col min="7" max="7" width="14.8333333333333" style="100" customWidth="1"/>
    <col min="8" max="8" width="9" style="100"/>
    <col min="9" max="9" width="18.6666666666667" style="100" customWidth="1"/>
    <col min="10" max="16384" width="9" style="100"/>
  </cols>
  <sheetData>
    <row r="1" ht="14.25" spans="1:8">
      <c r="A1" s="103" t="s">
        <v>223</v>
      </c>
      <c r="B1" s="102" t="s">
        <v>206</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2735</v>
      </c>
      <c r="F4" s="112"/>
      <c r="G4" s="112"/>
      <c r="H4" s="112"/>
    </row>
    <row r="5" ht="17.25" spans="1:8">
      <c r="A5" s="102">
        <v>2</v>
      </c>
      <c r="B5" s="102" t="s">
        <v>228</v>
      </c>
      <c r="C5" s="102"/>
      <c r="D5" s="102"/>
      <c r="E5" s="112" t="s">
        <v>2736</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G11" s="111" t="s">
        <v>564</v>
      </c>
      <c r="H11" s="111"/>
    </row>
    <row r="12" ht="17.25" spans="1:10">
      <c r="A12" s="102">
        <v>2</v>
      </c>
      <c r="B12" s="109" t="s">
        <v>242</v>
      </c>
      <c r="C12" s="110" t="s">
        <v>2737</v>
      </c>
      <c r="D12" s="114" t="s">
        <v>2738</v>
      </c>
      <c r="E12" s="110" t="s">
        <v>2739</v>
      </c>
      <c r="F12" s="111"/>
      <c r="G12" s="111" t="s">
        <v>564</v>
      </c>
      <c r="H12" s="111"/>
      <c r="I12" s="100" t="s">
        <v>2731</v>
      </c>
      <c r="J12" s="100" t="s">
        <v>243</v>
      </c>
    </row>
    <row r="13" ht="17.25" spans="1:8">
      <c r="A13" s="102">
        <v>3</v>
      </c>
      <c r="B13" s="109" t="s">
        <v>242</v>
      </c>
      <c r="C13" s="110" t="s">
        <v>2648</v>
      </c>
      <c r="D13" s="114" t="s">
        <v>2648</v>
      </c>
      <c r="E13" s="110" t="s">
        <v>2649</v>
      </c>
      <c r="F13" s="111" t="s">
        <v>2650</v>
      </c>
      <c r="G13" s="111" t="s">
        <v>263</v>
      </c>
      <c r="H13" s="111"/>
    </row>
    <row r="14" ht="17.25" spans="1:8">
      <c r="A14" s="102">
        <v>4</v>
      </c>
      <c r="B14" s="109" t="s">
        <v>242</v>
      </c>
      <c r="C14" s="116" t="s">
        <v>2651</v>
      </c>
      <c r="D14" s="116" t="s">
        <v>2651</v>
      </c>
      <c r="E14" s="116" t="s">
        <v>2652</v>
      </c>
      <c r="F14" s="117" t="s">
        <v>2653</v>
      </c>
      <c r="G14" s="117" t="s">
        <v>564</v>
      </c>
      <c r="H14" s="117"/>
    </row>
    <row r="15" ht="17.25" spans="1:8">
      <c r="A15" s="102">
        <v>5</v>
      </c>
      <c r="B15" s="109" t="s">
        <v>242</v>
      </c>
      <c r="C15" s="111" t="s">
        <v>2660</v>
      </c>
      <c r="D15" s="120" t="s">
        <v>2660</v>
      </c>
      <c r="E15" s="111" t="s">
        <v>2504</v>
      </c>
      <c r="F15" s="111" t="s">
        <v>2661</v>
      </c>
      <c r="G15" s="111" t="s">
        <v>1849</v>
      </c>
      <c r="H15" s="111"/>
    </row>
    <row r="16" ht="17.25" spans="1:8">
      <c r="A16" s="102">
        <v>6</v>
      </c>
      <c r="B16" s="109" t="s">
        <v>242</v>
      </c>
      <c r="C16" s="111" t="s">
        <v>2610</v>
      </c>
      <c r="D16" s="120" t="s">
        <v>2610</v>
      </c>
      <c r="E16" s="111" t="s">
        <v>2611</v>
      </c>
      <c r="F16" s="111"/>
      <c r="G16" s="111" t="s">
        <v>2627</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4"/>
  <sheetViews>
    <sheetView workbookViewId="0">
      <selection activeCell="L12" sqref="L12"/>
    </sheetView>
  </sheetViews>
  <sheetFormatPr defaultColWidth="9" defaultRowHeight="13.5"/>
  <cols>
    <col min="1" max="2" width="9" style="100"/>
    <col min="3" max="4" width="14.1666666666667" style="100" customWidth="1"/>
    <col min="5" max="5" width="10.1666666666667" style="100" customWidth="1"/>
    <col min="6" max="6" width="22.6666666666667" style="100" customWidth="1"/>
    <col min="7" max="7" width="14.8333333333333" style="100" customWidth="1"/>
    <col min="8" max="8" width="9" style="100"/>
    <col min="9" max="9" width="18.6666666666667" style="100" customWidth="1"/>
    <col min="10" max="16384" width="9" style="100"/>
  </cols>
  <sheetData>
    <row r="1" ht="14.25" spans="1:8">
      <c r="A1" s="103" t="s">
        <v>223</v>
      </c>
      <c r="B1" s="102" t="s">
        <v>207</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2740</v>
      </c>
      <c r="F4" s="112"/>
      <c r="G4" s="112"/>
      <c r="H4" s="112"/>
    </row>
    <row r="5" ht="17.25" spans="1:8">
      <c r="A5" s="102">
        <v>2</v>
      </c>
      <c r="B5" s="102" t="s">
        <v>228</v>
      </c>
      <c r="C5" s="102"/>
      <c r="D5" s="102"/>
      <c r="E5" s="112" t="s">
        <v>2741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2737</v>
      </c>
      <c r="D12" s="114" t="s">
        <v>2738</v>
      </c>
      <c r="E12" s="110" t="s">
        <v>2739</v>
      </c>
      <c r="F12" s="111"/>
      <c r="G12" s="111" t="s">
        <v>564</v>
      </c>
      <c r="H12" s="111"/>
      <c r="I12" s="100" t="s">
        <v>2731</v>
      </c>
      <c r="J12" s="100" t="s">
        <v>243</v>
      </c>
      <c r="L12" s="100" t="s">
        <v>2522</v>
      </c>
    </row>
    <row r="13" ht="17.25" spans="1:8">
      <c r="A13" s="102">
        <v>3</v>
      </c>
      <c r="B13" s="109" t="s">
        <v>242</v>
      </c>
      <c r="C13" s="110" t="s">
        <v>2648</v>
      </c>
      <c r="D13" s="115" t="s">
        <v>2648</v>
      </c>
      <c r="E13" s="110" t="s">
        <v>2649</v>
      </c>
      <c r="F13" s="111" t="s">
        <v>2650</v>
      </c>
      <c r="G13" s="111" t="s">
        <v>263</v>
      </c>
      <c r="H13" s="111"/>
    </row>
    <row r="14" ht="17.25" spans="1:8">
      <c r="A14" s="102">
        <v>4</v>
      </c>
      <c r="B14" s="109" t="s">
        <v>242</v>
      </c>
      <c r="C14" s="116" t="s">
        <v>2651</v>
      </c>
      <c r="D14" s="116" t="s">
        <v>2651</v>
      </c>
      <c r="E14" s="116" t="s">
        <v>2652</v>
      </c>
      <c r="F14" s="117" t="s">
        <v>2653</v>
      </c>
      <c r="G14" s="117" t="s">
        <v>564</v>
      </c>
      <c r="H14" s="11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workbookViewId="0">
      <selection activeCell="I12" sqref="I12"/>
    </sheetView>
  </sheetViews>
  <sheetFormatPr defaultColWidth="9" defaultRowHeight="13.5"/>
  <cols>
    <col min="1" max="2" width="9" style="100"/>
    <col min="3" max="4" width="14.3333333333333" style="100" customWidth="1"/>
    <col min="5" max="5" width="9" style="100"/>
    <col min="6" max="6" width="13.1666666666667" style="100" customWidth="1"/>
    <col min="7" max="7" width="14.5" style="100" customWidth="1"/>
    <col min="8" max="8" width="9" style="100"/>
    <col min="9" max="9" width="16.3333333333333" style="100" customWidth="1"/>
    <col min="10" max="16384" width="9" style="100"/>
  </cols>
  <sheetData>
    <row r="1" ht="14.25" spans="1:8">
      <c r="A1" s="103" t="s">
        <v>223</v>
      </c>
      <c r="B1" s="102" t="s">
        <v>208</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2742</v>
      </c>
      <c r="F4" s="112"/>
      <c r="G4" s="112"/>
      <c r="H4" s="112"/>
    </row>
    <row r="5" ht="17.25" spans="1:8">
      <c r="A5" s="102">
        <v>2</v>
      </c>
      <c r="B5" s="102" t="s">
        <v>228</v>
      </c>
      <c r="C5" s="102"/>
      <c r="D5" s="102"/>
      <c r="E5" s="112" t="s">
        <v>2743</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2635</v>
      </c>
      <c r="D12" s="114" t="s">
        <v>2635</v>
      </c>
      <c r="E12" s="110" t="s">
        <v>2637</v>
      </c>
      <c r="F12" s="111"/>
      <c r="G12" s="111" t="s">
        <v>564</v>
      </c>
      <c r="H12" s="111"/>
      <c r="I12" s="100" t="s">
        <v>2621</v>
      </c>
      <c r="J12" s="100" t="s">
        <v>243</v>
      </c>
      <c r="L12" s="100" t="s">
        <v>365</v>
      </c>
    </row>
    <row r="13" ht="27" spans="1:8">
      <c r="A13" s="102">
        <v>3</v>
      </c>
      <c r="B13" s="109" t="s">
        <v>242</v>
      </c>
      <c r="C13" s="110" t="s">
        <v>2744</v>
      </c>
      <c r="D13" s="114" t="s">
        <v>2744</v>
      </c>
      <c r="E13" s="110" t="s">
        <v>2745</v>
      </c>
      <c r="F13" s="121" t="s">
        <v>2746</v>
      </c>
      <c r="G13" s="111" t="s">
        <v>263</v>
      </c>
      <c r="H13" s="111"/>
    </row>
    <row r="14" ht="17.25" spans="1:8">
      <c r="A14" s="102">
        <v>4</v>
      </c>
      <c r="B14" s="109"/>
      <c r="C14" s="110" t="s">
        <v>2747</v>
      </c>
      <c r="D14" s="114" t="s">
        <v>2747</v>
      </c>
      <c r="E14" s="110" t="s">
        <v>2748</v>
      </c>
      <c r="F14" s="111"/>
      <c r="G14" s="111" t="s">
        <v>263</v>
      </c>
      <c r="H14" s="111"/>
    </row>
    <row r="15" ht="17.25" spans="1:8">
      <c r="A15" s="102">
        <v>5</v>
      </c>
      <c r="B15" s="109"/>
      <c r="C15" s="110" t="s">
        <v>2749</v>
      </c>
      <c r="D15" s="114" t="s">
        <v>2749</v>
      </c>
      <c r="E15" s="110" t="s">
        <v>2750</v>
      </c>
      <c r="F15" s="111"/>
      <c r="G15" s="111" t="s">
        <v>564</v>
      </c>
      <c r="H15" s="111"/>
    </row>
    <row r="16" ht="27" spans="1:8">
      <c r="A16" s="102">
        <v>6</v>
      </c>
      <c r="B16" s="109" t="s">
        <v>242</v>
      </c>
      <c r="C16" s="110" t="s">
        <v>2751</v>
      </c>
      <c r="D16" s="114" t="s">
        <v>2751</v>
      </c>
      <c r="E16" s="110" t="s">
        <v>2752</v>
      </c>
      <c r="F16" s="121" t="s">
        <v>2753</v>
      </c>
      <c r="G16" s="111" t="s">
        <v>263</v>
      </c>
      <c r="H16" s="111"/>
    </row>
    <row r="17" ht="17.25" spans="1:12">
      <c r="A17" s="102">
        <v>7</v>
      </c>
      <c r="B17" s="109"/>
      <c r="C17" s="111" t="s">
        <v>2497</v>
      </c>
      <c r="D17" s="120" t="s">
        <v>2497</v>
      </c>
      <c r="E17" s="111" t="s">
        <v>247</v>
      </c>
      <c r="F17" s="111"/>
      <c r="G17" s="111" t="s">
        <v>564</v>
      </c>
      <c r="H17" s="111"/>
      <c r="I17" s="100" t="s">
        <v>249</v>
      </c>
      <c r="J17" s="100" t="s">
        <v>247</v>
      </c>
      <c r="L17" s="100" t="s">
        <v>365</v>
      </c>
    </row>
    <row r="18" ht="17.25" spans="1:8">
      <c r="A18" s="102">
        <v>8</v>
      </c>
      <c r="B18" s="111"/>
      <c r="C18" s="111" t="s">
        <v>2754</v>
      </c>
      <c r="D18" s="120" t="s">
        <v>2754</v>
      </c>
      <c r="E18" s="111" t="s">
        <v>2755</v>
      </c>
      <c r="F18" s="111"/>
      <c r="G18" s="111" t="s">
        <v>2545</v>
      </c>
      <c r="H18"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workbookViewId="0">
      <selection activeCell="E4" sqref="E4:H4"/>
    </sheetView>
  </sheetViews>
  <sheetFormatPr defaultColWidth="9" defaultRowHeight="13.5"/>
  <cols>
    <col min="1" max="2" width="9" style="100"/>
    <col min="3" max="4" width="14.6666666666667" style="100" customWidth="1"/>
    <col min="5" max="8" width="9" style="100"/>
    <col min="9" max="9" width="15.3333333333333" style="100" customWidth="1"/>
    <col min="10" max="16384" width="9" style="100"/>
  </cols>
  <sheetData>
    <row r="1" ht="14.25" spans="1:8">
      <c r="A1" s="103" t="s">
        <v>223</v>
      </c>
      <c r="B1" s="102" t="s">
        <v>209</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2756</v>
      </c>
      <c r="F4" s="112"/>
      <c r="G4" s="112"/>
      <c r="H4" s="112"/>
    </row>
    <row r="5" ht="17.25" spans="1:8">
      <c r="A5" s="102">
        <v>2</v>
      </c>
      <c r="B5" s="102" t="s">
        <v>228</v>
      </c>
      <c r="C5" s="102"/>
      <c r="D5" s="102"/>
      <c r="E5" s="112" t="s">
        <v>2757</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0">
      <c r="A12" s="102">
        <v>2</v>
      </c>
      <c r="B12" s="109" t="s">
        <v>242</v>
      </c>
      <c r="C12" s="110" t="s">
        <v>2758</v>
      </c>
      <c r="D12" s="114" t="s">
        <v>2759</v>
      </c>
      <c r="E12" s="110" t="s">
        <v>2760</v>
      </c>
      <c r="F12" s="111"/>
      <c r="G12" s="111" t="s">
        <v>564</v>
      </c>
      <c r="H12" s="111"/>
      <c r="I12" s="100" t="s">
        <v>2742</v>
      </c>
      <c r="J12" s="100" t="s">
        <v>243</v>
      </c>
    </row>
    <row r="13" ht="17.25" spans="1:8">
      <c r="A13" s="102">
        <v>3</v>
      </c>
      <c r="B13" s="109" t="s">
        <v>242</v>
      </c>
      <c r="C13" s="110" t="s">
        <v>558</v>
      </c>
      <c r="D13" s="114" t="s">
        <v>558</v>
      </c>
      <c r="E13" s="110" t="s">
        <v>560</v>
      </c>
      <c r="F13" s="111"/>
      <c r="G13" s="111" t="s">
        <v>1202</v>
      </c>
      <c r="H13" s="111"/>
    </row>
    <row r="14" ht="17.25" spans="1:8">
      <c r="A14" s="102">
        <v>4</v>
      </c>
      <c r="B14" s="109" t="s">
        <v>242</v>
      </c>
      <c r="C14" s="110" t="s">
        <v>2761</v>
      </c>
      <c r="D14" s="114" t="s">
        <v>2761</v>
      </c>
      <c r="E14" s="110" t="s">
        <v>2762</v>
      </c>
      <c r="F14" s="111"/>
      <c r="G14" s="111" t="s">
        <v>263</v>
      </c>
      <c r="H14"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selection activeCell="E4" sqref="E4:H4"/>
    </sheetView>
  </sheetViews>
  <sheetFormatPr defaultColWidth="9" defaultRowHeight="13.5"/>
  <cols>
    <col min="1" max="2" width="9" style="100"/>
    <col min="3" max="4" width="14.8333333333333" style="100" customWidth="1"/>
    <col min="5" max="6" width="9" style="100"/>
    <col min="7" max="7" width="15.3333333333333" style="100" customWidth="1"/>
    <col min="8" max="8" width="9" style="100"/>
    <col min="9" max="9" width="20.8333333333333" style="100" customWidth="1"/>
    <col min="10" max="16384" width="9" style="100"/>
  </cols>
  <sheetData>
    <row r="1" ht="14.25" spans="1:8">
      <c r="A1" s="103" t="s">
        <v>223</v>
      </c>
      <c r="B1" s="102" t="s">
        <v>210</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2763</v>
      </c>
      <c r="F4" s="112"/>
      <c r="G4" s="112"/>
      <c r="H4" s="112"/>
    </row>
    <row r="5" ht="17.25" spans="1:8">
      <c r="A5" s="102">
        <v>2</v>
      </c>
      <c r="B5" s="102" t="s">
        <v>228</v>
      </c>
      <c r="C5" s="102"/>
      <c r="D5" s="102"/>
      <c r="E5" s="112" t="s">
        <v>2764</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0">
      <c r="A12" s="102">
        <v>2</v>
      </c>
      <c r="B12" s="109" t="s">
        <v>242</v>
      </c>
      <c r="C12" s="110" t="s">
        <v>2758</v>
      </c>
      <c r="D12" s="114" t="s">
        <v>2765</v>
      </c>
      <c r="E12" s="110" t="s">
        <v>2760</v>
      </c>
      <c r="F12" s="111"/>
      <c r="G12" s="111" t="s">
        <v>564</v>
      </c>
      <c r="H12" s="111"/>
      <c r="I12" s="100" t="s">
        <v>2742</v>
      </c>
      <c r="J12" s="100" t="s">
        <v>243</v>
      </c>
    </row>
    <row r="13" ht="17.25" spans="1:8">
      <c r="A13" s="102">
        <v>3</v>
      </c>
      <c r="B13" s="109" t="s">
        <v>242</v>
      </c>
      <c r="C13" s="110" t="s">
        <v>2766</v>
      </c>
      <c r="D13" s="114" t="s">
        <v>2766</v>
      </c>
      <c r="E13" s="110" t="s">
        <v>560</v>
      </c>
      <c r="F13" s="111"/>
      <c r="G13" s="111" t="s">
        <v>282</v>
      </c>
      <c r="H13" s="111"/>
    </row>
    <row r="14" ht="17.25" spans="1:8">
      <c r="A14" s="102">
        <v>4</v>
      </c>
      <c r="B14" s="109" t="s">
        <v>242</v>
      </c>
      <c r="C14" s="110" t="s">
        <v>2767</v>
      </c>
      <c r="D14" s="114" t="s">
        <v>2767</v>
      </c>
      <c r="E14" s="110" t="s">
        <v>365</v>
      </c>
      <c r="F14" s="111"/>
      <c r="G14" s="111" t="s">
        <v>303</v>
      </c>
      <c r="H14" s="111"/>
    </row>
    <row r="15" ht="17.25" spans="1:12">
      <c r="A15" s="102">
        <v>5</v>
      </c>
      <c r="B15" s="109" t="s">
        <v>242</v>
      </c>
      <c r="C15" s="110" t="s">
        <v>2768</v>
      </c>
      <c r="D15" s="114" t="s">
        <v>2769</v>
      </c>
      <c r="E15" s="110" t="s">
        <v>2770</v>
      </c>
      <c r="F15" s="111"/>
      <c r="G15" s="111" t="s">
        <v>564</v>
      </c>
      <c r="H15" s="111"/>
      <c r="I15" s="100" t="s">
        <v>2771</v>
      </c>
      <c r="J15" s="100" t="s">
        <v>243</v>
      </c>
      <c r="K15" s="110"/>
      <c r="L15" s="110" t="s">
        <v>2522</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I12" sqref="I12:J12"/>
    </sheetView>
  </sheetViews>
  <sheetFormatPr defaultColWidth="9" defaultRowHeight="13.5"/>
  <cols>
    <col min="1" max="2" width="9" style="100"/>
    <col min="3" max="4" width="12.8333333333333" style="100" customWidth="1"/>
    <col min="5" max="5" width="9" style="100"/>
    <col min="6" max="6" width="15.8333333333333" style="100" customWidth="1"/>
    <col min="7" max="7" width="14.8333333333333" style="100" customWidth="1"/>
    <col min="8" max="8" width="9" style="100"/>
    <col min="9" max="9" width="18.6666666666667" style="100" customWidth="1"/>
    <col min="10" max="16384" width="9" style="100"/>
  </cols>
  <sheetData>
    <row r="1" ht="14.25" spans="1:8">
      <c r="A1" s="103" t="s">
        <v>223</v>
      </c>
      <c r="B1" s="102" t="s">
        <v>211</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2772</v>
      </c>
      <c r="F4" s="112"/>
      <c r="G4" s="112"/>
      <c r="H4" s="112"/>
    </row>
    <row r="5" ht="17.25" spans="1:8">
      <c r="A5" s="102">
        <v>2</v>
      </c>
      <c r="B5" s="102" t="s">
        <v>228</v>
      </c>
      <c r="C5" s="102"/>
      <c r="D5" s="102"/>
      <c r="E5" s="112" t="s">
        <v>2773</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2774</v>
      </c>
      <c r="D12" s="114" t="s">
        <v>2775</v>
      </c>
      <c r="E12" s="110" t="s">
        <v>2776</v>
      </c>
      <c r="F12" s="111"/>
      <c r="G12" s="111" t="s">
        <v>564</v>
      </c>
      <c r="H12" s="111"/>
      <c r="I12" s="100" t="s">
        <v>2763</v>
      </c>
      <c r="J12" s="100" t="s">
        <v>243</v>
      </c>
      <c r="L12" s="110" t="s">
        <v>365</v>
      </c>
    </row>
    <row r="13" ht="17.25" spans="1:12">
      <c r="A13" s="102">
        <v>3</v>
      </c>
      <c r="B13" s="109" t="s">
        <v>242</v>
      </c>
      <c r="C13" s="110" t="s">
        <v>2497</v>
      </c>
      <c r="D13" s="114" t="s">
        <v>2497</v>
      </c>
      <c r="E13" s="110" t="s">
        <v>247</v>
      </c>
      <c r="F13" s="111"/>
      <c r="G13" s="111" t="s">
        <v>564</v>
      </c>
      <c r="H13" s="111"/>
      <c r="I13" s="100" t="s">
        <v>249</v>
      </c>
      <c r="J13" s="100" t="s">
        <v>247</v>
      </c>
      <c r="L13" s="11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E4" sqref="E4:H4"/>
    </sheetView>
  </sheetViews>
  <sheetFormatPr defaultColWidth="9" defaultRowHeight="13.5" outlineLevelCol="7"/>
  <cols>
    <col min="1" max="2" width="9" style="100"/>
    <col min="3" max="4" width="13.6666666666667" style="100" customWidth="1"/>
    <col min="5" max="5" width="9" style="100"/>
    <col min="6" max="6" width="17.1666666666667" style="100" customWidth="1"/>
    <col min="7" max="7" width="16.1666666666667" style="100" customWidth="1"/>
    <col min="8" max="16384" width="9" style="100"/>
  </cols>
  <sheetData>
    <row r="1" ht="14.25" spans="1:8">
      <c r="A1" s="103" t="s">
        <v>223</v>
      </c>
      <c r="B1" s="102" t="s">
        <v>212</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2771</v>
      </c>
      <c r="F4" s="112"/>
      <c r="G4" s="112"/>
      <c r="H4" s="112"/>
    </row>
    <row r="5" ht="17.25" spans="1:8">
      <c r="A5" s="102">
        <v>2</v>
      </c>
      <c r="B5" s="102" t="s">
        <v>228</v>
      </c>
      <c r="C5" s="102"/>
      <c r="D5" s="102"/>
      <c r="E5" s="112" t="s">
        <v>2777</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8">
      <c r="A12" s="102">
        <v>2</v>
      </c>
      <c r="B12" s="109" t="s">
        <v>242</v>
      </c>
      <c r="C12" s="110" t="s">
        <v>1350</v>
      </c>
      <c r="D12" s="114" t="s">
        <v>1350</v>
      </c>
      <c r="E12" s="110" t="s">
        <v>2522</v>
      </c>
      <c r="F12" s="111"/>
      <c r="G12" s="111" t="s">
        <v>1647</v>
      </c>
      <c r="H12" s="111"/>
    </row>
    <row r="13" ht="17.25" spans="1:8">
      <c r="A13" s="102">
        <v>3</v>
      </c>
      <c r="B13" s="109" t="s">
        <v>242</v>
      </c>
      <c r="C13" s="110" t="s">
        <v>2610</v>
      </c>
      <c r="D13" s="114" t="s">
        <v>2610</v>
      </c>
      <c r="E13" s="110" t="s">
        <v>2611</v>
      </c>
      <c r="F13" s="111"/>
      <c r="G13" s="111" t="s">
        <v>1202</v>
      </c>
      <c r="H13" s="111"/>
    </row>
    <row r="14" ht="17.25" spans="1:8">
      <c r="A14" s="102">
        <v>4</v>
      </c>
      <c r="B14" s="109" t="s">
        <v>242</v>
      </c>
      <c r="C14" s="110" t="s">
        <v>2271</v>
      </c>
      <c r="D14" s="114" t="s">
        <v>2778</v>
      </c>
      <c r="E14" s="110" t="s">
        <v>2504</v>
      </c>
      <c r="F14" s="111" t="s">
        <v>2779</v>
      </c>
      <c r="G14" s="111" t="s">
        <v>263</v>
      </c>
      <c r="H14"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selection activeCell="I12" sqref="I12:J12"/>
    </sheetView>
  </sheetViews>
  <sheetFormatPr defaultColWidth="9" defaultRowHeight="13.5"/>
  <cols>
    <col min="1" max="6" width="9" style="100"/>
    <col min="7" max="7" width="14.6666666666667" style="100" customWidth="1"/>
    <col min="8" max="8" width="9" style="100"/>
    <col min="9" max="9" width="21.6666666666667" style="100" customWidth="1"/>
    <col min="10" max="16384" width="9" style="100"/>
  </cols>
  <sheetData>
    <row r="1" ht="14.25" spans="1:8">
      <c r="A1" s="103" t="s">
        <v>223</v>
      </c>
      <c r="B1" s="102" t="s">
        <v>213</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2780</v>
      </c>
      <c r="F4" s="112"/>
      <c r="G4" s="112"/>
      <c r="H4" s="112"/>
    </row>
    <row r="5" ht="17.25" spans="1:8">
      <c r="A5" s="102">
        <v>2</v>
      </c>
      <c r="B5" s="102" t="s">
        <v>228</v>
      </c>
      <c r="C5" s="102"/>
      <c r="D5" s="102"/>
      <c r="E5" s="112" t="s">
        <v>2781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2768</v>
      </c>
      <c r="D12" s="114" t="s">
        <v>2769</v>
      </c>
      <c r="E12" s="110" t="s">
        <v>2770</v>
      </c>
      <c r="F12" s="111"/>
      <c r="G12" s="111" t="s">
        <v>564</v>
      </c>
      <c r="H12" s="111"/>
      <c r="I12" s="119" t="s">
        <v>2771</v>
      </c>
      <c r="J12" s="100" t="s">
        <v>243</v>
      </c>
      <c r="L12" s="110" t="s">
        <v>2611</v>
      </c>
    </row>
    <row r="13" ht="17.25" spans="1:8">
      <c r="A13" s="102">
        <v>3</v>
      </c>
      <c r="B13" s="109" t="s">
        <v>242</v>
      </c>
      <c r="C13" s="110" t="s">
        <v>2782</v>
      </c>
      <c r="D13" s="114" t="s">
        <v>2782</v>
      </c>
      <c r="E13" s="110" t="s">
        <v>2565</v>
      </c>
      <c r="F13" s="111"/>
      <c r="G13" s="111" t="s">
        <v>564</v>
      </c>
      <c r="H13" s="111"/>
    </row>
    <row r="14" ht="17.25" spans="1:8">
      <c r="A14" s="102">
        <v>4</v>
      </c>
      <c r="B14" s="109" t="s">
        <v>242</v>
      </c>
      <c r="C14" s="110" t="s">
        <v>2783</v>
      </c>
      <c r="D14" s="114" t="s">
        <v>2783</v>
      </c>
      <c r="E14" s="110" t="s">
        <v>954</v>
      </c>
      <c r="F14" s="111"/>
      <c r="G14" s="111" t="s">
        <v>564</v>
      </c>
      <c r="H14" s="111"/>
    </row>
    <row r="15" ht="17.25" spans="1:8">
      <c r="A15" s="102">
        <v>5</v>
      </c>
      <c r="B15" s="109" t="s">
        <v>242</v>
      </c>
      <c r="C15" s="110" t="s">
        <v>558</v>
      </c>
      <c r="D15" s="114" t="s">
        <v>558</v>
      </c>
      <c r="E15" s="110" t="s">
        <v>560</v>
      </c>
      <c r="F15" s="111"/>
      <c r="G15" s="111" t="s">
        <v>263</v>
      </c>
      <c r="H15"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I12" sqref="I12:J12"/>
    </sheetView>
  </sheetViews>
  <sheetFormatPr defaultColWidth="9" defaultRowHeight="13.5"/>
  <cols>
    <col min="1" max="2" width="9" style="100"/>
    <col min="3" max="4" width="12.1666666666667" style="100" customWidth="1"/>
    <col min="5" max="5" width="9" style="100"/>
    <col min="6" max="6" width="26" style="100" customWidth="1"/>
    <col min="7" max="7" width="15.1666666666667" style="100" customWidth="1"/>
    <col min="8" max="8" width="9" style="100"/>
    <col min="9" max="9" width="21.6666666666667" style="100" customWidth="1"/>
    <col min="10" max="16384" width="9" style="100"/>
  </cols>
  <sheetData>
    <row r="1" ht="14.25" spans="1:8">
      <c r="A1" s="103" t="s">
        <v>223</v>
      </c>
      <c r="B1" s="102" t="s">
        <v>214</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2784</v>
      </c>
      <c r="F4" s="112"/>
      <c r="G4" s="112"/>
      <c r="H4" s="112"/>
    </row>
    <row r="5" ht="17.25" spans="1:8">
      <c r="A5" s="102">
        <v>2</v>
      </c>
      <c r="B5" s="102" t="s">
        <v>228</v>
      </c>
      <c r="C5" s="102"/>
      <c r="D5" s="102"/>
      <c r="E5" s="112" t="s">
        <v>2785</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2768</v>
      </c>
      <c r="D12" s="114" t="s">
        <v>2769</v>
      </c>
      <c r="E12" s="110" t="s">
        <v>2770</v>
      </c>
      <c r="F12" s="111"/>
      <c r="G12" s="111" t="s">
        <v>564</v>
      </c>
      <c r="H12" s="111"/>
      <c r="I12" s="119" t="s">
        <v>2771</v>
      </c>
      <c r="J12" s="100" t="s">
        <v>243</v>
      </c>
      <c r="L12" s="110" t="s">
        <v>2522</v>
      </c>
    </row>
    <row r="13" ht="17.25" spans="1:12">
      <c r="A13" s="102">
        <v>3</v>
      </c>
      <c r="B13" s="109" t="s">
        <v>242</v>
      </c>
      <c r="C13" s="110" t="s">
        <v>2786</v>
      </c>
      <c r="D13" s="114" t="s">
        <v>246</v>
      </c>
      <c r="E13" s="110" t="s">
        <v>247</v>
      </c>
      <c r="F13" s="111"/>
      <c r="G13" s="111" t="s">
        <v>564</v>
      </c>
      <c r="H13" s="111"/>
      <c r="I13" s="100" t="s">
        <v>249</v>
      </c>
      <c r="J13" s="100" t="s">
        <v>247</v>
      </c>
      <c r="L13" s="100" t="s">
        <v>365</v>
      </c>
    </row>
    <row r="14" ht="17.25" spans="1:8">
      <c r="A14" s="102">
        <v>4</v>
      </c>
      <c r="B14" s="109" t="s">
        <v>242</v>
      </c>
      <c r="C14" s="110" t="s">
        <v>2787</v>
      </c>
      <c r="D14" s="114" t="s">
        <v>2788</v>
      </c>
      <c r="E14" s="110" t="s">
        <v>527</v>
      </c>
      <c r="F14" s="111" t="s">
        <v>2789</v>
      </c>
      <c r="G14" s="111" t="s">
        <v>2416</v>
      </c>
      <c r="H14"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6"/>
  <sheetViews>
    <sheetView workbookViewId="0">
      <selection activeCell="I12" sqref="I12:J12"/>
    </sheetView>
  </sheetViews>
  <sheetFormatPr defaultColWidth="9" defaultRowHeight="13.5"/>
  <cols>
    <col min="1" max="2" width="9" style="100"/>
    <col min="3" max="4" width="12.8333333333333" style="100" customWidth="1"/>
    <col min="5" max="5" width="9" style="100"/>
    <col min="6" max="7" width="17.3333333333333" style="100" customWidth="1"/>
    <col min="8" max="8" width="9" style="100"/>
    <col min="9" max="9" width="21.6666666666667" style="100" customWidth="1"/>
    <col min="10" max="16384" width="9" style="100"/>
  </cols>
  <sheetData>
    <row r="1" ht="14.25" spans="1:8">
      <c r="A1" s="103" t="s">
        <v>223</v>
      </c>
      <c r="B1" s="102" t="s">
        <v>215</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2790</v>
      </c>
      <c r="F4" s="112"/>
      <c r="G4" s="112"/>
      <c r="H4" s="112"/>
    </row>
    <row r="5" ht="17.25" spans="1:8">
      <c r="A5" s="102">
        <v>2</v>
      </c>
      <c r="B5" s="102" t="s">
        <v>228</v>
      </c>
      <c r="C5" s="102"/>
      <c r="D5" s="102"/>
      <c r="E5" s="112" t="s">
        <v>2791</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236</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2768</v>
      </c>
      <c r="D12" s="114" t="s">
        <v>2769</v>
      </c>
      <c r="E12" s="110" t="s">
        <v>2770</v>
      </c>
      <c r="F12" s="111"/>
      <c r="G12" s="111" t="s">
        <v>564</v>
      </c>
      <c r="H12" s="111"/>
      <c r="I12" s="119" t="s">
        <v>2771</v>
      </c>
      <c r="J12" s="100" t="s">
        <v>243</v>
      </c>
      <c r="L12" s="118" t="s">
        <v>2522</v>
      </c>
    </row>
    <row r="13" ht="17.25" spans="1:8">
      <c r="A13" s="102">
        <v>3</v>
      </c>
      <c r="B13" s="109" t="s">
        <v>242</v>
      </c>
      <c r="C13" s="111" t="s">
        <v>2792</v>
      </c>
      <c r="D13" s="120" t="s">
        <v>2792</v>
      </c>
      <c r="E13" s="111" t="s">
        <v>527</v>
      </c>
      <c r="F13" s="111"/>
      <c r="G13" s="111" t="s">
        <v>2416</v>
      </c>
      <c r="H13" s="111"/>
    </row>
    <row r="14" ht="17.25" spans="1:8">
      <c r="A14" s="102">
        <v>4</v>
      </c>
      <c r="B14" s="109" t="s">
        <v>242</v>
      </c>
      <c r="C14" s="111" t="s">
        <v>2610</v>
      </c>
      <c r="D14" s="120" t="s">
        <v>2610</v>
      </c>
      <c r="E14" s="111" t="s">
        <v>2611</v>
      </c>
      <c r="F14" s="111"/>
      <c r="G14" s="100" t="s">
        <v>1202</v>
      </c>
      <c r="H14" s="111"/>
    </row>
    <row r="15" ht="17.25" spans="1:8">
      <c r="A15" s="102">
        <v>5</v>
      </c>
      <c r="B15" s="109" t="s">
        <v>242</v>
      </c>
      <c r="C15" s="110" t="s">
        <v>2793</v>
      </c>
      <c r="D15" s="115" t="s">
        <v>2793</v>
      </c>
      <c r="E15" s="110" t="s">
        <v>2649</v>
      </c>
      <c r="F15" s="111" t="s">
        <v>2794</v>
      </c>
      <c r="G15" s="111" t="s">
        <v>263</v>
      </c>
      <c r="H15" s="111"/>
    </row>
    <row r="16" ht="17.25" spans="1:8">
      <c r="A16" s="102">
        <v>6</v>
      </c>
      <c r="B16" s="109" t="s">
        <v>242</v>
      </c>
      <c r="C16" s="116" t="s">
        <v>2795</v>
      </c>
      <c r="D16" s="116" t="s">
        <v>2795</v>
      </c>
      <c r="E16" s="116" t="s">
        <v>2652</v>
      </c>
      <c r="F16" s="117" t="s">
        <v>2796</v>
      </c>
      <c r="G16" s="117" t="s">
        <v>564</v>
      </c>
      <c r="H16" s="11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workbookViewId="0">
      <selection activeCell="A13" sqref="A13:A15"/>
    </sheetView>
  </sheetViews>
  <sheetFormatPr defaultColWidth="9" defaultRowHeight="13.5"/>
  <cols>
    <col min="1" max="2" width="9" style="100"/>
    <col min="3" max="4" width="16.8333333333333" style="100" customWidth="1"/>
    <col min="5" max="5" width="9" style="100"/>
    <col min="6" max="6" width="24.5" style="100" customWidth="1"/>
    <col min="7" max="7" width="26.6666666666667" style="100" customWidth="1"/>
    <col min="8" max="8" width="9" style="100"/>
    <col min="9" max="9" width="26.5" style="100" customWidth="1"/>
    <col min="10" max="16384" width="9" style="100"/>
  </cols>
  <sheetData>
    <row r="1" ht="14.25" customHeight="1" spans="1:8">
      <c r="A1" s="103" t="s">
        <v>223</v>
      </c>
      <c r="B1" s="102" t="s">
        <v>216</v>
      </c>
      <c r="C1" s="102"/>
      <c r="D1" s="102"/>
      <c r="E1" s="102"/>
      <c r="F1" s="102"/>
      <c r="G1" s="102"/>
      <c r="H1" s="102"/>
    </row>
    <row r="2" ht="14.25" customHeight="1" spans="1:8">
      <c r="A2" s="103"/>
      <c r="B2" s="102"/>
      <c r="C2" s="102"/>
      <c r="D2" s="102"/>
      <c r="E2" s="102"/>
      <c r="F2" s="102"/>
      <c r="G2" s="102"/>
      <c r="H2" s="102"/>
    </row>
    <row r="3" ht="17.25" customHeight="1" spans="1:8">
      <c r="A3" s="104" t="s">
        <v>225</v>
      </c>
      <c r="B3" s="104"/>
      <c r="C3" s="104"/>
      <c r="D3" s="104"/>
      <c r="E3" s="104"/>
      <c r="F3" s="104"/>
      <c r="G3" s="104"/>
      <c r="H3" s="104"/>
    </row>
    <row r="4" ht="17.25" customHeight="1" spans="1:8">
      <c r="A4" s="102">
        <v>1</v>
      </c>
      <c r="B4" s="102" t="s">
        <v>226</v>
      </c>
      <c r="C4" s="102"/>
      <c r="D4" s="102"/>
      <c r="E4" s="112" t="s">
        <v>2797</v>
      </c>
      <c r="F4" s="112"/>
      <c r="G4" s="112"/>
      <c r="H4" s="112"/>
    </row>
    <row r="5" ht="17.25" customHeight="1" spans="1:8">
      <c r="A5" s="102">
        <v>2</v>
      </c>
      <c r="B5" s="102" t="s">
        <v>228</v>
      </c>
      <c r="C5" s="102"/>
      <c r="D5" s="102"/>
      <c r="E5" s="112" t="s">
        <v>2798</v>
      </c>
      <c r="F5" s="112"/>
      <c r="G5" s="112"/>
      <c r="H5" s="112"/>
    </row>
    <row r="6" ht="17.25" spans="1:8">
      <c r="A6" s="102">
        <v>3</v>
      </c>
      <c r="B6" s="102" t="s">
        <v>229</v>
      </c>
      <c r="C6" s="102"/>
      <c r="D6" s="102"/>
      <c r="E6" s="112"/>
      <c r="F6" s="112"/>
      <c r="G6" s="112"/>
      <c r="H6" s="112"/>
    </row>
    <row r="7" ht="17.25" customHeight="1" spans="1:8">
      <c r="A7" s="102">
        <v>4</v>
      </c>
      <c r="B7" s="102" t="s">
        <v>231</v>
      </c>
      <c r="C7" s="102"/>
      <c r="D7" s="102"/>
      <c r="E7" s="112"/>
      <c r="F7" s="112"/>
      <c r="G7" s="112"/>
      <c r="H7" s="112"/>
    </row>
    <row r="8" ht="17.25" customHeight="1"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1" t="s">
        <v>2799</v>
      </c>
      <c r="D12" s="120" t="s">
        <v>2800</v>
      </c>
      <c r="E12" s="111" t="s">
        <v>2801</v>
      </c>
      <c r="F12" s="111"/>
      <c r="G12" s="111" t="s">
        <v>564</v>
      </c>
      <c r="H12" s="111"/>
      <c r="I12" s="119" t="s">
        <v>2771</v>
      </c>
      <c r="J12" s="119" t="s">
        <v>243</v>
      </c>
      <c r="L12" s="118" t="s">
        <v>2522</v>
      </c>
    </row>
    <row r="13" ht="17.25" spans="1:10">
      <c r="A13" s="102">
        <v>3</v>
      </c>
      <c r="B13" s="109" t="s">
        <v>242</v>
      </c>
      <c r="C13" s="111" t="s">
        <v>2802</v>
      </c>
      <c r="D13" s="120" t="s">
        <v>2761</v>
      </c>
      <c r="E13" s="111" t="s">
        <v>2803</v>
      </c>
      <c r="F13" s="111"/>
      <c r="G13" s="111" t="s">
        <v>564</v>
      </c>
      <c r="H13" s="111"/>
      <c r="I13" s="119" t="s">
        <v>2804</v>
      </c>
      <c r="J13" s="119" t="s">
        <v>243</v>
      </c>
    </row>
    <row r="14" ht="17.25" spans="1:8">
      <c r="A14" s="102">
        <v>4</v>
      </c>
      <c r="B14" s="109" t="s">
        <v>242</v>
      </c>
      <c r="C14" s="111" t="s">
        <v>2610</v>
      </c>
      <c r="D14" s="120" t="s">
        <v>2610</v>
      </c>
      <c r="E14" s="111" t="s">
        <v>2611</v>
      </c>
      <c r="F14" s="111"/>
      <c r="G14" s="111" t="s">
        <v>1202</v>
      </c>
      <c r="H14" s="111"/>
    </row>
    <row r="15" ht="17.25" spans="1:8">
      <c r="A15" s="102">
        <v>5</v>
      </c>
      <c r="B15" s="109" t="s">
        <v>242</v>
      </c>
      <c r="C15" s="111" t="s">
        <v>2792</v>
      </c>
      <c r="D15" s="120" t="s">
        <v>2792</v>
      </c>
      <c r="E15" s="111" t="s">
        <v>527</v>
      </c>
      <c r="F15" s="111"/>
      <c r="G15" s="111" t="s">
        <v>2416</v>
      </c>
      <c r="H15"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6"/>
  <sheetViews>
    <sheetView workbookViewId="0">
      <selection activeCell="E4" sqref="E4:H4"/>
    </sheetView>
  </sheetViews>
  <sheetFormatPr defaultColWidth="9" defaultRowHeight="13.5"/>
  <cols>
    <col min="1" max="2" width="9" style="100"/>
    <col min="3" max="4" width="15.1666666666667" style="100" customWidth="1"/>
    <col min="5" max="5" width="9" style="100"/>
    <col min="6" max="6" width="22.1666666666667" style="100" customWidth="1"/>
    <col min="7" max="7" width="16.1666666666667" style="100" customWidth="1"/>
    <col min="8" max="8" width="9" style="100"/>
    <col min="9" max="9" width="21.6666666666667" style="100" customWidth="1"/>
    <col min="10" max="16384" width="9" style="100"/>
  </cols>
  <sheetData>
    <row r="1" ht="14.25" spans="1:8">
      <c r="A1" s="103" t="s">
        <v>223</v>
      </c>
      <c r="B1" s="102" t="s">
        <v>217</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2805</v>
      </c>
      <c r="F4" s="112"/>
      <c r="G4" s="112"/>
      <c r="H4" s="112"/>
    </row>
    <row r="5" ht="17.25" spans="1:8">
      <c r="A5" s="102">
        <v>2</v>
      </c>
      <c r="B5" s="102" t="s">
        <v>228</v>
      </c>
      <c r="C5" s="102"/>
      <c r="D5" s="102"/>
      <c r="E5" s="112" t="s">
        <v>2806</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236</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2768</v>
      </c>
      <c r="D12" s="114" t="s">
        <v>2769</v>
      </c>
      <c r="E12" s="110" t="s">
        <v>2770</v>
      </c>
      <c r="F12" s="111"/>
      <c r="G12" s="111" t="s">
        <v>564</v>
      </c>
      <c r="H12" s="111"/>
      <c r="I12" s="119" t="s">
        <v>2771</v>
      </c>
      <c r="J12" s="119" t="s">
        <v>243</v>
      </c>
      <c r="L12" s="118" t="s">
        <v>2522</v>
      </c>
    </row>
    <row r="13" ht="17.25" spans="1:8">
      <c r="A13" s="102">
        <v>3</v>
      </c>
      <c r="B13" s="109" t="s">
        <v>242</v>
      </c>
      <c r="C13" s="110" t="s">
        <v>2807</v>
      </c>
      <c r="D13" s="115" t="s">
        <v>2807</v>
      </c>
      <c r="E13" s="110" t="s">
        <v>2649</v>
      </c>
      <c r="F13" s="111" t="s">
        <v>2794</v>
      </c>
      <c r="G13" s="111" t="s">
        <v>263</v>
      </c>
      <c r="H13" s="111"/>
    </row>
    <row r="14" ht="17.25" spans="1:8">
      <c r="A14" s="102">
        <v>4</v>
      </c>
      <c r="B14" s="109" t="s">
        <v>242</v>
      </c>
      <c r="C14" s="116" t="s">
        <v>2808</v>
      </c>
      <c r="D14" s="116" t="s">
        <v>2808</v>
      </c>
      <c r="E14" s="116" t="s">
        <v>2652</v>
      </c>
      <c r="F14" s="117" t="s">
        <v>2796</v>
      </c>
      <c r="G14" s="117" t="s">
        <v>564</v>
      </c>
      <c r="H14" s="117"/>
    </row>
    <row r="15" ht="17.25" spans="1:8">
      <c r="A15" s="102">
        <v>5</v>
      </c>
      <c r="B15" s="109" t="s">
        <v>242</v>
      </c>
      <c r="C15" s="110" t="s">
        <v>2809</v>
      </c>
      <c r="D15" s="114" t="s">
        <v>2809</v>
      </c>
      <c r="E15" s="110" t="s">
        <v>527</v>
      </c>
      <c r="F15" s="111"/>
      <c r="G15" s="111" t="s">
        <v>2416</v>
      </c>
      <c r="H15" s="111"/>
    </row>
    <row r="16" ht="17.25" spans="1:8">
      <c r="A16" s="102">
        <v>6</v>
      </c>
      <c r="B16" s="109" t="s">
        <v>242</v>
      </c>
      <c r="C16" s="111" t="s">
        <v>2810</v>
      </c>
      <c r="D16" s="120" t="s">
        <v>2810</v>
      </c>
      <c r="E16" s="111" t="s">
        <v>2811</v>
      </c>
      <c r="F16" s="111"/>
      <c r="G16" s="111" t="s">
        <v>1352</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15"/>
  <sheetViews>
    <sheetView workbookViewId="0">
      <selection activeCell="J12" sqref="J12"/>
    </sheetView>
  </sheetViews>
  <sheetFormatPr defaultColWidth="9" defaultRowHeight="13.5"/>
  <cols>
    <col min="1" max="2" width="9" style="100"/>
    <col min="3" max="4" width="14.8333333333333" style="100" customWidth="1"/>
    <col min="5" max="5" width="9" style="100"/>
    <col min="6" max="6" width="18.6666666666667" style="100" customWidth="1"/>
    <col min="7" max="7" width="15.1666666666667" style="100" customWidth="1"/>
    <col min="8" max="8" width="9" style="100"/>
    <col min="9" max="9" width="21.6666666666667" style="100" customWidth="1"/>
    <col min="10" max="16384" width="9" style="100"/>
  </cols>
  <sheetData>
    <row r="1" ht="14.25" spans="1:8">
      <c r="A1" s="103" t="s">
        <v>223</v>
      </c>
      <c r="B1" s="102" t="s">
        <v>218</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2804</v>
      </c>
      <c r="F4" s="112"/>
      <c r="G4" s="112"/>
      <c r="H4" s="112"/>
    </row>
    <row r="5" ht="17.25" spans="1:8">
      <c r="A5" s="102">
        <v>2</v>
      </c>
      <c r="B5" s="102" t="s">
        <v>228</v>
      </c>
      <c r="C5" s="102"/>
      <c r="D5" s="102"/>
      <c r="E5" s="112" t="s">
        <v>2812</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0">
      <c r="A12" s="102">
        <v>2</v>
      </c>
      <c r="B12" s="109" t="s">
        <v>242</v>
      </c>
      <c r="C12" s="110" t="s">
        <v>2813</v>
      </c>
      <c r="D12" s="114" t="s">
        <v>2814</v>
      </c>
      <c r="E12" s="110" t="s">
        <v>2815</v>
      </c>
      <c r="F12" s="111"/>
      <c r="G12" s="111" t="s">
        <v>564</v>
      </c>
      <c r="H12" s="111"/>
      <c r="I12" s="119" t="s">
        <v>2805</v>
      </c>
      <c r="J12" s="119" t="s">
        <v>243</v>
      </c>
    </row>
    <row r="13" ht="17.25" spans="1:8">
      <c r="A13" s="102">
        <v>3</v>
      </c>
      <c r="B13" s="109" t="s">
        <v>242</v>
      </c>
      <c r="C13" s="110" t="s">
        <v>2816</v>
      </c>
      <c r="D13" s="114" t="s">
        <v>2816</v>
      </c>
      <c r="E13" s="110" t="s">
        <v>527</v>
      </c>
      <c r="F13" s="111"/>
      <c r="G13" s="111" t="s">
        <v>2416</v>
      </c>
      <c r="H13" s="111"/>
    </row>
    <row r="14" ht="17.25" spans="1:8">
      <c r="A14" s="102">
        <v>4</v>
      </c>
      <c r="B14" s="109" t="s">
        <v>242</v>
      </c>
      <c r="C14" s="110" t="s">
        <v>2817</v>
      </c>
      <c r="D14" s="114" t="s">
        <v>2817</v>
      </c>
      <c r="E14" s="110" t="s">
        <v>2649</v>
      </c>
      <c r="F14" s="111" t="s">
        <v>2794</v>
      </c>
      <c r="G14" s="111" t="s">
        <v>263</v>
      </c>
      <c r="H14" s="111"/>
    </row>
    <row r="15" ht="17.25" spans="1:8">
      <c r="A15" s="102">
        <v>5</v>
      </c>
      <c r="B15" s="109" t="s">
        <v>242</v>
      </c>
      <c r="C15" s="116" t="s">
        <v>2818</v>
      </c>
      <c r="D15" s="116" t="s">
        <v>2818</v>
      </c>
      <c r="E15" s="116" t="s">
        <v>2652</v>
      </c>
      <c r="F15" s="117" t="s">
        <v>2796</v>
      </c>
      <c r="G15" s="117" t="s">
        <v>564</v>
      </c>
      <c r="H15" s="117"/>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selection activeCell="E4" sqref="E4:H4"/>
    </sheetView>
  </sheetViews>
  <sheetFormatPr defaultColWidth="9" defaultRowHeight="13.5"/>
  <cols>
    <col min="1" max="2" width="9" style="100"/>
    <col min="3" max="3" width="15.5" style="100" customWidth="1"/>
    <col min="4" max="4" width="14.1666666666667" style="100" customWidth="1"/>
    <col min="5" max="6" width="9" style="100"/>
    <col min="7" max="7" width="16.6666666666667" style="100" customWidth="1"/>
    <col min="8" max="8" width="9" style="100"/>
    <col min="9" max="9" width="15.1666666666667" style="100" customWidth="1"/>
    <col min="10" max="16384" width="9" style="100"/>
  </cols>
  <sheetData>
    <row r="1" ht="14.25" spans="1:8">
      <c r="A1" s="103" t="s">
        <v>223</v>
      </c>
      <c r="B1" s="102" t="s">
        <v>219</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2819</v>
      </c>
      <c r="F4" s="112"/>
      <c r="G4" s="112"/>
      <c r="H4" s="112"/>
    </row>
    <row r="5" ht="17.25" spans="1:8">
      <c r="A5" s="102">
        <v>2</v>
      </c>
      <c r="B5" s="102" t="s">
        <v>228</v>
      </c>
      <c r="C5" s="102"/>
      <c r="D5" s="102"/>
      <c r="E5" s="112" t="s">
        <v>2820</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2635</v>
      </c>
      <c r="D12" s="114" t="s">
        <v>2636</v>
      </c>
      <c r="E12" s="110" t="s">
        <v>2637</v>
      </c>
      <c r="F12" s="111"/>
      <c r="G12" s="111" t="s">
        <v>564</v>
      </c>
      <c r="H12" s="111"/>
      <c r="I12" s="100" t="s">
        <v>2621</v>
      </c>
      <c r="J12" s="100" t="s">
        <v>243</v>
      </c>
      <c r="L12" s="118" t="s">
        <v>365</v>
      </c>
    </row>
    <row r="13" ht="17.25" spans="1:8">
      <c r="A13" s="102">
        <v>3</v>
      </c>
      <c r="B13" s="109" t="s">
        <v>242</v>
      </c>
      <c r="C13" s="110" t="s">
        <v>2766</v>
      </c>
      <c r="D13" s="114" t="s">
        <v>2766</v>
      </c>
      <c r="E13" s="110" t="s">
        <v>560</v>
      </c>
      <c r="F13" s="111"/>
      <c r="G13" s="111" t="s">
        <v>282</v>
      </c>
      <c r="H13" s="111"/>
    </row>
    <row r="14" ht="17.25" spans="1:8">
      <c r="A14" s="102">
        <v>4</v>
      </c>
      <c r="B14" s="109" t="s">
        <v>242</v>
      </c>
      <c r="C14" s="110" t="s">
        <v>2767</v>
      </c>
      <c r="D14" s="114" t="s">
        <v>2767</v>
      </c>
      <c r="E14" s="110" t="s">
        <v>365</v>
      </c>
      <c r="F14" s="111"/>
      <c r="G14" s="111" t="s">
        <v>303</v>
      </c>
      <c r="H14" s="111"/>
    </row>
    <row r="15" ht="17.25" spans="1:8">
      <c r="A15" s="102">
        <v>5</v>
      </c>
      <c r="B15" s="109" t="s">
        <v>242</v>
      </c>
      <c r="C15" s="110" t="s">
        <v>2821</v>
      </c>
      <c r="D15" s="114" t="s">
        <v>2821</v>
      </c>
      <c r="E15" s="110" t="s">
        <v>2822</v>
      </c>
      <c r="F15" s="111"/>
      <c r="G15" s="111" t="s">
        <v>1202</v>
      </c>
      <c r="H15" s="111"/>
    </row>
    <row r="16" ht="17.25" spans="1:8">
      <c r="A16" s="102">
        <v>6</v>
      </c>
      <c r="B16" s="109" t="s">
        <v>242</v>
      </c>
      <c r="C16" s="110" t="s">
        <v>2792</v>
      </c>
      <c r="D16" s="114" t="s">
        <v>2792</v>
      </c>
      <c r="E16" s="110" t="s">
        <v>527</v>
      </c>
      <c r="F16" s="111"/>
      <c r="G16" s="111" t="s">
        <v>2416</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I12" sqref="I12:J12"/>
    </sheetView>
  </sheetViews>
  <sheetFormatPr defaultColWidth="9" defaultRowHeight="13.5"/>
  <cols>
    <col min="1" max="3" width="9" style="100"/>
    <col min="4" max="4" width="11.3333333333333" style="100" customWidth="1"/>
    <col min="5" max="6" width="9" style="100"/>
    <col min="7" max="7" width="15.1666666666667" style="100" customWidth="1"/>
    <col min="8" max="8" width="9" style="100"/>
    <col min="9" max="9" width="16.5" style="100" customWidth="1"/>
    <col min="10" max="16384" width="9" style="100"/>
  </cols>
  <sheetData>
    <row r="1" ht="14.25" spans="1:8">
      <c r="A1" s="103" t="s">
        <v>223</v>
      </c>
      <c r="B1" s="102" t="s">
        <v>220</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2823</v>
      </c>
      <c r="F4" s="112"/>
      <c r="G4" s="112"/>
      <c r="H4" s="112"/>
    </row>
    <row r="5" ht="17.25" spans="1:8">
      <c r="A5" s="102">
        <v>2</v>
      </c>
      <c r="B5" s="102" t="s">
        <v>228</v>
      </c>
      <c r="C5" s="102"/>
      <c r="D5" s="102"/>
      <c r="E5" s="112" t="s">
        <v>2824</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34.5"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564</v>
      </c>
      <c r="H11" s="111"/>
    </row>
    <row r="12" ht="17.25" spans="1:12">
      <c r="A12" s="102">
        <v>2</v>
      </c>
      <c r="B12" s="109" t="s">
        <v>242</v>
      </c>
      <c r="C12" s="110" t="s">
        <v>2774</v>
      </c>
      <c r="D12" s="114" t="s">
        <v>2774</v>
      </c>
      <c r="E12" s="110" t="s">
        <v>2776</v>
      </c>
      <c r="F12" s="111"/>
      <c r="G12" s="111" t="s">
        <v>564</v>
      </c>
      <c r="H12" s="111"/>
      <c r="I12" s="100" t="s">
        <v>2819</v>
      </c>
      <c r="J12" s="100" t="s">
        <v>243</v>
      </c>
      <c r="L12" s="100" t="s">
        <v>365</v>
      </c>
    </row>
    <row r="13" ht="17.25" spans="1:12">
      <c r="A13" s="102">
        <v>3</v>
      </c>
      <c r="B13" s="109" t="s">
        <v>242</v>
      </c>
      <c r="C13" s="110" t="s">
        <v>2497</v>
      </c>
      <c r="D13" s="114" t="s">
        <v>2497</v>
      </c>
      <c r="E13" s="110" t="s">
        <v>247</v>
      </c>
      <c r="F13" s="111"/>
      <c r="G13" s="111" t="s">
        <v>564</v>
      </c>
      <c r="H13" s="111"/>
      <c r="I13" s="100" t="s">
        <v>249</v>
      </c>
      <c r="J13" s="100" t="s">
        <v>247</v>
      </c>
      <c r="L13" s="10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6"/>
  <sheetViews>
    <sheetView workbookViewId="0">
      <selection activeCell="E4" sqref="E4:H4"/>
    </sheetView>
  </sheetViews>
  <sheetFormatPr defaultColWidth="9" defaultRowHeight="13.5"/>
  <cols>
    <col min="1" max="2" width="9" style="100"/>
    <col min="3" max="4" width="11.1666666666667" style="100" customWidth="1"/>
    <col min="5" max="5" width="9" style="100"/>
    <col min="6" max="6" width="20.5" style="100" customWidth="1"/>
    <col min="7" max="7" width="15.6666666666667" style="100" customWidth="1"/>
    <col min="8" max="8" width="9" style="100"/>
    <col min="9" max="9" width="13.3333333333333" style="100" customWidth="1"/>
    <col min="10" max="16384" width="9" style="100"/>
  </cols>
  <sheetData>
    <row r="1" ht="14.25" spans="1:8">
      <c r="A1" s="103" t="s">
        <v>223</v>
      </c>
      <c r="B1" s="102" t="s">
        <v>221</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17.25" spans="1:8">
      <c r="A4" s="102">
        <v>1</v>
      </c>
      <c r="B4" s="102" t="s">
        <v>226</v>
      </c>
      <c r="C4" s="102"/>
      <c r="D4" s="102"/>
      <c r="E4" s="112" t="s">
        <v>2825</v>
      </c>
      <c r="F4" s="112"/>
      <c r="G4" s="112"/>
      <c r="H4" s="112"/>
    </row>
    <row r="5" ht="17.25" spans="1:8">
      <c r="A5" s="102">
        <v>2</v>
      </c>
      <c r="B5" s="102" t="s">
        <v>228</v>
      </c>
      <c r="C5" s="102"/>
      <c r="D5" s="102"/>
      <c r="E5" s="112" t="s">
        <v>2826</v>
      </c>
      <c r="F5" s="112"/>
      <c r="G5" s="112"/>
      <c r="H5" s="112"/>
    </row>
    <row r="6" ht="17.25" spans="1:8">
      <c r="A6" s="102">
        <v>3</v>
      </c>
      <c r="B6" s="102" t="s">
        <v>229</v>
      </c>
      <c r="C6" s="102"/>
      <c r="D6" s="102"/>
      <c r="E6" s="112"/>
      <c r="F6" s="112"/>
      <c r="G6" s="112"/>
      <c r="H6" s="112"/>
    </row>
    <row r="7" ht="17.25" spans="1:8">
      <c r="A7" s="102">
        <v>4</v>
      </c>
      <c r="B7" s="102" t="s">
        <v>231</v>
      </c>
      <c r="C7" s="102"/>
      <c r="D7" s="102"/>
      <c r="E7" s="112"/>
      <c r="F7" s="112"/>
      <c r="G7" s="112"/>
      <c r="H7" s="112"/>
    </row>
    <row r="8" ht="17.25" spans="1:8">
      <c r="A8" s="102">
        <v>5</v>
      </c>
      <c r="B8" s="102" t="s">
        <v>233</v>
      </c>
      <c r="C8" s="102"/>
      <c r="D8" s="102"/>
      <c r="E8" s="112"/>
      <c r="F8" s="112"/>
      <c r="G8" s="112"/>
      <c r="H8" s="112"/>
    </row>
    <row r="9" ht="17.25" spans="1:8">
      <c r="A9" s="104" t="s">
        <v>234</v>
      </c>
      <c r="B9" s="104"/>
      <c r="C9" s="104"/>
      <c r="D9" s="104"/>
      <c r="E9" s="104"/>
      <c r="F9" s="104"/>
      <c r="G9" s="104"/>
      <c r="H9" s="104"/>
    </row>
    <row r="10" ht="18" spans="1:8">
      <c r="A10" s="17" t="s">
        <v>1446</v>
      </c>
      <c r="B10" s="108" t="s">
        <v>235</v>
      </c>
      <c r="C10" s="17" t="s">
        <v>236</v>
      </c>
      <c r="D10" s="113" t="s">
        <v>237</v>
      </c>
      <c r="E10" s="17" t="s">
        <v>238</v>
      </c>
      <c r="F10" s="17" t="s">
        <v>239</v>
      </c>
      <c r="G10" s="17" t="s">
        <v>240</v>
      </c>
      <c r="H10" s="17" t="s">
        <v>241</v>
      </c>
    </row>
    <row r="11" ht="17.25" spans="1:8">
      <c r="A11" s="102">
        <v>1</v>
      </c>
      <c r="B11" s="109" t="s">
        <v>242</v>
      </c>
      <c r="C11" s="110" t="s">
        <v>243</v>
      </c>
      <c r="D11" s="114" t="s">
        <v>243</v>
      </c>
      <c r="E11" s="110" t="s">
        <v>243</v>
      </c>
      <c r="F11" s="111"/>
      <c r="G11" s="111" t="s">
        <v>248</v>
      </c>
      <c r="H11" s="111"/>
    </row>
    <row r="12" ht="17.25" spans="1:12">
      <c r="A12" s="102">
        <v>2</v>
      </c>
      <c r="B12" s="109" t="s">
        <v>242</v>
      </c>
      <c r="C12" s="110" t="s">
        <v>2635</v>
      </c>
      <c r="D12" s="114" t="s">
        <v>2636</v>
      </c>
      <c r="E12" s="110" t="s">
        <v>2637</v>
      </c>
      <c r="F12" s="111"/>
      <c r="G12" s="111" t="s">
        <v>248</v>
      </c>
      <c r="H12" s="111"/>
      <c r="I12" s="100" t="s">
        <v>2621</v>
      </c>
      <c r="J12" s="100" t="s">
        <v>243</v>
      </c>
      <c r="L12" s="100" t="s">
        <v>365</v>
      </c>
    </row>
    <row r="13" ht="17.25" spans="1:8">
      <c r="A13" s="102">
        <v>3</v>
      </c>
      <c r="B13" s="109" t="s">
        <v>242</v>
      </c>
      <c r="C13" s="110" t="s">
        <v>2648</v>
      </c>
      <c r="D13" s="115" t="s">
        <v>2648</v>
      </c>
      <c r="E13" s="110" t="s">
        <v>2649</v>
      </c>
      <c r="F13" s="111" t="s">
        <v>2650</v>
      </c>
      <c r="G13" s="111" t="s">
        <v>564</v>
      </c>
      <c r="H13" s="111"/>
    </row>
    <row r="14" ht="17.25" spans="1:8">
      <c r="A14" s="102">
        <v>4</v>
      </c>
      <c r="B14" s="109" t="s">
        <v>242</v>
      </c>
      <c r="C14" s="116" t="s">
        <v>2651</v>
      </c>
      <c r="D14" s="116" t="s">
        <v>2651</v>
      </c>
      <c r="E14" s="116" t="s">
        <v>2652</v>
      </c>
      <c r="F14" s="117" t="s">
        <v>2653</v>
      </c>
      <c r="G14" s="117" t="s">
        <v>564</v>
      </c>
      <c r="H14" s="117"/>
    </row>
    <row r="15" ht="17.25" spans="1:8">
      <c r="A15" s="102">
        <v>5</v>
      </c>
      <c r="B15" s="109" t="s">
        <v>242</v>
      </c>
      <c r="C15" s="110" t="s">
        <v>2552</v>
      </c>
      <c r="D15" s="114" t="s">
        <v>2552</v>
      </c>
      <c r="E15" s="110" t="s">
        <v>954</v>
      </c>
      <c r="F15" s="111"/>
      <c r="G15" s="111" t="s">
        <v>1647</v>
      </c>
      <c r="H15" s="111"/>
    </row>
    <row r="16" ht="17.25" spans="1:8">
      <c r="A16" s="102">
        <v>6</v>
      </c>
      <c r="B16" s="109" t="s">
        <v>242</v>
      </c>
      <c r="C16" s="110" t="s">
        <v>2610</v>
      </c>
      <c r="D16" s="114" t="s">
        <v>2610</v>
      </c>
      <c r="E16" s="110" t="s">
        <v>2611</v>
      </c>
      <c r="F16" s="111"/>
      <c r="G16" s="111" t="s">
        <v>2827</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workbookViewId="0">
      <selection activeCell="F11" sqref="F11:F17"/>
    </sheetView>
  </sheetViews>
  <sheetFormatPr defaultColWidth="9" defaultRowHeight="13.5"/>
  <cols>
    <col min="1" max="5" width="9" style="100"/>
    <col min="6" max="6" width="15.6666666666667" style="100" customWidth="1"/>
    <col min="7" max="7" width="16.1666666666667" style="100" customWidth="1"/>
    <col min="8" max="16384" width="9" style="100"/>
  </cols>
  <sheetData>
    <row r="1" ht="14.25" spans="1:8">
      <c r="A1" s="101" t="s">
        <v>223</v>
      </c>
      <c r="B1" s="102" t="s">
        <v>222</v>
      </c>
      <c r="C1" s="102"/>
      <c r="D1" s="102"/>
      <c r="E1" s="102"/>
      <c r="F1" s="102"/>
      <c r="G1" s="102"/>
      <c r="H1" s="102"/>
    </row>
    <row r="2" ht="14.25" spans="1:8">
      <c r="A2" s="103"/>
      <c r="B2" s="102"/>
      <c r="C2" s="102"/>
      <c r="D2" s="102"/>
      <c r="E2" s="102"/>
      <c r="F2" s="102"/>
      <c r="G2" s="102"/>
      <c r="H2" s="102"/>
    </row>
    <row r="3" ht="17.25" spans="1:8">
      <c r="A3" s="104" t="s">
        <v>225</v>
      </c>
      <c r="B3" s="104"/>
      <c r="C3" s="104"/>
      <c r="D3" s="104"/>
      <c r="E3" s="104"/>
      <c r="F3" s="104"/>
      <c r="G3" s="104"/>
      <c r="H3" s="104"/>
    </row>
    <row r="4" ht="24" customHeight="1" spans="1:8">
      <c r="A4" s="102">
        <v>1</v>
      </c>
      <c r="B4" s="102" t="s">
        <v>226</v>
      </c>
      <c r="C4" s="102"/>
      <c r="D4" s="102"/>
      <c r="E4" s="105" t="s">
        <v>2828</v>
      </c>
      <c r="F4" s="106"/>
      <c r="G4" s="106"/>
      <c r="H4" s="107"/>
    </row>
    <row r="5" ht="23" customHeight="1" spans="1:8">
      <c r="A5" s="102">
        <v>2</v>
      </c>
      <c r="B5" s="102" t="s">
        <v>228</v>
      </c>
      <c r="C5" s="102"/>
      <c r="D5" s="102"/>
      <c r="E5" s="105" t="s">
        <v>2829</v>
      </c>
      <c r="F5" s="106"/>
      <c r="G5" s="106"/>
      <c r="H5" s="107"/>
    </row>
    <row r="6" ht="17.25" spans="1:8">
      <c r="A6" s="102">
        <v>3</v>
      </c>
      <c r="B6" s="102" t="s">
        <v>229</v>
      </c>
      <c r="C6" s="102"/>
      <c r="D6" s="102"/>
      <c r="E6" s="105"/>
      <c r="F6" s="106"/>
      <c r="G6" s="106"/>
      <c r="H6" s="107"/>
    </row>
    <row r="7" ht="17.25" spans="1:8">
      <c r="A7" s="102">
        <v>4</v>
      </c>
      <c r="B7" s="102" t="s">
        <v>231</v>
      </c>
      <c r="C7" s="102"/>
      <c r="D7" s="102"/>
      <c r="E7" s="105"/>
      <c r="F7" s="106"/>
      <c r="G7" s="106"/>
      <c r="H7" s="107"/>
    </row>
    <row r="8" ht="17.25" spans="1:8">
      <c r="A8" s="102">
        <v>5</v>
      </c>
      <c r="B8" s="102" t="s">
        <v>233</v>
      </c>
      <c r="C8" s="102"/>
      <c r="D8" s="102"/>
      <c r="E8" s="105"/>
      <c r="F8" s="106"/>
      <c r="G8" s="106"/>
      <c r="H8" s="107"/>
    </row>
    <row r="9" ht="17.25" spans="1:8">
      <c r="A9" s="104" t="s">
        <v>234</v>
      </c>
      <c r="B9" s="104"/>
      <c r="C9" s="104"/>
      <c r="D9" s="104"/>
      <c r="E9" s="104"/>
      <c r="F9" s="104"/>
      <c r="G9" s="104"/>
      <c r="H9" s="104"/>
    </row>
    <row r="10" ht="34.5" spans="1:8">
      <c r="A10" s="17" t="s">
        <v>1446</v>
      </c>
      <c r="B10" s="108" t="s">
        <v>235</v>
      </c>
      <c r="C10" s="17" t="s">
        <v>236</v>
      </c>
      <c r="D10" s="17" t="s">
        <v>237</v>
      </c>
      <c r="E10" s="17" t="s">
        <v>238</v>
      </c>
      <c r="F10" s="17" t="s">
        <v>239</v>
      </c>
      <c r="G10" s="17" t="s">
        <v>240</v>
      </c>
      <c r="H10" s="17" t="s">
        <v>241</v>
      </c>
    </row>
    <row r="11" ht="17.25" spans="1:8">
      <c r="A11" s="102">
        <v>1</v>
      </c>
      <c r="B11" s="109" t="s">
        <v>242</v>
      </c>
      <c r="C11" s="110" t="s">
        <v>243</v>
      </c>
      <c r="D11" s="110"/>
      <c r="E11" s="110" t="s">
        <v>243</v>
      </c>
      <c r="F11" s="111"/>
      <c r="G11" s="111" t="s">
        <v>248</v>
      </c>
      <c r="H11" s="111"/>
    </row>
    <row r="12" ht="17.25" spans="1:12">
      <c r="A12" s="102">
        <v>2</v>
      </c>
      <c r="B12" s="109" t="s">
        <v>242</v>
      </c>
      <c r="C12" s="110" t="s">
        <v>2635</v>
      </c>
      <c r="D12" s="110"/>
      <c r="E12" s="110" t="s">
        <v>2637</v>
      </c>
      <c r="F12" s="111"/>
      <c r="G12" s="111" t="s">
        <v>248</v>
      </c>
      <c r="H12" s="111"/>
      <c r="I12" s="100" t="s">
        <v>2621</v>
      </c>
      <c r="J12" s="100" t="s">
        <v>243</v>
      </c>
      <c r="L12" s="100" t="s">
        <v>365</v>
      </c>
    </row>
    <row r="13" ht="17.25" spans="1:12">
      <c r="A13" s="102">
        <v>3</v>
      </c>
      <c r="B13" s="109" t="s">
        <v>242</v>
      </c>
      <c r="C13" s="110" t="s">
        <v>2497</v>
      </c>
      <c r="D13" s="110"/>
      <c r="E13" s="110" t="s">
        <v>247</v>
      </c>
      <c r="F13" s="111"/>
      <c r="G13" s="111" t="s">
        <v>248</v>
      </c>
      <c r="H13" s="111"/>
      <c r="I13" s="100" t="s">
        <v>249</v>
      </c>
      <c r="J13" s="100" t="s">
        <v>247</v>
      </c>
      <c r="L13" s="100" t="s">
        <v>365</v>
      </c>
    </row>
    <row r="14" ht="17.25" spans="1:8">
      <c r="A14" s="102">
        <v>4</v>
      </c>
      <c r="B14" s="109" t="s">
        <v>242</v>
      </c>
      <c r="C14" s="110" t="s">
        <v>2821</v>
      </c>
      <c r="D14" s="110"/>
      <c r="E14" s="110" t="s">
        <v>2822</v>
      </c>
      <c r="F14" s="111"/>
      <c r="G14" s="111" t="s">
        <v>1202</v>
      </c>
      <c r="H14" s="111"/>
    </row>
    <row r="15" ht="17.25" spans="1:8">
      <c r="A15" s="102">
        <v>5</v>
      </c>
      <c r="B15" s="109" t="s">
        <v>242</v>
      </c>
      <c r="C15" s="110" t="s">
        <v>2830</v>
      </c>
      <c r="D15" s="110"/>
      <c r="E15" s="110" t="s">
        <v>2831</v>
      </c>
      <c r="F15" s="111"/>
      <c r="G15" s="111" t="s">
        <v>1647</v>
      </c>
      <c r="H15" s="111"/>
    </row>
    <row r="16" ht="17.25" spans="1:8">
      <c r="A16" s="102">
        <v>6</v>
      </c>
      <c r="B16" s="109" t="s">
        <v>242</v>
      </c>
      <c r="C16" s="110" t="s">
        <v>2792</v>
      </c>
      <c r="D16" s="110"/>
      <c r="E16" s="110" t="s">
        <v>527</v>
      </c>
      <c r="F16" s="111"/>
      <c r="G16" s="111" t="s">
        <v>2416</v>
      </c>
      <c r="H16" s="11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zoomScale="70" zoomScaleNormal="70" topLeftCell="A3" workbookViewId="0">
      <selection activeCell="K20" sqref="K20"/>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4.5583333333333" style="23" customWidth="1"/>
    <col min="7" max="7" width="19.6666666666667" style="23" customWidth="1"/>
    <col min="8" max="8" width="11.6083333333333" style="24" customWidth="1"/>
    <col min="9" max="9" width="16" style="23" customWidth="1"/>
    <col min="10" max="10" width="11.5" style="23" customWidth="1"/>
    <col min="11" max="11" width="17.35" style="23" customWidth="1"/>
    <col min="12" max="16384" width="10.8333333333333" style="23"/>
  </cols>
  <sheetData>
    <row r="1" customHeight="1" spans="1:8">
      <c r="A1" s="1" t="s">
        <v>223</v>
      </c>
      <c r="B1" s="2" t="s">
        <v>146</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customHeight="1" spans="1:8">
      <c r="A4" s="10">
        <v>1</v>
      </c>
      <c r="B4" s="10" t="s">
        <v>226</v>
      </c>
      <c r="C4" s="10"/>
      <c r="D4" s="10"/>
      <c r="E4" s="10" t="s">
        <v>2832</v>
      </c>
      <c r="F4" s="11"/>
      <c r="G4" s="11"/>
      <c r="H4" s="13"/>
    </row>
    <row r="5" customHeight="1" spans="1:8">
      <c r="A5" s="10">
        <v>2</v>
      </c>
      <c r="B5" s="10" t="s">
        <v>228</v>
      </c>
      <c r="C5" s="10"/>
      <c r="D5" s="10"/>
      <c r="E5" s="10" t="s">
        <v>2833</v>
      </c>
      <c r="F5" s="11"/>
      <c r="G5" s="11"/>
      <c r="H5" s="13"/>
    </row>
    <row r="6" customHeight="1" spans="1:8">
      <c r="A6" s="10">
        <v>3</v>
      </c>
      <c r="B6" s="10" t="s">
        <v>229</v>
      </c>
      <c r="C6" s="10"/>
      <c r="D6" s="10"/>
      <c r="E6" s="10"/>
      <c r="F6" s="11"/>
      <c r="G6" s="11"/>
      <c r="H6" s="13"/>
    </row>
    <row r="7" customHeight="1" spans="1:8">
      <c r="A7" s="10">
        <v>4</v>
      </c>
      <c r="B7" s="10" t="s">
        <v>231</v>
      </c>
      <c r="C7" s="10"/>
      <c r="D7" s="10"/>
      <c r="E7" s="10"/>
      <c r="F7" s="11"/>
      <c r="G7" s="11"/>
      <c r="H7" s="13"/>
    </row>
    <row r="8"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6" t="s">
        <v>237</v>
      </c>
      <c r="E10" s="17" t="s">
        <v>238</v>
      </c>
      <c r="F10" s="14" t="s">
        <v>239</v>
      </c>
      <c r="G10" s="14" t="s">
        <v>240</v>
      </c>
      <c r="H10" s="17" t="s">
        <v>241</v>
      </c>
    </row>
    <row r="11" customHeight="1" spans="1:8">
      <c r="A11" s="10">
        <v>1</v>
      </c>
      <c r="B11" s="27" t="s">
        <v>242</v>
      </c>
      <c r="C11" s="28" t="s">
        <v>243</v>
      </c>
      <c r="D11" s="29" t="s">
        <v>243</v>
      </c>
      <c r="E11" s="25" t="s">
        <v>243</v>
      </c>
      <c r="F11" s="11"/>
      <c r="G11" s="22" t="s">
        <v>248</v>
      </c>
      <c r="H11" s="13"/>
    </row>
    <row r="12" customHeight="1" spans="1:8">
      <c r="A12" s="10">
        <v>2</v>
      </c>
      <c r="B12" s="27" t="s">
        <v>242</v>
      </c>
      <c r="C12" s="28" t="s">
        <v>2834</v>
      </c>
      <c r="D12" s="29" t="s">
        <v>2834</v>
      </c>
      <c r="E12" s="25" t="s">
        <v>2835</v>
      </c>
      <c r="F12" s="11"/>
      <c r="G12" s="22" t="s">
        <v>248</v>
      </c>
      <c r="H12" s="13"/>
    </row>
    <row r="13" customHeight="1" spans="1:12">
      <c r="A13" s="10">
        <v>3</v>
      </c>
      <c r="B13" s="27" t="s">
        <v>242</v>
      </c>
      <c r="C13" s="28" t="s">
        <v>2836</v>
      </c>
      <c r="D13" s="29" t="s">
        <v>2836</v>
      </c>
      <c r="E13" s="25" t="s">
        <v>2837</v>
      </c>
      <c r="F13" s="11"/>
      <c r="G13" s="22" t="s">
        <v>248</v>
      </c>
      <c r="H13" s="13"/>
      <c r="I13" s="23" t="s">
        <v>264</v>
      </c>
      <c r="J13" s="23" t="s">
        <v>265</v>
      </c>
      <c r="K13" s="23" t="s">
        <v>2837</v>
      </c>
      <c r="L13" s="23" t="s">
        <v>365</v>
      </c>
    </row>
    <row r="14" customHeight="1" spans="1:12">
      <c r="A14" s="10">
        <v>4</v>
      </c>
      <c r="B14" s="27" t="s">
        <v>242</v>
      </c>
      <c r="C14" s="28" t="s">
        <v>2838</v>
      </c>
      <c r="D14" s="29" t="s">
        <v>2838</v>
      </c>
      <c r="E14" s="25" t="s">
        <v>2839</v>
      </c>
      <c r="F14" s="11"/>
      <c r="G14" s="22" t="s">
        <v>248</v>
      </c>
      <c r="H14" s="13"/>
      <c r="I14" s="23" t="s">
        <v>264</v>
      </c>
      <c r="J14" s="23" t="s">
        <v>265</v>
      </c>
      <c r="K14" s="23" t="s">
        <v>2839</v>
      </c>
      <c r="L14" s="23" t="s">
        <v>365</v>
      </c>
    </row>
    <row r="15" customHeight="1" spans="1:8">
      <c r="A15" s="10">
        <v>5</v>
      </c>
      <c r="B15" s="27"/>
      <c r="C15" s="28" t="s">
        <v>2840</v>
      </c>
      <c r="D15" s="29" t="s">
        <v>2840</v>
      </c>
      <c r="E15" s="25" t="s">
        <v>2841</v>
      </c>
      <c r="F15" s="11"/>
      <c r="G15" s="22" t="s">
        <v>248</v>
      </c>
      <c r="H15" s="13"/>
    </row>
    <row r="16" customHeight="1" spans="1:12">
      <c r="A16" s="10">
        <v>6</v>
      </c>
      <c r="B16" s="27"/>
      <c r="C16" s="28" t="s">
        <v>2842</v>
      </c>
      <c r="D16" s="29" t="s">
        <v>2842</v>
      </c>
      <c r="E16" s="25" t="s">
        <v>2843</v>
      </c>
      <c r="F16" s="11"/>
      <c r="G16" s="22" t="s">
        <v>248</v>
      </c>
      <c r="H16" s="13"/>
      <c r="I16" s="23" t="s">
        <v>264</v>
      </c>
      <c r="J16" s="23" t="s">
        <v>265</v>
      </c>
      <c r="K16" s="23" t="s">
        <v>2843</v>
      </c>
      <c r="L16" s="23" t="s">
        <v>365</v>
      </c>
    </row>
    <row r="17" customHeight="1" spans="1:8">
      <c r="A17" s="10">
        <v>7</v>
      </c>
      <c r="B17" s="27" t="s">
        <v>242</v>
      </c>
      <c r="C17" s="28" t="s">
        <v>2844</v>
      </c>
      <c r="D17" s="29" t="s">
        <v>2844</v>
      </c>
      <c r="E17" s="25" t="s">
        <v>2845</v>
      </c>
      <c r="F17" s="11"/>
      <c r="G17" s="22" t="s">
        <v>248</v>
      </c>
      <c r="H17" s="13"/>
    </row>
    <row r="18" customHeight="1" spans="1:8">
      <c r="A18" s="10">
        <v>8</v>
      </c>
      <c r="B18" s="27"/>
      <c r="C18" s="28" t="s">
        <v>2846</v>
      </c>
      <c r="D18" s="29" t="s">
        <v>2846</v>
      </c>
      <c r="E18" s="25" t="s">
        <v>2847</v>
      </c>
      <c r="F18" s="97"/>
      <c r="G18" s="22" t="s">
        <v>306</v>
      </c>
      <c r="H18" s="13"/>
    </row>
    <row r="19" customHeight="1" spans="1:8">
      <c r="A19" s="10">
        <v>9</v>
      </c>
      <c r="B19" s="27"/>
      <c r="C19" s="28" t="s">
        <v>2848</v>
      </c>
      <c r="D19" s="29" t="s">
        <v>2848</v>
      </c>
      <c r="E19" s="25" t="s">
        <v>2849</v>
      </c>
      <c r="F19" s="97"/>
      <c r="G19" s="22" t="s">
        <v>248</v>
      </c>
      <c r="H19" s="13"/>
    </row>
    <row r="20" customHeight="1" spans="1:12">
      <c r="A20" s="10">
        <v>10</v>
      </c>
      <c r="B20" s="27" t="s">
        <v>242</v>
      </c>
      <c r="C20" s="28" t="s">
        <v>2850</v>
      </c>
      <c r="D20" s="29" t="s">
        <v>2850</v>
      </c>
      <c r="E20" s="25" t="s">
        <v>2851</v>
      </c>
      <c r="F20" s="28" t="s">
        <v>2852</v>
      </c>
      <c r="G20" s="22" t="s">
        <v>248</v>
      </c>
      <c r="H20" s="86" t="s">
        <v>2852</v>
      </c>
      <c r="I20" s="23" t="s">
        <v>264</v>
      </c>
      <c r="J20" s="23" t="s">
        <v>265</v>
      </c>
      <c r="K20" s="23" t="s">
        <v>2851</v>
      </c>
      <c r="L20" s="23" t="s">
        <v>365</v>
      </c>
    </row>
    <row r="21" customHeight="1" spans="1:8">
      <c r="A21" s="10">
        <v>11</v>
      </c>
      <c r="B21" s="27" t="s">
        <v>242</v>
      </c>
      <c r="C21" s="28" t="s">
        <v>1429</v>
      </c>
      <c r="D21" s="29" t="s">
        <v>1429</v>
      </c>
      <c r="E21" s="25" t="s">
        <v>2853</v>
      </c>
      <c r="F21" s="98"/>
      <c r="G21" s="22" t="s">
        <v>248</v>
      </c>
      <c r="H21" s="13"/>
    </row>
    <row r="22" customHeight="1" spans="1:8">
      <c r="A22" s="10">
        <v>12</v>
      </c>
      <c r="B22" s="27"/>
      <c r="C22" s="28" t="s">
        <v>2854</v>
      </c>
      <c r="D22" s="29" t="s">
        <v>2854</v>
      </c>
      <c r="E22" s="25" t="s">
        <v>2855</v>
      </c>
      <c r="F22" s="97"/>
      <c r="G22" s="99" t="s">
        <v>263</v>
      </c>
      <c r="H22" s="13"/>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20" location="'QDFS 取得方式代码'!A1" display="JY/T 1001 QDFS 取得方式代码"/>
  </hyperlinks>
  <pageMargins left="0.699305555555556" right="0.699305555555556" top="0.75" bottom="0.75" header="0.3" footer="0.3"/>
  <pageSetup paperSize="9" orientation="portrait" horizontalDpi="200" verticalDpi="300"/>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topLeftCell="A6" workbookViewId="0">
      <selection activeCell="E16" sqref="E1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3.125" style="23" customWidth="1"/>
    <col min="7" max="7" width="19.6666666666667" style="23" customWidth="1"/>
    <col min="8" max="8" width="19" style="24" customWidth="1"/>
    <col min="9" max="9" width="17" style="23" customWidth="1"/>
    <col min="10" max="10" width="10.8333333333333" style="23"/>
    <col min="11" max="11" width="15" style="23" customWidth="1"/>
    <col min="12" max="16384" width="10.8333333333333" style="23"/>
  </cols>
  <sheetData>
    <row r="1" customHeight="1" spans="1:8">
      <c r="A1" s="1" t="s">
        <v>223</v>
      </c>
      <c r="B1" s="2" t="s">
        <v>148</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ht="25" customHeight="1" spans="1:8">
      <c r="A4" s="10">
        <v>1</v>
      </c>
      <c r="B4" s="10" t="s">
        <v>226</v>
      </c>
      <c r="C4" s="10"/>
      <c r="D4" s="10"/>
      <c r="E4" s="10" t="s">
        <v>2856</v>
      </c>
      <c r="F4" s="11"/>
      <c r="G4" s="11"/>
      <c r="H4" s="13"/>
    </row>
    <row r="5" ht="25" customHeight="1" spans="1:8">
      <c r="A5" s="10">
        <v>2</v>
      </c>
      <c r="B5" s="10" t="s">
        <v>228</v>
      </c>
      <c r="C5" s="10"/>
      <c r="D5" s="10"/>
      <c r="E5" s="10"/>
      <c r="F5" s="11"/>
      <c r="G5" s="11"/>
      <c r="H5" s="13"/>
    </row>
    <row r="6" ht="25" customHeight="1" spans="1:8">
      <c r="A6" s="10">
        <v>3</v>
      </c>
      <c r="B6" s="10" t="s">
        <v>229</v>
      </c>
      <c r="C6" s="10"/>
      <c r="D6" s="10"/>
      <c r="E6" s="10"/>
      <c r="F6" s="11"/>
      <c r="G6" s="11"/>
      <c r="H6" s="13"/>
    </row>
    <row r="7" ht="25" customHeight="1" spans="1:8">
      <c r="A7" s="10">
        <v>4</v>
      </c>
      <c r="B7" s="10" t="s">
        <v>231</v>
      </c>
      <c r="C7" s="10"/>
      <c r="D7" s="10"/>
      <c r="E7" s="10"/>
      <c r="F7" s="11"/>
      <c r="G7" s="11"/>
      <c r="H7" s="13"/>
    </row>
    <row r="8" ht="25"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6" t="s">
        <v>237</v>
      </c>
      <c r="E10" s="17" t="s">
        <v>238</v>
      </c>
      <c r="F10" s="14" t="s">
        <v>239</v>
      </c>
      <c r="G10" s="14" t="s">
        <v>240</v>
      </c>
      <c r="H10" s="17" t="s">
        <v>241</v>
      </c>
    </row>
    <row r="11" customHeight="1" spans="1:8">
      <c r="A11" s="10">
        <v>1</v>
      </c>
      <c r="B11" s="27" t="s">
        <v>242</v>
      </c>
      <c r="C11" s="28" t="s">
        <v>243</v>
      </c>
      <c r="D11" s="47" t="s">
        <v>243</v>
      </c>
      <c r="E11" s="25" t="s">
        <v>243</v>
      </c>
      <c r="F11" s="11"/>
      <c r="G11" s="22" t="s">
        <v>248</v>
      </c>
      <c r="H11" s="13"/>
    </row>
    <row r="12" customHeight="1" spans="1:8">
      <c r="A12" s="10">
        <v>2</v>
      </c>
      <c r="B12" s="27" t="s">
        <v>242</v>
      </c>
      <c r="C12" s="32" t="s">
        <v>2857</v>
      </c>
      <c r="D12" s="48" t="s">
        <v>2857</v>
      </c>
      <c r="E12" s="32" t="s">
        <v>2858</v>
      </c>
      <c r="F12" s="32" t="s">
        <v>2859</v>
      </c>
      <c r="G12" s="22" t="s">
        <v>248</v>
      </c>
      <c r="H12" s="34"/>
    </row>
    <row r="13" customHeight="1" spans="1:8">
      <c r="A13" s="10">
        <v>3</v>
      </c>
      <c r="B13" s="27" t="s">
        <v>242</v>
      </c>
      <c r="C13" s="32" t="s">
        <v>2860</v>
      </c>
      <c r="D13" s="48" t="s">
        <v>2860</v>
      </c>
      <c r="E13" s="32" t="s">
        <v>2861</v>
      </c>
      <c r="F13" s="32" t="s">
        <v>2862</v>
      </c>
      <c r="G13" s="22" t="s">
        <v>248</v>
      </c>
      <c r="H13" s="34"/>
    </row>
    <row r="14" customHeight="1" spans="1:12">
      <c r="A14" s="10">
        <v>4</v>
      </c>
      <c r="B14" s="27" t="s">
        <v>242</v>
      </c>
      <c r="C14" s="32" t="s">
        <v>2863</v>
      </c>
      <c r="D14" s="48" t="s">
        <v>2864</v>
      </c>
      <c r="E14" s="89" t="s">
        <v>2865</v>
      </c>
      <c r="F14" s="34"/>
      <c r="G14" s="22" t="s">
        <v>248</v>
      </c>
      <c r="H14" s="36" t="s">
        <v>2866</v>
      </c>
      <c r="I14" s="23" t="s">
        <v>264</v>
      </c>
      <c r="J14" s="23" t="s">
        <v>265</v>
      </c>
      <c r="K14" s="23" t="s">
        <v>2865</v>
      </c>
      <c r="L14" s="23" t="s">
        <v>365</v>
      </c>
    </row>
    <row r="15" customHeight="1" spans="1:12">
      <c r="A15" s="10">
        <v>5</v>
      </c>
      <c r="B15" s="27" t="s">
        <v>242</v>
      </c>
      <c r="C15" s="32" t="s">
        <v>2867</v>
      </c>
      <c r="D15" s="48" t="s">
        <v>2868</v>
      </c>
      <c r="E15" s="32" t="s">
        <v>2869</v>
      </c>
      <c r="F15" s="34"/>
      <c r="G15" s="22" t="s">
        <v>248</v>
      </c>
      <c r="H15" s="36" t="s">
        <v>2870</v>
      </c>
      <c r="I15" s="23" t="s">
        <v>264</v>
      </c>
      <c r="J15" s="23" t="s">
        <v>265</v>
      </c>
      <c r="K15" s="23" t="s">
        <v>2869</v>
      </c>
      <c r="L15" s="23" t="s">
        <v>365</v>
      </c>
    </row>
    <row r="16" customHeight="1" spans="1:12">
      <c r="A16" s="10">
        <v>6</v>
      </c>
      <c r="B16" s="32"/>
      <c r="C16" s="32" t="s">
        <v>2840</v>
      </c>
      <c r="D16" s="48" t="s">
        <v>2840</v>
      </c>
      <c r="E16" s="32" t="s">
        <v>2841</v>
      </c>
      <c r="F16" s="34"/>
      <c r="G16" s="22" t="s">
        <v>248</v>
      </c>
      <c r="H16" s="34"/>
      <c r="I16" s="23" t="s">
        <v>2337</v>
      </c>
      <c r="J16" s="23" t="s">
        <v>243</v>
      </c>
      <c r="L16" s="23" t="s">
        <v>365</v>
      </c>
    </row>
    <row r="17" customHeight="1" spans="1:12">
      <c r="A17" s="10">
        <v>7</v>
      </c>
      <c r="B17" s="27" t="s">
        <v>242</v>
      </c>
      <c r="C17" s="32" t="s">
        <v>2871</v>
      </c>
      <c r="D17" s="48" t="s">
        <v>2872</v>
      </c>
      <c r="E17" s="32" t="s">
        <v>2873</v>
      </c>
      <c r="F17" s="34"/>
      <c r="G17" s="22" t="s">
        <v>248</v>
      </c>
      <c r="H17" s="36" t="s">
        <v>2874</v>
      </c>
      <c r="I17" s="23" t="s">
        <v>264</v>
      </c>
      <c r="J17" s="23" t="s">
        <v>265</v>
      </c>
      <c r="K17" s="23" t="s">
        <v>2873</v>
      </c>
      <c r="L17" s="23" t="s">
        <v>365</v>
      </c>
    </row>
    <row r="18" customHeight="1" spans="1:12">
      <c r="A18" s="10">
        <v>8</v>
      </c>
      <c r="B18" s="32"/>
      <c r="C18" s="32" t="s">
        <v>2875</v>
      </c>
      <c r="D18" s="48" t="s">
        <v>2876</v>
      </c>
      <c r="E18" s="32" t="s">
        <v>2877</v>
      </c>
      <c r="F18" s="34"/>
      <c r="G18" s="22" t="s">
        <v>248</v>
      </c>
      <c r="H18" s="36" t="s">
        <v>2878</v>
      </c>
      <c r="I18" s="23" t="s">
        <v>264</v>
      </c>
      <c r="J18" s="23" t="s">
        <v>265</v>
      </c>
      <c r="K18" s="23" t="s">
        <v>2877</v>
      </c>
      <c r="L18" s="23" t="s">
        <v>365</v>
      </c>
    </row>
    <row r="19" customHeight="1" spans="1:8">
      <c r="A19" s="10">
        <v>9</v>
      </c>
      <c r="B19" s="32"/>
      <c r="C19" s="32" t="s">
        <v>2879</v>
      </c>
      <c r="D19" s="48" t="s">
        <v>2879</v>
      </c>
      <c r="E19" s="32" t="s">
        <v>2880</v>
      </c>
      <c r="F19" s="32" t="s">
        <v>2881</v>
      </c>
      <c r="G19" s="22" t="s">
        <v>248</v>
      </c>
      <c r="H19" s="34"/>
    </row>
    <row r="20" customHeight="1" spans="1:8">
      <c r="A20" s="10">
        <v>10</v>
      </c>
      <c r="B20" s="32"/>
      <c r="C20" s="32" t="s">
        <v>2882</v>
      </c>
      <c r="D20" s="48" t="s">
        <v>2882</v>
      </c>
      <c r="E20" s="32" t="s">
        <v>2883</v>
      </c>
      <c r="F20" s="34"/>
      <c r="G20" s="22" t="s">
        <v>248</v>
      </c>
      <c r="H20" s="34"/>
    </row>
    <row r="21" customHeight="1" spans="1:8">
      <c r="A21" s="10">
        <v>11</v>
      </c>
      <c r="B21" s="27" t="s">
        <v>242</v>
      </c>
      <c r="C21" s="93" t="s">
        <v>2884</v>
      </c>
      <c r="D21" s="94" t="s">
        <v>2885</v>
      </c>
      <c r="E21" s="93" t="s">
        <v>2886</v>
      </c>
      <c r="F21" s="93" t="s">
        <v>2887</v>
      </c>
      <c r="G21" s="22" t="s">
        <v>248</v>
      </c>
      <c r="H21" s="95"/>
    </row>
    <row r="22" customHeight="1" spans="1:12">
      <c r="A22" s="10">
        <v>12</v>
      </c>
      <c r="B22" s="27" t="s">
        <v>242</v>
      </c>
      <c r="C22" s="93" t="s">
        <v>2888</v>
      </c>
      <c r="D22" s="94" t="s">
        <v>2888</v>
      </c>
      <c r="E22" s="93" t="s">
        <v>2889</v>
      </c>
      <c r="F22" s="95"/>
      <c r="G22" s="22" t="s">
        <v>248</v>
      </c>
      <c r="H22" s="96" t="s">
        <v>2890</v>
      </c>
      <c r="I22" s="23" t="s">
        <v>264</v>
      </c>
      <c r="J22" s="23" t="s">
        <v>265</v>
      </c>
      <c r="K22" s="23" t="s">
        <v>2889</v>
      </c>
      <c r="L22" s="23" t="s">
        <v>365</v>
      </c>
    </row>
    <row r="23" customHeight="1" spans="1:8">
      <c r="A23" s="10">
        <v>13</v>
      </c>
      <c r="B23" s="27" t="s">
        <v>242</v>
      </c>
      <c r="C23" s="93" t="s">
        <v>2891</v>
      </c>
      <c r="D23" s="94" t="s">
        <v>2891</v>
      </c>
      <c r="E23" s="93" t="s">
        <v>2892</v>
      </c>
      <c r="F23" s="93" t="s">
        <v>2893</v>
      </c>
      <c r="G23" s="22" t="s">
        <v>248</v>
      </c>
      <c r="H23" s="95"/>
    </row>
    <row r="24" customHeight="1" spans="1:8">
      <c r="A24" s="10">
        <v>14</v>
      </c>
      <c r="B24" s="93"/>
      <c r="C24" s="93" t="s">
        <v>2894</v>
      </c>
      <c r="D24" s="94" t="s">
        <v>2894</v>
      </c>
      <c r="E24" s="93" t="s">
        <v>2895</v>
      </c>
      <c r="F24" s="93" t="s">
        <v>2893</v>
      </c>
      <c r="G24" s="22" t="s">
        <v>248</v>
      </c>
      <c r="H24" s="95"/>
    </row>
    <row r="25" customHeight="1" spans="1:12">
      <c r="A25" s="10">
        <v>15</v>
      </c>
      <c r="B25" s="27" t="s">
        <v>242</v>
      </c>
      <c r="C25" s="93" t="s">
        <v>2896</v>
      </c>
      <c r="D25" s="94" t="s">
        <v>2897</v>
      </c>
      <c r="E25" s="93" t="s">
        <v>2898</v>
      </c>
      <c r="F25" s="95"/>
      <c r="G25" s="22" t="s">
        <v>248</v>
      </c>
      <c r="H25" s="96" t="s">
        <v>2899</v>
      </c>
      <c r="I25" s="23" t="s">
        <v>264</v>
      </c>
      <c r="J25" s="23" t="s">
        <v>265</v>
      </c>
      <c r="K25" s="23" t="s">
        <v>2898</v>
      </c>
      <c r="L25" s="23" t="s">
        <v>365</v>
      </c>
    </row>
    <row r="26" customHeight="1" spans="1:12">
      <c r="A26" s="10">
        <v>16</v>
      </c>
      <c r="B26" s="27" t="s">
        <v>242</v>
      </c>
      <c r="C26" s="93" t="s">
        <v>2900</v>
      </c>
      <c r="D26" s="94" t="s">
        <v>2901</v>
      </c>
      <c r="E26" s="93" t="s">
        <v>2902</v>
      </c>
      <c r="F26" s="95"/>
      <c r="G26" s="22" t="s">
        <v>248</v>
      </c>
      <c r="H26" s="96" t="s">
        <v>2903</v>
      </c>
      <c r="I26" s="23" t="s">
        <v>264</v>
      </c>
      <c r="J26" s="23" t="s">
        <v>265</v>
      </c>
      <c r="K26" s="23" t="s">
        <v>2902</v>
      </c>
      <c r="L26" s="23" t="s">
        <v>365</v>
      </c>
    </row>
    <row r="27" customHeight="1" spans="1:8">
      <c r="A27" s="10">
        <v>17</v>
      </c>
      <c r="B27" s="93"/>
      <c r="C27" s="93" t="s">
        <v>2904</v>
      </c>
      <c r="D27" s="94" t="s">
        <v>2904</v>
      </c>
      <c r="E27" s="93" t="s">
        <v>2905</v>
      </c>
      <c r="F27" s="93" t="s">
        <v>2906</v>
      </c>
      <c r="G27" s="22" t="s">
        <v>248</v>
      </c>
      <c r="H27" s="95"/>
    </row>
    <row r="28" customHeight="1" spans="1:12">
      <c r="A28" s="10">
        <v>18</v>
      </c>
      <c r="B28" s="27" t="s">
        <v>242</v>
      </c>
      <c r="C28" s="93" t="s">
        <v>2907</v>
      </c>
      <c r="D28" s="94" t="s">
        <v>2908</v>
      </c>
      <c r="E28" s="93" t="s">
        <v>2909</v>
      </c>
      <c r="F28" s="95"/>
      <c r="G28" s="22" t="s">
        <v>248</v>
      </c>
      <c r="H28" s="96" t="s">
        <v>2910</v>
      </c>
      <c r="I28" s="23" t="s">
        <v>264</v>
      </c>
      <c r="J28" s="23" t="s">
        <v>265</v>
      </c>
      <c r="K28" s="23" t="s">
        <v>2909</v>
      </c>
      <c r="L28" s="23" t="s">
        <v>365</v>
      </c>
    </row>
    <row r="29" customHeight="1" spans="1:8">
      <c r="A29" s="10">
        <v>19</v>
      </c>
      <c r="B29" s="93"/>
      <c r="C29" s="93" t="s">
        <v>2911</v>
      </c>
      <c r="D29" s="94" t="s">
        <v>2911</v>
      </c>
      <c r="E29" s="93" t="s">
        <v>2912</v>
      </c>
      <c r="F29" s="93" t="s">
        <v>2913</v>
      </c>
      <c r="G29" s="22" t="s">
        <v>248</v>
      </c>
      <c r="H29" s="95"/>
    </row>
    <row r="30" customHeight="1" spans="1:8">
      <c r="A30" s="10">
        <v>20</v>
      </c>
      <c r="B30" s="93"/>
      <c r="C30" s="93" t="s">
        <v>2914</v>
      </c>
      <c r="D30" s="94" t="s">
        <v>2915</v>
      </c>
      <c r="E30" s="93" t="s">
        <v>2916</v>
      </c>
      <c r="F30" s="93" t="s">
        <v>2917</v>
      </c>
      <c r="G30" s="22" t="s">
        <v>248</v>
      </c>
      <c r="H30" s="95"/>
    </row>
    <row r="31" customHeight="1" spans="1:8">
      <c r="A31" s="10">
        <v>21</v>
      </c>
      <c r="B31" s="93"/>
      <c r="C31" s="93" t="s">
        <v>2918</v>
      </c>
      <c r="D31" s="94" t="s">
        <v>2918</v>
      </c>
      <c r="E31" s="93" t="s">
        <v>2919</v>
      </c>
      <c r="F31" s="95"/>
      <c r="G31" s="22" t="s">
        <v>248</v>
      </c>
      <c r="H31" s="95"/>
    </row>
    <row r="32" customHeight="1" spans="1:8">
      <c r="A32" s="10">
        <v>22</v>
      </c>
      <c r="B32" s="93"/>
      <c r="C32" s="93" t="s">
        <v>2920</v>
      </c>
      <c r="D32" s="94" t="s">
        <v>2921</v>
      </c>
      <c r="E32" s="93" t="s">
        <v>2922</v>
      </c>
      <c r="F32" s="93" t="s">
        <v>2893</v>
      </c>
      <c r="G32" s="22" t="s">
        <v>248</v>
      </c>
      <c r="H32" s="95"/>
    </row>
    <row r="33" customHeight="1" spans="1:8">
      <c r="A33" s="10">
        <v>23</v>
      </c>
      <c r="B33" s="93"/>
      <c r="C33" s="93" t="s">
        <v>2923</v>
      </c>
      <c r="D33" s="94" t="s">
        <v>2924</v>
      </c>
      <c r="E33" s="93" t="s">
        <v>2925</v>
      </c>
      <c r="F33" s="93" t="s">
        <v>2926</v>
      </c>
      <c r="G33" s="22" t="s">
        <v>248</v>
      </c>
      <c r="H33" s="95"/>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4" location="CQ产权代码!A1" display="JY/T 1001 CQ产权代码"/>
    <hyperlink ref="H15" location="'SYZK 使用状况代码'!A1" display="JY/T 1001SYZK 使用状 况代码"/>
    <hyperlink ref="H17" location="'JZWFL 建筑物分类代码'!A1" display="JY/T 1001JZWFL 建筑物 分类代码"/>
    <hyperlink ref="H18" location="'JZWJG 建筑物结构代码'!A1" display="JY/T 1001JZWJG 建筑物 结构代码"/>
    <hyperlink ref="H22" location="'JFLY 经费来源代码'!A1" display="JY/T 1001JFLY 经费来 源代码"/>
    <hyperlink ref="H25" location="'KZSFLD 抗震设防烈度代码'!A1" display="JY/T 1001 KZSFLD 抗震设防烈度代码"/>
    <hyperlink ref="H26" location="'KZSFBZ 抗震设防标准代码'!A1" display="JY/T 1001 KZSFBZ 抗震设防标准代码"/>
    <hyperlink ref="H28" location="'JZWZK 建筑物状况代码'!A1" display="JY/T 1001JZWZK 建筑物 状况代码"/>
  </hyperlinks>
  <pageMargins left="0.699305555555556" right="0.699305555555556" top="0.75" bottom="0.75" header="0.3" footer="0.3"/>
  <pageSetup paperSize="9" orientation="portrait" horizontalDpi="200" verticalDpi="300"/>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zoomScale="85" zoomScaleNormal="85" topLeftCell="A17" workbookViewId="0">
      <selection activeCell="K20" sqref="K20"/>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9.85" style="23" customWidth="1"/>
    <col min="7" max="7" width="19.6666666666667" style="23" customWidth="1"/>
    <col min="8" max="8" width="19" style="24" customWidth="1"/>
    <col min="9" max="9" width="26.3166666666667" style="23" customWidth="1"/>
    <col min="10" max="11" width="24.1083333333333" style="23" customWidth="1"/>
    <col min="12" max="12" width="23.225" style="23" customWidth="1"/>
    <col min="13" max="16384" width="10.8333333333333" style="23"/>
  </cols>
  <sheetData>
    <row r="1" customHeight="1" spans="1:8">
      <c r="A1" s="1" t="s">
        <v>223</v>
      </c>
      <c r="B1" s="2" t="s">
        <v>149</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customHeight="1" spans="1:8">
      <c r="A4" s="10">
        <v>1</v>
      </c>
      <c r="B4" s="10" t="s">
        <v>226</v>
      </c>
      <c r="C4" s="10"/>
      <c r="D4" s="10"/>
      <c r="E4" s="10" t="s">
        <v>2927</v>
      </c>
      <c r="F4" s="11"/>
      <c r="G4" s="11"/>
      <c r="H4" s="13"/>
    </row>
    <row r="5" customHeight="1" spans="1:8">
      <c r="A5" s="10">
        <v>2</v>
      </c>
      <c r="B5" s="10" t="s">
        <v>228</v>
      </c>
      <c r="C5" s="10"/>
      <c r="D5" s="10"/>
      <c r="E5" s="10"/>
      <c r="F5" s="11"/>
      <c r="G5" s="11"/>
      <c r="H5" s="13"/>
    </row>
    <row r="6" customHeight="1" spans="1:8">
      <c r="A6" s="10">
        <v>3</v>
      </c>
      <c r="B6" s="10" t="s">
        <v>229</v>
      </c>
      <c r="C6" s="10"/>
      <c r="D6" s="10"/>
      <c r="E6" s="10"/>
      <c r="F6" s="11"/>
      <c r="G6" s="11"/>
      <c r="H6" s="13"/>
    </row>
    <row r="7" customHeight="1" spans="1:8">
      <c r="A7" s="10">
        <v>4</v>
      </c>
      <c r="B7" s="10" t="s">
        <v>231</v>
      </c>
      <c r="C7" s="10"/>
      <c r="D7" s="10"/>
      <c r="E7" s="10"/>
      <c r="F7" s="11"/>
      <c r="G7" s="11"/>
      <c r="H7" s="13"/>
    </row>
    <row r="8"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4" t="s">
        <v>236</v>
      </c>
      <c r="E10" s="17" t="s">
        <v>238</v>
      </c>
      <c r="F10" s="14" t="s">
        <v>239</v>
      </c>
      <c r="G10" s="14" t="s">
        <v>240</v>
      </c>
      <c r="H10" s="17" t="s">
        <v>241</v>
      </c>
    </row>
    <row r="11" customHeight="1" spans="1:8">
      <c r="A11" s="10">
        <v>1</v>
      </c>
      <c r="B11" s="27" t="s">
        <v>242</v>
      </c>
      <c r="C11" s="28" t="s">
        <v>243</v>
      </c>
      <c r="D11" s="29" t="s">
        <v>243</v>
      </c>
      <c r="E11" s="25" t="s">
        <v>243</v>
      </c>
      <c r="F11" s="11"/>
      <c r="G11" s="22" t="s">
        <v>248</v>
      </c>
      <c r="H11" s="13"/>
    </row>
    <row r="12" customHeight="1" spans="1:12">
      <c r="A12" s="10">
        <v>2</v>
      </c>
      <c r="B12" s="27" t="s">
        <v>242</v>
      </c>
      <c r="C12" s="28" t="s">
        <v>2857</v>
      </c>
      <c r="D12" s="29" t="s">
        <v>2857</v>
      </c>
      <c r="E12" s="92" t="s">
        <v>2858</v>
      </c>
      <c r="F12" s="30"/>
      <c r="G12" s="22" t="s">
        <v>248</v>
      </c>
      <c r="H12" s="30"/>
      <c r="I12" s="23" t="s">
        <v>2856</v>
      </c>
      <c r="J12" s="23" t="s">
        <v>2858</v>
      </c>
      <c r="L12" s="40" t="s">
        <v>2861</v>
      </c>
    </row>
    <row r="13" customHeight="1" spans="1:8">
      <c r="A13" s="10">
        <v>3</v>
      </c>
      <c r="B13" s="27" t="s">
        <v>242</v>
      </c>
      <c r="C13" s="28" t="s">
        <v>2928</v>
      </c>
      <c r="D13" s="29" t="s">
        <v>2928</v>
      </c>
      <c r="E13" s="92" t="s">
        <v>2929</v>
      </c>
      <c r="F13" s="30"/>
      <c r="G13" s="22" t="s">
        <v>248</v>
      </c>
      <c r="H13" s="30"/>
    </row>
    <row r="14" customHeight="1" spans="1:8">
      <c r="A14" s="10">
        <v>4</v>
      </c>
      <c r="B14" s="27" t="s">
        <v>242</v>
      </c>
      <c r="C14" s="28" t="s">
        <v>2930</v>
      </c>
      <c r="D14" s="29" t="s">
        <v>2930</v>
      </c>
      <c r="E14" s="92" t="s">
        <v>2931</v>
      </c>
      <c r="F14" s="30"/>
      <c r="G14" s="22" t="s">
        <v>248</v>
      </c>
      <c r="H14" s="30"/>
    </row>
    <row r="15" customHeight="1" spans="1:12">
      <c r="A15" s="10">
        <v>5</v>
      </c>
      <c r="B15" s="27" t="s">
        <v>242</v>
      </c>
      <c r="C15" s="28" t="s">
        <v>2932</v>
      </c>
      <c r="D15" s="29" t="s">
        <v>2932</v>
      </c>
      <c r="E15" s="92" t="s">
        <v>2933</v>
      </c>
      <c r="F15" s="28"/>
      <c r="G15" s="22" t="s">
        <v>248</v>
      </c>
      <c r="H15" s="30"/>
      <c r="I15" s="23" t="s">
        <v>264</v>
      </c>
      <c r="J15" s="23" t="s">
        <v>265</v>
      </c>
      <c r="K15" s="23" t="s">
        <v>2933</v>
      </c>
      <c r="L15" s="23" t="s">
        <v>365</v>
      </c>
    </row>
    <row r="16" customHeight="1" spans="1:8">
      <c r="A16" s="10">
        <v>6</v>
      </c>
      <c r="B16" s="28"/>
      <c r="C16" s="28" t="s">
        <v>2934</v>
      </c>
      <c r="D16" s="29" t="s">
        <v>2934</v>
      </c>
      <c r="E16" s="92" t="s">
        <v>2935</v>
      </c>
      <c r="F16" s="30"/>
      <c r="G16" s="22" t="s">
        <v>248</v>
      </c>
      <c r="H16" s="30"/>
    </row>
    <row r="17" customHeight="1" spans="1:8">
      <c r="A17" s="10">
        <v>7</v>
      </c>
      <c r="B17" s="27" t="s">
        <v>242</v>
      </c>
      <c r="C17" s="28" t="s">
        <v>2936</v>
      </c>
      <c r="D17" s="29" t="s">
        <v>2936</v>
      </c>
      <c r="E17" s="92" t="s">
        <v>2937</v>
      </c>
      <c r="F17" s="30"/>
      <c r="G17" s="22" t="s">
        <v>248</v>
      </c>
      <c r="H17" s="30"/>
    </row>
    <row r="18" customHeight="1" spans="1:8">
      <c r="A18" s="10">
        <v>8</v>
      </c>
      <c r="B18" s="28"/>
      <c r="C18" s="28" t="s">
        <v>2938</v>
      </c>
      <c r="D18" s="29" t="s">
        <v>2938</v>
      </c>
      <c r="E18" s="92" t="s">
        <v>2939</v>
      </c>
      <c r="F18" s="28"/>
      <c r="G18" s="22" t="s">
        <v>248</v>
      </c>
      <c r="H18" s="30"/>
    </row>
    <row r="19" customHeight="1" spans="1:8">
      <c r="A19" s="10">
        <v>9</v>
      </c>
      <c r="B19" s="28"/>
      <c r="C19" s="28" t="s">
        <v>2940</v>
      </c>
      <c r="D19" s="29" t="s">
        <v>2940</v>
      </c>
      <c r="E19" s="92" t="s">
        <v>2941</v>
      </c>
      <c r="F19" s="30" t="s">
        <v>2942</v>
      </c>
      <c r="G19" s="22" t="s">
        <v>248</v>
      </c>
      <c r="H19" s="30"/>
    </row>
    <row r="20" customHeight="1" spans="1:12">
      <c r="A20" s="10">
        <v>10</v>
      </c>
      <c r="B20" s="28"/>
      <c r="C20" s="28" t="s">
        <v>2943</v>
      </c>
      <c r="D20" s="29" t="s">
        <v>2943</v>
      </c>
      <c r="E20" s="92" t="s">
        <v>2944</v>
      </c>
      <c r="F20" s="30"/>
      <c r="G20" s="22" t="s">
        <v>248</v>
      </c>
      <c r="H20" s="86"/>
      <c r="I20" s="23" t="s">
        <v>264</v>
      </c>
      <c r="J20" s="23" t="s">
        <v>265</v>
      </c>
      <c r="K20" s="23" t="s">
        <v>2944</v>
      </c>
      <c r="L20" s="40" t="s">
        <v>365</v>
      </c>
    </row>
    <row r="21" customHeight="1" spans="1:8">
      <c r="A21" s="10">
        <v>11</v>
      </c>
      <c r="B21" s="28"/>
      <c r="C21" s="28" t="s">
        <v>2945</v>
      </c>
      <c r="D21" s="29" t="s">
        <v>2945</v>
      </c>
      <c r="E21" s="92" t="s">
        <v>2946</v>
      </c>
      <c r="F21" s="30" t="s">
        <v>2947</v>
      </c>
      <c r="G21" s="22" t="s">
        <v>248</v>
      </c>
      <c r="H21" s="30"/>
    </row>
    <row r="22" customHeight="1" spans="1:8">
      <c r="A22" s="10">
        <v>12</v>
      </c>
      <c r="B22" s="28"/>
      <c r="C22" s="28" t="s">
        <v>2948</v>
      </c>
      <c r="D22" s="29" t="s">
        <v>2948</v>
      </c>
      <c r="E22" s="92" t="s">
        <v>2949</v>
      </c>
      <c r="F22" s="30" t="s">
        <v>2950</v>
      </c>
      <c r="G22" s="22" t="s">
        <v>248</v>
      </c>
      <c r="H22" s="30"/>
    </row>
    <row r="23" customHeight="1" spans="1:8">
      <c r="A23" s="10">
        <v>13</v>
      </c>
      <c r="B23" s="28"/>
      <c r="C23" s="28" t="s">
        <v>2951</v>
      </c>
      <c r="D23" s="29" t="s">
        <v>2951</v>
      </c>
      <c r="E23" s="92" t="s">
        <v>2952</v>
      </c>
      <c r="F23" s="28" t="s">
        <v>2953</v>
      </c>
      <c r="G23" s="22" t="s">
        <v>248</v>
      </c>
      <c r="H23" s="30"/>
    </row>
    <row r="24" customHeight="1" spans="1:8">
      <c r="A24" s="10">
        <v>14</v>
      </c>
      <c r="B24" s="28"/>
      <c r="C24" s="28" t="s">
        <v>2954</v>
      </c>
      <c r="D24" s="29" t="s">
        <v>2954</v>
      </c>
      <c r="E24" s="92" t="s">
        <v>2955</v>
      </c>
      <c r="F24" s="28" t="s">
        <v>2953</v>
      </c>
      <c r="G24" s="22" t="s">
        <v>248</v>
      </c>
      <c r="H24" s="30"/>
    </row>
    <row r="25" customHeight="1" spans="1:8">
      <c r="A25" s="10">
        <v>15</v>
      </c>
      <c r="B25" s="28"/>
      <c r="C25" s="28" t="s">
        <v>2956</v>
      </c>
      <c r="D25" s="29" t="s">
        <v>2956</v>
      </c>
      <c r="E25" s="92" t="s">
        <v>2957</v>
      </c>
      <c r="F25" s="28" t="s">
        <v>2887</v>
      </c>
      <c r="G25" s="22" t="s">
        <v>248</v>
      </c>
      <c r="H25" s="30"/>
    </row>
    <row r="26" customHeight="1" spans="1:8">
      <c r="A26" s="10">
        <v>16</v>
      </c>
      <c r="B26" s="28"/>
      <c r="C26" s="28" t="s">
        <v>2958</v>
      </c>
      <c r="D26" s="29" t="s">
        <v>2958</v>
      </c>
      <c r="E26" s="92" t="s">
        <v>2959</v>
      </c>
      <c r="F26" s="30" t="s">
        <v>2960</v>
      </c>
      <c r="G26" s="22" t="s">
        <v>248</v>
      </c>
      <c r="H26" s="30"/>
    </row>
    <row r="27" customHeight="1" spans="1:8">
      <c r="A27" s="10">
        <v>17</v>
      </c>
      <c r="B27" s="28"/>
      <c r="C27" s="28" t="s">
        <v>2961</v>
      </c>
      <c r="D27" s="29" t="s">
        <v>2961</v>
      </c>
      <c r="E27" s="92" t="s">
        <v>2962</v>
      </c>
      <c r="F27" s="28"/>
      <c r="G27" s="22" t="s">
        <v>248</v>
      </c>
      <c r="H27" s="30"/>
    </row>
    <row r="28" customHeight="1" spans="1:8">
      <c r="A28" s="10">
        <v>18</v>
      </c>
      <c r="B28" s="28"/>
      <c r="C28" s="28" t="s">
        <v>2963</v>
      </c>
      <c r="D28" s="29" t="s">
        <v>2963</v>
      </c>
      <c r="E28" s="92" t="s">
        <v>2964</v>
      </c>
      <c r="F28" s="30" t="s">
        <v>2947</v>
      </c>
      <c r="G28" s="22" t="s">
        <v>248</v>
      </c>
      <c r="H28" s="30"/>
    </row>
    <row r="29" customHeight="1" spans="1:8">
      <c r="A29" s="10">
        <v>19</v>
      </c>
      <c r="B29" s="28"/>
      <c r="C29" s="28" t="s">
        <v>2965</v>
      </c>
      <c r="D29" s="29" t="s">
        <v>2965</v>
      </c>
      <c r="E29" s="92" t="s">
        <v>2966</v>
      </c>
      <c r="F29" s="28"/>
      <c r="G29" s="22" t="s">
        <v>248</v>
      </c>
      <c r="H29" s="30"/>
    </row>
    <row r="30" customHeight="1" spans="1:8">
      <c r="A30" s="10">
        <v>20</v>
      </c>
      <c r="B30" s="28"/>
      <c r="C30" s="28" t="s">
        <v>2967</v>
      </c>
      <c r="D30" s="29" t="s">
        <v>2967</v>
      </c>
      <c r="E30" s="92" t="s">
        <v>2968</v>
      </c>
      <c r="F30" s="28" t="s">
        <v>2969</v>
      </c>
      <c r="G30" s="22" t="s">
        <v>248</v>
      </c>
      <c r="H30" s="30"/>
    </row>
    <row r="31" customHeight="1" spans="1:8">
      <c r="A31" s="10">
        <v>21</v>
      </c>
      <c r="B31" s="28"/>
      <c r="C31" s="28" t="s">
        <v>2970</v>
      </c>
      <c r="D31" s="29" t="s">
        <v>2970</v>
      </c>
      <c r="E31" s="92" t="s">
        <v>2971</v>
      </c>
      <c r="F31" s="28"/>
      <c r="G31" s="22" t="s">
        <v>248</v>
      </c>
      <c r="H31" s="86" t="s">
        <v>2972</v>
      </c>
    </row>
    <row r="32" customHeight="1" spans="1:8">
      <c r="A32" s="10">
        <v>22</v>
      </c>
      <c r="B32" s="28"/>
      <c r="C32" s="28" t="s">
        <v>2973</v>
      </c>
      <c r="D32" s="29" t="s">
        <v>2973</v>
      </c>
      <c r="E32" s="92" t="s">
        <v>2974</v>
      </c>
      <c r="F32" s="28" t="s">
        <v>2975</v>
      </c>
      <c r="G32" s="22" t="s">
        <v>248</v>
      </c>
      <c r="H32" s="30"/>
    </row>
    <row r="33" customHeight="1" spans="1:8">
      <c r="A33" s="10">
        <v>23</v>
      </c>
      <c r="B33" s="28"/>
      <c r="C33" s="28" t="s">
        <v>2976</v>
      </c>
      <c r="D33" s="29" t="s">
        <v>2976</v>
      </c>
      <c r="E33" s="92" t="s">
        <v>2977</v>
      </c>
      <c r="F33" s="28"/>
      <c r="G33" s="22" t="s">
        <v>248</v>
      </c>
      <c r="H33" s="86" t="s">
        <v>2972</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33" location="'SFBZ 是否标志代码'!A1" display="JY/T 1001 SFBZ 是否标志代码"/>
    <hyperlink ref="H31" location="'SFBZ 是否标志代码'!A1" display="JY/T 1001 SFBZ 是否标志代码"/>
  </hyperlinks>
  <pageMargins left="0.699305555555556" right="0.699305555555556" top="0.75" bottom="0.75" header="0.3" footer="0.3"/>
  <pageSetup paperSize="9" orientation="portrait" horizontalDpi="200" verticalDpi="300"/>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zoomScale="85" zoomScaleNormal="85" topLeftCell="A4" workbookViewId="0">
      <selection activeCell="E13" sqref="E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5.375" style="23" customWidth="1"/>
    <col min="7" max="7" width="19.6666666666667" style="23" customWidth="1"/>
    <col min="8" max="8" width="19" style="24" customWidth="1"/>
    <col min="9" max="9" width="16.5" style="23" customWidth="1"/>
    <col min="10" max="10" width="24.125" style="23" customWidth="1"/>
    <col min="11" max="11" width="17" style="23" customWidth="1"/>
    <col min="12" max="12" width="18.5" style="23" customWidth="1"/>
    <col min="13" max="16384" width="10.8333333333333" style="23"/>
  </cols>
  <sheetData>
    <row r="1" customHeight="1" spans="1:8">
      <c r="A1" s="1" t="s">
        <v>223</v>
      </c>
      <c r="B1" s="2" t="s">
        <v>150</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ht="25" customHeight="1" spans="1:8">
      <c r="A4" s="10">
        <v>1</v>
      </c>
      <c r="B4" s="10" t="s">
        <v>226</v>
      </c>
      <c r="C4" s="10"/>
      <c r="D4" s="10"/>
      <c r="E4" s="10" t="s">
        <v>2978</v>
      </c>
      <c r="F4" s="11"/>
      <c r="G4" s="11"/>
      <c r="H4" s="13"/>
    </row>
    <row r="5" ht="25" customHeight="1" spans="1:8">
      <c r="A5" s="10">
        <v>2</v>
      </c>
      <c r="B5" s="10" t="s">
        <v>228</v>
      </c>
      <c r="C5" s="10"/>
      <c r="D5" s="10"/>
      <c r="E5" s="10"/>
      <c r="F5" s="11"/>
      <c r="G5" s="11"/>
      <c r="H5" s="13"/>
    </row>
    <row r="6" ht="25" customHeight="1" spans="1:8">
      <c r="A6" s="10">
        <v>3</v>
      </c>
      <c r="B6" s="10" t="s">
        <v>229</v>
      </c>
      <c r="C6" s="10"/>
      <c r="D6" s="10"/>
      <c r="E6" s="10"/>
      <c r="F6" s="11"/>
      <c r="G6" s="11"/>
      <c r="H6" s="13"/>
    </row>
    <row r="7" ht="25" customHeight="1" spans="1:8">
      <c r="A7" s="10">
        <v>4</v>
      </c>
      <c r="B7" s="10" t="s">
        <v>231</v>
      </c>
      <c r="C7" s="10"/>
      <c r="D7" s="10"/>
      <c r="E7" s="10"/>
      <c r="F7" s="11"/>
      <c r="G7" s="11"/>
      <c r="H7" s="13"/>
    </row>
    <row r="8" ht="25"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6" t="s">
        <v>237</v>
      </c>
      <c r="E10" s="17" t="s">
        <v>238</v>
      </c>
      <c r="F10" s="14" t="s">
        <v>239</v>
      </c>
      <c r="G10" s="14" t="s">
        <v>240</v>
      </c>
      <c r="H10" s="17" t="s">
        <v>241</v>
      </c>
    </row>
    <row r="11" customHeight="1" spans="1:8">
      <c r="A11" s="10">
        <v>1</v>
      </c>
      <c r="B11" s="27" t="s">
        <v>242</v>
      </c>
      <c r="C11" s="28" t="s">
        <v>243</v>
      </c>
      <c r="D11" s="47" t="s">
        <v>243</v>
      </c>
      <c r="E11" s="28" t="s">
        <v>243</v>
      </c>
      <c r="F11" s="11"/>
      <c r="G11" s="22" t="s">
        <v>248</v>
      </c>
      <c r="H11" s="13"/>
    </row>
    <row r="12" customHeight="1" spans="1:12">
      <c r="A12" s="10">
        <v>2</v>
      </c>
      <c r="B12" s="27"/>
      <c r="C12" s="28" t="s">
        <v>2857</v>
      </c>
      <c r="D12" s="47" t="s">
        <v>2857</v>
      </c>
      <c r="E12" s="28" t="s">
        <v>2858</v>
      </c>
      <c r="F12" s="30"/>
      <c r="G12" s="22" t="s">
        <v>248</v>
      </c>
      <c r="H12" s="30"/>
      <c r="I12" s="23" t="s">
        <v>2856</v>
      </c>
      <c r="J12" s="23" t="s">
        <v>2858</v>
      </c>
      <c r="L12" s="23" t="s">
        <v>2861</v>
      </c>
    </row>
    <row r="13" customHeight="1" spans="1:12">
      <c r="A13" s="10">
        <v>3</v>
      </c>
      <c r="B13" s="27"/>
      <c r="C13" s="28" t="s">
        <v>2928</v>
      </c>
      <c r="D13" s="47" t="s">
        <v>2928</v>
      </c>
      <c r="E13" s="28" t="s">
        <v>2929</v>
      </c>
      <c r="F13" s="30"/>
      <c r="G13" s="22" t="s">
        <v>248</v>
      </c>
      <c r="H13" s="30"/>
      <c r="I13" s="23" t="s">
        <v>2978</v>
      </c>
      <c r="J13" s="23" t="s">
        <v>2929</v>
      </c>
      <c r="L13" s="23" t="s">
        <v>2931</v>
      </c>
    </row>
    <row r="14" customHeight="1" spans="1:8">
      <c r="A14" s="10">
        <v>4</v>
      </c>
      <c r="B14" s="27"/>
      <c r="C14" s="28" t="s">
        <v>2979</v>
      </c>
      <c r="D14" s="47" t="s">
        <v>2979</v>
      </c>
      <c r="E14" s="28" t="s">
        <v>2980</v>
      </c>
      <c r="F14" s="28"/>
      <c r="G14" s="22" t="s">
        <v>248</v>
      </c>
      <c r="H14" s="30"/>
    </row>
    <row r="15" customHeight="1" spans="1:8">
      <c r="A15" s="10">
        <v>5</v>
      </c>
      <c r="B15" s="28"/>
      <c r="C15" s="28" t="s">
        <v>2981</v>
      </c>
      <c r="D15" s="47" t="s">
        <v>2981</v>
      </c>
      <c r="E15" s="28" t="s">
        <v>2982</v>
      </c>
      <c r="F15" s="30"/>
      <c r="G15" s="22" t="s">
        <v>248</v>
      </c>
      <c r="H15" s="30"/>
    </row>
    <row r="16" customHeight="1" spans="1:8">
      <c r="A16" s="10">
        <v>6</v>
      </c>
      <c r="B16" s="27"/>
      <c r="C16" s="28" t="s">
        <v>2983</v>
      </c>
      <c r="D16" s="47" t="s">
        <v>2983</v>
      </c>
      <c r="E16" s="28" t="s">
        <v>2984</v>
      </c>
      <c r="F16" s="30"/>
      <c r="G16" s="22" t="s">
        <v>248</v>
      </c>
      <c r="H16" s="30"/>
    </row>
    <row r="17" customHeight="1" spans="1:8">
      <c r="A17" s="10">
        <v>7</v>
      </c>
      <c r="B17" s="27" t="s">
        <v>242</v>
      </c>
      <c r="C17" s="28" t="s">
        <v>2985</v>
      </c>
      <c r="D17" s="47" t="s">
        <v>2985</v>
      </c>
      <c r="E17" s="28" t="s">
        <v>2986</v>
      </c>
      <c r="F17" s="28"/>
      <c r="G17" s="22" t="s">
        <v>248</v>
      </c>
      <c r="H17" s="30"/>
    </row>
    <row r="18" customHeight="1" spans="1:12">
      <c r="A18" s="10">
        <v>8</v>
      </c>
      <c r="B18" s="28"/>
      <c r="C18" s="28" t="s">
        <v>2987</v>
      </c>
      <c r="D18" s="47" t="s">
        <v>2987</v>
      </c>
      <c r="E18" s="28" t="s">
        <v>2988</v>
      </c>
      <c r="F18" s="30"/>
      <c r="G18" s="22" t="s">
        <v>248</v>
      </c>
      <c r="H18" s="30"/>
      <c r="I18" s="23" t="s">
        <v>258</v>
      </c>
      <c r="J18" s="23" t="s">
        <v>243</v>
      </c>
      <c r="L18" s="23" t="s">
        <v>365</v>
      </c>
    </row>
    <row r="19" customHeight="1" spans="1:12">
      <c r="A19" s="10">
        <v>9</v>
      </c>
      <c r="B19" s="28"/>
      <c r="C19" s="28" t="s">
        <v>2888</v>
      </c>
      <c r="D19" s="47" t="s">
        <v>2888</v>
      </c>
      <c r="E19" s="28" t="s">
        <v>2889</v>
      </c>
      <c r="F19" s="30"/>
      <c r="G19" s="22" t="s">
        <v>248</v>
      </c>
      <c r="H19" s="30"/>
      <c r="I19" s="23" t="s">
        <v>264</v>
      </c>
      <c r="J19" s="23" t="s">
        <v>265</v>
      </c>
      <c r="K19" s="23" t="s">
        <v>2889</v>
      </c>
      <c r="L19" s="23" t="s">
        <v>365</v>
      </c>
    </row>
    <row r="20" customHeight="1" spans="1:12">
      <c r="A20" s="10">
        <v>10</v>
      </c>
      <c r="B20" s="28"/>
      <c r="C20" s="28" t="s">
        <v>2989</v>
      </c>
      <c r="D20" s="47" t="s">
        <v>2989</v>
      </c>
      <c r="E20" s="28" t="s">
        <v>2990</v>
      </c>
      <c r="F20" s="30"/>
      <c r="G20" s="22" t="s">
        <v>248</v>
      </c>
      <c r="H20" s="30"/>
      <c r="I20" s="23" t="s">
        <v>352</v>
      </c>
      <c r="J20" s="23" t="s">
        <v>353</v>
      </c>
      <c r="L20" s="23" t="s">
        <v>365</v>
      </c>
    </row>
    <row r="21" customHeight="1" spans="1:8">
      <c r="A21" s="10">
        <v>11</v>
      </c>
      <c r="B21" s="28"/>
      <c r="C21" s="28" t="s">
        <v>2991</v>
      </c>
      <c r="D21" s="47" t="s">
        <v>2991</v>
      </c>
      <c r="E21" s="28" t="s">
        <v>2992</v>
      </c>
      <c r="F21" s="28"/>
      <c r="G21" s="22" t="s">
        <v>248</v>
      </c>
      <c r="H21" s="30"/>
    </row>
    <row r="22" customHeight="1" spans="1:12">
      <c r="A22" s="10">
        <v>12</v>
      </c>
      <c r="B22" s="90"/>
      <c r="C22" s="28" t="s">
        <v>2993</v>
      </c>
      <c r="D22" s="47" t="s">
        <v>2993</v>
      </c>
      <c r="E22" s="28" t="s">
        <v>2994</v>
      </c>
      <c r="F22" s="28" t="s">
        <v>2995</v>
      </c>
      <c r="G22" s="22" t="s">
        <v>248</v>
      </c>
      <c r="H22" s="91"/>
      <c r="I22" s="23" t="s">
        <v>258</v>
      </c>
      <c r="J22" s="23" t="s">
        <v>243</v>
      </c>
      <c r="L22" s="23"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85" zoomScaleNormal="85" topLeftCell="A2" workbookViewId="0">
      <selection activeCell="K15" sqref="K15"/>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1.75" style="23" customWidth="1"/>
    <col min="7" max="7" width="19.6666666666667" style="23" customWidth="1"/>
    <col min="8" max="8" width="19" style="24" customWidth="1"/>
    <col min="9" max="9" width="18.25" style="23" customWidth="1"/>
    <col min="10" max="10" width="17.625" style="23" customWidth="1"/>
    <col min="11" max="11" width="26.175" style="23" customWidth="1"/>
    <col min="12" max="16384" width="10.8333333333333" style="23"/>
  </cols>
  <sheetData>
    <row r="1" customHeight="1" spans="1:8">
      <c r="A1" s="1" t="s">
        <v>223</v>
      </c>
      <c r="B1" s="2" t="s">
        <v>152</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ht="25" customHeight="1" spans="1:8">
      <c r="A4" s="10">
        <v>1</v>
      </c>
      <c r="B4" s="10" t="s">
        <v>226</v>
      </c>
      <c r="C4" s="10"/>
      <c r="D4" s="10"/>
      <c r="E4" s="10" t="s">
        <v>2996</v>
      </c>
      <c r="F4" s="11"/>
      <c r="G4" s="11"/>
      <c r="H4" s="13"/>
    </row>
    <row r="5" ht="25" customHeight="1" spans="1:8">
      <c r="A5" s="10">
        <v>2</v>
      </c>
      <c r="B5" s="10" t="s">
        <v>228</v>
      </c>
      <c r="C5" s="10"/>
      <c r="D5" s="10"/>
      <c r="E5" s="10"/>
      <c r="F5" s="11"/>
      <c r="G5" s="11"/>
      <c r="H5" s="13"/>
    </row>
    <row r="6" ht="25" customHeight="1" spans="1:8">
      <c r="A6" s="10">
        <v>3</v>
      </c>
      <c r="B6" s="10" t="s">
        <v>229</v>
      </c>
      <c r="C6" s="10"/>
      <c r="D6" s="10"/>
      <c r="E6" s="10"/>
      <c r="F6" s="11"/>
      <c r="G6" s="11"/>
      <c r="H6" s="13"/>
    </row>
    <row r="7" ht="25" customHeight="1" spans="1:8">
      <c r="A7" s="10">
        <v>4</v>
      </c>
      <c r="B7" s="10" t="s">
        <v>231</v>
      </c>
      <c r="C7" s="10"/>
      <c r="D7" s="10"/>
      <c r="E7" s="10"/>
      <c r="F7" s="11"/>
      <c r="G7" s="11"/>
      <c r="H7" s="13"/>
    </row>
    <row r="8" ht="25"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6" t="s">
        <v>237</v>
      </c>
      <c r="E10" s="17" t="s">
        <v>238</v>
      </c>
      <c r="F10" s="14" t="s">
        <v>239</v>
      </c>
      <c r="G10" s="14" t="s">
        <v>240</v>
      </c>
      <c r="H10" s="17" t="s">
        <v>241</v>
      </c>
    </row>
    <row r="11" customHeight="1" spans="1:8">
      <c r="A11" s="10">
        <v>1</v>
      </c>
      <c r="B11" s="27" t="s">
        <v>242</v>
      </c>
      <c r="C11" s="28" t="s">
        <v>243</v>
      </c>
      <c r="D11" s="47" t="s">
        <v>243</v>
      </c>
      <c r="E11" s="28" t="s">
        <v>243</v>
      </c>
      <c r="F11" s="30"/>
      <c r="G11" s="22" t="s">
        <v>248</v>
      </c>
      <c r="H11" s="30"/>
    </row>
    <row r="12" customHeight="1" spans="1:8">
      <c r="A12" s="10">
        <v>2</v>
      </c>
      <c r="B12" s="32"/>
      <c r="C12" s="32" t="s">
        <v>2997</v>
      </c>
      <c r="D12" s="48" t="s">
        <v>2997</v>
      </c>
      <c r="E12" s="32" t="s">
        <v>2998</v>
      </c>
      <c r="F12" s="32" t="s">
        <v>2859</v>
      </c>
      <c r="G12" s="22" t="s">
        <v>248</v>
      </c>
      <c r="H12" s="34"/>
    </row>
    <row r="13" customHeight="1" spans="1:12">
      <c r="A13" s="10">
        <v>3</v>
      </c>
      <c r="B13" s="27" t="s">
        <v>242</v>
      </c>
      <c r="C13" s="32" t="s">
        <v>2999</v>
      </c>
      <c r="D13" s="48" t="s">
        <v>2999</v>
      </c>
      <c r="E13" s="89" t="s">
        <v>2865</v>
      </c>
      <c r="F13" s="34"/>
      <c r="G13" s="22" t="s">
        <v>248</v>
      </c>
      <c r="H13" s="36"/>
      <c r="I13" s="23" t="s">
        <v>264</v>
      </c>
      <c r="J13" s="23" t="s">
        <v>265</v>
      </c>
      <c r="K13" s="23" t="s">
        <v>2865</v>
      </c>
      <c r="L13" s="40" t="s">
        <v>365</v>
      </c>
    </row>
    <row r="14" customHeight="1" spans="1:12">
      <c r="A14" s="10">
        <v>4</v>
      </c>
      <c r="B14" s="27" t="s">
        <v>242</v>
      </c>
      <c r="C14" s="32" t="s">
        <v>3000</v>
      </c>
      <c r="D14" s="48" t="s">
        <v>3000</v>
      </c>
      <c r="E14" s="32" t="s">
        <v>3001</v>
      </c>
      <c r="F14" s="34"/>
      <c r="G14" s="22" t="s">
        <v>248</v>
      </c>
      <c r="H14" s="36"/>
      <c r="I14" s="23" t="s">
        <v>264</v>
      </c>
      <c r="J14" s="23" t="s">
        <v>265</v>
      </c>
      <c r="K14" s="23" t="s">
        <v>3001</v>
      </c>
      <c r="L14" s="40" t="s">
        <v>365</v>
      </c>
    </row>
    <row r="15" customHeight="1" spans="1:12">
      <c r="A15" s="10">
        <v>5</v>
      </c>
      <c r="B15" s="32"/>
      <c r="C15" s="32" t="s">
        <v>3002</v>
      </c>
      <c r="D15" s="48" t="s">
        <v>3002</v>
      </c>
      <c r="E15" s="89" t="s">
        <v>3003</v>
      </c>
      <c r="F15" s="34"/>
      <c r="G15" s="22" t="s">
        <v>248</v>
      </c>
      <c r="H15" s="36"/>
      <c r="I15" s="23" t="s">
        <v>264</v>
      </c>
      <c r="J15" s="23" t="s">
        <v>265</v>
      </c>
      <c r="K15" s="23" t="s">
        <v>3003</v>
      </c>
      <c r="L15" s="40" t="s">
        <v>365</v>
      </c>
    </row>
    <row r="16" customHeight="1" spans="1:8">
      <c r="A16" s="10">
        <v>6</v>
      </c>
      <c r="B16" s="32"/>
      <c r="C16" s="32" t="s">
        <v>3004</v>
      </c>
      <c r="D16" s="48" t="s">
        <v>3004</v>
      </c>
      <c r="E16" s="32" t="s">
        <v>3005</v>
      </c>
      <c r="F16" s="34"/>
      <c r="G16" s="22" t="s">
        <v>248</v>
      </c>
      <c r="H16" s="34"/>
    </row>
    <row r="17" customHeight="1" spans="1:8">
      <c r="A17" s="10">
        <v>7</v>
      </c>
      <c r="B17" s="32"/>
      <c r="C17" s="32" t="s">
        <v>3006</v>
      </c>
      <c r="D17" s="48" t="s">
        <v>3006</v>
      </c>
      <c r="E17" s="32" t="s">
        <v>3007</v>
      </c>
      <c r="F17" s="34"/>
      <c r="G17" s="22" t="s">
        <v>248</v>
      </c>
      <c r="H17" s="34"/>
    </row>
    <row r="18" customHeight="1" spans="1:8">
      <c r="A18" s="10">
        <v>8</v>
      </c>
      <c r="B18" s="32"/>
      <c r="C18" s="32" t="s">
        <v>3008</v>
      </c>
      <c r="D18" s="48" t="s">
        <v>3008</v>
      </c>
      <c r="E18" s="32" t="s">
        <v>3009</v>
      </c>
      <c r="F18" s="32" t="s">
        <v>3010</v>
      </c>
      <c r="G18" s="22" t="s">
        <v>248</v>
      </c>
      <c r="H18" s="34"/>
    </row>
    <row r="19" customHeight="1" spans="1:8">
      <c r="A19" s="10">
        <v>9</v>
      </c>
      <c r="B19" s="32"/>
      <c r="C19" s="32" t="s">
        <v>3011</v>
      </c>
      <c r="D19" s="48" t="s">
        <v>3011</v>
      </c>
      <c r="E19" s="32" t="s">
        <v>3012</v>
      </c>
      <c r="F19" s="34"/>
      <c r="G19" s="22" t="s">
        <v>248</v>
      </c>
      <c r="H19" s="34"/>
    </row>
    <row r="20" customHeight="1" spans="1:8">
      <c r="A20" s="10">
        <v>10</v>
      </c>
      <c r="B20" s="32"/>
      <c r="C20" s="32" t="s">
        <v>3013</v>
      </c>
      <c r="D20" s="48" t="s">
        <v>3013</v>
      </c>
      <c r="E20" s="32" t="s">
        <v>3014</v>
      </c>
      <c r="F20" s="32" t="s">
        <v>3015</v>
      </c>
      <c r="G20" s="22" t="s">
        <v>248</v>
      </c>
      <c r="H20" s="34"/>
    </row>
    <row r="21" customHeight="1" spans="1:8">
      <c r="A21" s="10">
        <v>11</v>
      </c>
      <c r="B21" s="32"/>
      <c r="C21" s="32" t="s">
        <v>3016</v>
      </c>
      <c r="D21" s="48" t="s">
        <v>3016</v>
      </c>
      <c r="E21" s="32" t="s">
        <v>3017</v>
      </c>
      <c r="F21" s="32" t="s">
        <v>3018</v>
      </c>
      <c r="G21" s="22" t="s">
        <v>248</v>
      </c>
      <c r="H21" s="36"/>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9" workbookViewId="0">
      <selection activeCell="K22" sqref="K22"/>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0.5" style="23" customWidth="1"/>
    <col min="7" max="7" width="19.6666666666667" style="23" customWidth="1"/>
    <col min="8" max="8" width="19" style="24" customWidth="1"/>
    <col min="9" max="9" width="15.25" style="23" customWidth="1"/>
    <col min="10" max="10" width="14" style="23" customWidth="1"/>
    <col min="11" max="11" width="17" style="23" customWidth="1"/>
    <col min="12" max="16384" width="10.8333333333333" style="23"/>
  </cols>
  <sheetData>
    <row r="1" customHeight="1" spans="1:8">
      <c r="A1" s="1" t="s">
        <v>223</v>
      </c>
      <c r="B1" s="2" t="s">
        <v>3019</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ht="25" customHeight="1" spans="1:8">
      <c r="A4" s="10">
        <v>1</v>
      </c>
      <c r="B4" s="10" t="s">
        <v>226</v>
      </c>
      <c r="C4" s="10"/>
      <c r="D4" s="10"/>
      <c r="E4" s="10" t="s">
        <v>3020</v>
      </c>
      <c r="F4" s="11"/>
      <c r="G4" s="11"/>
      <c r="H4" s="13"/>
    </row>
    <row r="5" ht="25" customHeight="1" spans="1:8">
      <c r="A5" s="10">
        <v>2</v>
      </c>
      <c r="B5" s="10" t="s">
        <v>228</v>
      </c>
      <c r="C5" s="10"/>
      <c r="D5" s="10"/>
      <c r="E5" s="10"/>
      <c r="F5" s="11"/>
      <c r="G5" s="11"/>
      <c r="H5" s="13"/>
    </row>
    <row r="6" ht="25" customHeight="1" spans="1:8">
      <c r="A6" s="10">
        <v>3</v>
      </c>
      <c r="B6" s="10" t="s">
        <v>229</v>
      </c>
      <c r="C6" s="10"/>
      <c r="D6" s="10"/>
      <c r="E6" s="10"/>
      <c r="F6" s="11"/>
      <c r="G6" s="11"/>
      <c r="H6" s="13"/>
    </row>
    <row r="7" ht="25" customHeight="1" spans="1:8">
      <c r="A7" s="10">
        <v>4</v>
      </c>
      <c r="B7" s="10" t="s">
        <v>231</v>
      </c>
      <c r="C7" s="10"/>
      <c r="D7" s="10"/>
      <c r="E7" s="10"/>
      <c r="F7" s="11"/>
      <c r="G7" s="11"/>
      <c r="H7" s="13"/>
    </row>
    <row r="8" ht="25"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6" t="s">
        <v>237</v>
      </c>
      <c r="E10" s="17" t="s">
        <v>238</v>
      </c>
      <c r="F10" s="14" t="s">
        <v>239</v>
      </c>
      <c r="G10" s="14" t="s">
        <v>240</v>
      </c>
      <c r="H10" s="17" t="s">
        <v>241</v>
      </c>
    </row>
    <row r="11" customHeight="1" spans="1:8">
      <c r="A11" s="10">
        <v>1</v>
      </c>
      <c r="B11" s="27" t="s">
        <v>242</v>
      </c>
      <c r="C11" s="28" t="s">
        <v>243</v>
      </c>
      <c r="D11" s="47" t="s">
        <v>243</v>
      </c>
      <c r="E11" s="28" t="s">
        <v>243</v>
      </c>
      <c r="F11" s="30"/>
      <c r="G11" s="22" t="s">
        <v>248</v>
      </c>
      <c r="H11" s="30"/>
    </row>
    <row r="12" customHeight="1" spans="1:8">
      <c r="A12" s="10">
        <v>2</v>
      </c>
      <c r="B12" s="27" t="s">
        <v>242</v>
      </c>
      <c r="C12" s="28" t="s">
        <v>3021</v>
      </c>
      <c r="D12" s="47" t="s">
        <v>3021</v>
      </c>
      <c r="E12" s="28" t="s">
        <v>3022</v>
      </c>
      <c r="F12" s="30"/>
      <c r="G12" s="22" t="s">
        <v>248</v>
      </c>
      <c r="H12" s="30"/>
    </row>
    <row r="13" customHeight="1" spans="1:8">
      <c r="A13" s="10">
        <v>3</v>
      </c>
      <c r="B13" s="27" t="s">
        <v>242</v>
      </c>
      <c r="C13" s="28" t="s">
        <v>3023</v>
      </c>
      <c r="D13" s="47" t="s">
        <v>3023</v>
      </c>
      <c r="E13" s="28" t="s">
        <v>3024</v>
      </c>
      <c r="F13" s="28"/>
      <c r="G13" s="22" t="s">
        <v>248</v>
      </c>
      <c r="H13" s="30"/>
    </row>
    <row r="14" customHeight="1" spans="1:8">
      <c r="A14" s="10">
        <v>4</v>
      </c>
      <c r="B14" s="27" t="s">
        <v>242</v>
      </c>
      <c r="C14" s="28" t="s">
        <v>3025</v>
      </c>
      <c r="D14" s="47" t="s">
        <v>3025</v>
      </c>
      <c r="E14" s="28" t="s">
        <v>3026</v>
      </c>
      <c r="F14" s="30"/>
      <c r="G14" s="22" t="s">
        <v>248</v>
      </c>
      <c r="H14" s="30"/>
    </row>
    <row r="15" customHeight="1" spans="1:8">
      <c r="A15" s="10">
        <v>5</v>
      </c>
      <c r="B15" s="28"/>
      <c r="C15" s="28" t="s">
        <v>3027</v>
      </c>
      <c r="D15" s="47" t="s">
        <v>3027</v>
      </c>
      <c r="E15" s="28" t="s">
        <v>3028</v>
      </c>
      <c r="F15" s="30"/>
      <c r="G15" s="22" t="s">
        <v>248</v>
      </c>
      <c r="H15" s="30"/>
    </row>
    <row r="16" customHeight="1" spans="1:8">
      <c r="A16" s="10">
        <v>6</v>
      </c>
      <c r="B16" s="28"/>
      <c r="C16" s="28" t="s">
        <v>3029</v>
      </c>
      <c r="D16" s="47" t="s">
        <v>3029</v>
      </c>
      <c r="E16" s="28" t="s">
        <v>3030</v>
      </c>
      <c r="F16" s="28"/>
      <c r="G16" s="22" t="s">
        <v>248</v>
      </c>
      <c r="H16" s="30"/>
    </row>
    <row r="17" customHeight="1" spans="1:8">
      <c r="A17" s="10">
        <v>7</v>
      </c>
      <c r="B17" s="28"/>
      <c r="C17" s="28" t="s">
        <v>3031</v>
      </c>
      <c r="D17" s="47" t="s">
        <v>3031</v>
      </c>
      <c r="E17" s="28" t="s">
        <v>3032</v>
      </c>
      <c r="F17" s="30"/>
      <c r="G17" s="22" t="s">
        <v>248</v>
      </c>
      <c r="H17" s="30"/>
    </row>
    <row r="18" customHeight="1" spans="1:12">
      <c r="A18" s="10">
        <v>8</v>
      </c>
      <c r="B18" s="27" t="s">
        <v>242</v>
      </c>
      <c r="C18" s="28" t="s">
        <v>3033</v>
      </c>
      <c r="D18" s="47" t="s">
        <v>3033</v>
      </c>
      <c r="E18" s="28" t="s">
        <v>3034</v>
      </c>
      <c r="F18" s="30"/>
      <c r="G18" s="22" t="s">
        <v>248</v>
      </c>
      <c r="H18" s="30"/>
      <c r="I18" s="23" t="s">
        <v>352</v>
      </c>
      <c r="J18" s="23" t="s">
        <v>353</v>
      </c>
      <c r="L18" s="40" t="s">
        <v>365</v>
      </c>
    </row>
    <row r="19" customHeight="1" spans="1:12">
      <c r="A19" s="10">
        <v>9</v>
      </c>
      <c r="B19" s="27" t="s">
        <v>242</v>
      </c>
      <c r="C19" s="28" t="s">
        <v>3035</v>
      </c>
      <c r="D19" s="47" t="s">
        <v>3035</v>
      </c>
      <c r="E19" s="28" t="s">
        <v>3036</v>
      </c>
      <c r="F19" s="28"/>
      <c r="G19" s="22" t="s">
        <v>248</v>
      </c>
      <c r="H19" s="30"/>
      <c r="I19" s="23" t="s">
        <v>264</v>
      </c>
      <c r="J19" s="23" t="s">
        <v>265</v>
      </c>
      <c r="K19" s="23" t="s">
        <v>3036</v>
      </c>
      <c r="L19" s="40" t="s">
        <v>365</v>
      </c>
    </row>
    <row r="20" customHeight="1" spans="1:8">
      <c r="A20" s="10">
        <v>10</v>
      </c>
      <c r="B20" s="28"/>
      <c r="C20" s="28" t="s">
        <v>3037</v>
      </c>
      <c r="D20" s="47" t="s">
        <v>3037</v>
      </c>
      <c r="E20" s="28" t="s">
        <v>3038</v>
      </c>
      <c r="F20" s="28"/>
      <c r="G20" s="22" t="s">
        <v>248</v>
      </c>
      <c r="H20" s="30"/>
    </row>
    <row r="21" customHeight="1" spans="1:12">
      <c r="A21" s="10">
        <v>11</v>
      </c>
      <c r="B21" s="28"/>
      <c r="C21" s="28" t="s">
        <v>3039</v>
      </c>
      <c r="D21" s="47" t="s">
        <v>3039</v>
      </c>
      <c r="E21" s="28" t="s">
        <v>3040</v>
      </c>
      <c r="F21" s="28"/>
      <c r="G21" s="22" t="s">
        <v>248</v>
      </c>
      <c r="H21" s="86" t="s">
        <v>3041</v>
      </c>
      <c r="I21" s="23" t="s">
        <v>264</v>
      </c>
      <c r="J21" s="23" t="s">
        <v>265</v>
      </c>
      <c r="K21" s="23" t="s">
        <v>3040</v>
      </c>
      <c r="L21" s="40" t="s">
        <v>365</v>
      </c>
    </row>
    <row r="22" customHeight="1" spans="1:12">
      <c r="A22" s="10">
        <v>12</v>
      </c>
      <c r="B22" s="27" t="s">
        <v>242</v>
      </c>
      <c r="C22" s="28" t="s">
        <v>3042</v>
      </c>
      <c r="D22" s="47" t="s">
        <v>3042</v>
      </c>
      <c r="E22" s="28" t="s">
        <v>3043</v>
      </c>
      <c r="F22" s="28"/>
      <c r="G22" s="22" t="s">
        <v>248</v>
      </c>
      <c r="H22" s="30"/>
      <c r="I22" s="23" t="s">
        <v>264</v>
      </c>
      <c r="J22" s="23" t="s">
        <v>265</v>
      </c>
      <c r="K22" s="23" t="s">
        <v>3043</v>
      </c>
      <c r="L22" s="40" t="s">
        <v>365</v>
      </c>
    </row>
    <row r="23" customHeight="1" spans="1:12">
      <c r="A23" s="10">
        <v>13</v>
      </c>
      <c r="B23" s="28"/>
      <c r="C23" s="28" t="s">
        <v>3044</v>
      </c>
      <c r="D23" s="47" t="s">
        <v>3044</v>
      </c>
      <c r="E23" s="28" t="s">
        <v>3045</v>
      </c>
      <c r="F23" s="28"/>
      <c r="G23" s="22" t="s">
        <v>248</v>
      </c>
      <c r="H23" s="30"/>
      <c r="I23" s="23" t="s">
        <v>352</v>
      </c>
      <c r="J23" s="23" t="s">
        <v>353</v>
      </c>
      <c r="L23" s="40" t="s">
        <v>365</v>
      </c>
    </row>
    <row r="24" customHeight="1" spans="1:8">
      <c r="A24" s="10">
        <v>14</v>
      </c>
      <c r="B24" s="28"/>
      <c r="C24" s="29" t="s">
        <v>3046</v>
      </c>
      <c r="D24" s="47" t="s">
        <v>3046</v>
      </c>
      <c r="E24" s="29" t="s">
        <v>3047</v>
      </c>
      <c r="F24" s="29"/>
      <c r="G24" s="87" t="s">
        <v>248</v>
      </c>
      <c r="H24" s="88"/>
    </row>
    <row r="25" customHeight="1" spans="1:8">
      <c r="A25" s="10">
        <v>15</v>
      </c>
      <c r="B25" s="28"/>
      <c r="C25" s="28" t="s">
        <v>3048</v>
      </c>
      <c r="D25" s="47" t="s">
        <v>3048</v>
      </c>
      <c r="E25" s="28" t="s">
        <v>3049</v>
      </c>
      <c r="F25" s="10"/>
      <c r="G25" s="22" t="s">
        <v>248</v>
      </c>
      <c r="H25" s="25"/>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21" location="'GLJB 管理级别代码'!A1" display="JY/T 1001 GLJB 管理级别代码"/>
  </hyperlinks>
  <pageMargins left="0.699305555555556" right="0.699305555555556" top="0.75" bottom="0.75" header="0.3" footer="0.3"/>
  <pageSetup paperSize="9" orientation="portrait" horizontalDpi="200" verticalDpi="300"/>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topLeftCell="A5" workbookViewId="0">
      <selection activeCell="K13" sqref="K1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0.5" style="23" customWidth="1"/>
    <col min="7" max="7" width="19.6666666666667" style="23" customWidth="1"/>
    <col min="8" max="8" width="19" style="25" customWidth="1"/>
    <col min="9" max="9" width="13.125" style="23" customWidth="1"/>
    <col min="10" max="10" width="12.625" style="23" customWidth="1"/>
    <col min="11" max="11" width="13" style="23" customWidth="1"/>
    <col min="12" max="16384" width="10.8333333333333" style="23"/>
  </cols>
  <sheetData>
    <row r="1" customHeight="1" spans="1:8">
      <c r="A1" s="1" t="s">
        <v>223</v>
      </c>
      <c r="B1" s="2" t="s">
        <v>153</v>
      </c>
      <c r="C1" s="3"/>
      <c r="D1" s="3"/>
      <c r="E1" s="3"/>
      <c r="F1" s="3"/>
      <c r="G1" s="4"/>
      <c r="H1" s="2"/>
    </row>
    <row r="2" customHeight="1" spans="1:8">
      <c r="A2" s="5"/>
      <c r="B2" s="3"/>
      <c r="C2" s="3"/>
      <c r="D2" s="3"/>
      <c r="E2" s="3"/>
      <c r="F2" s="3"/>
      <c r="G2" s="4"/>
      <c r="H2" s="2"/>
    </row>
    <row r="3" customHeight="1" spans="1:8">
      <c r="A3" s="6" t="s">
        <v>225</v>
      </c>
      <c r="B3" s="6"/>
      <c r="C3" s="6"/>
      <c r="D3" s="6"/>
      <c r="E3" s="7"/>
      <c r="F3" s="6"/>
      <c r="G3" s="8"/>
      <c r="H3" s="9"/>
    </row>
    <row r="4" customHeight="1" spans="1:8">
      <c r="A4" s="10">
        <v>1</v>
      </c>
      <c r="B4" s="10" t="s">
        <v>226</v>
      </c>
      <c r="C4" s="10"/>
      <c r="D4" s="10"/>
      <c r="E4" s="10" t="s">
        <v>3050</v>
      </c>
      <c r="F4" s="11"/>
      <c r="G4" s="12"/>
      <c r="H4" s="13"/>
    </row>
    <row r="5" customHeight="1" spans="1:8">
      <c r="A5" s="10">
        <v>2</v>
      </c>
      <c r="B5" s="10" t="s">
        <v>228</v>
      </c>
      <c r="C5" s="10"/>
      <c r="D5" s="10"/>
      <c r="E5" s="10"/>
      <c r="F5" s="11"/>
      <c r="G5" s="12"/>
      <c r="H5" s="13"/>
    </row>
    <row r="6" customHeight="1" spans="1:8">
      <c r="A6" s="10">
        <v>3</v>
      </c>
      <c r="B6" s="10" t="s">
        <v>229</v>
      </c>
      <c r="C6" s="10"/>
      <c r="D6" s="10"/>
      <c r="E6" s="10"/>
      <c r="F6" s="11"/>
      <c r="G6" s="12"/>
      <c r="H6" s="13"/>
    </row>
    <row r="7" customHeight="1" spans="1:8">
      <c r="A7" s="10">
        <v>4</v>
      </c>
      <c r="B7" s="10" t="s">
        <v>231</v>
      </c>
      <c r="C7" s="10"/>
      <c r="D7" s="10"/>
      <c r="E7" s="10"/>
      <c r="F7" s="11"/>
      <c r="G7" s="12"/>
      <c r="H7" s="13"/>
    </row>
    <row r="8"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customHeight="1" spans="1:8">
      <c r="A11" s="10">
        <v>1</v>
      </c>
      <c r="B11" s="27" t="s">
        <v>242</v>
      </c>
      <c r="C11" s="28" t="s">
        <v>243</v>
      </c>
      <c r="D11" s="47" t="s">
        <v>243</v>
      </c>
      <c r="E11" s="28" t="s">
        <v>243</v>
      </c>
      <c r="F11" s="30"/>
      <c r="G11" s="31" t="s">
        <v>248</v>
      </c>
      <c r="H11" s="30"/>
    </row>
    <row r="12" customHeight="1" spans="1:8">
      <c r="A12" s="10">
        <v>2</v>
      </c>
      <c r="B12" s="27" t="s">
        <v>242</v>
      </c>
      <c r="C12" s="28" t="s">
        <v>3051</v>
      </c>
      <c r="D12" s="47" t="s">
        <v>3051</v>
      </c>
      <c r="E12" s="28" t="s">
        <v>629</v>
      </c>
      <c r="F12" s="30"/>
      <c r="G12" s="31" t="s">
        <v>248</v>
      </c>
      <c r="H12" s="30"/>
    </row>
    <row r="13" customHeight="1" spans="1:12">
      <c r="A13" s="10">
        <v>3</v>
      </c>
      <c r="B13" s="27" t="s">
        <v>242</v>
      </c>
      <c r="C13" s="28" t="s">
        <v>3052</v>
      </c>
      <c r="D13" s="47" t="s">
        <v>3052</v>
      </c>
      <c r="E13" s="28" t="s">
        <v>3053</v>
      </c>
      <c r="F13" s="28"/>
      <c r="G13" s="31" t="s">
        <v>248</v>
      </c>
      <c r="H13" s="86" t="s">
        <v>3054</v>
      </c>
      <c r="I13" s="23" t="s">
        <v>264</v>
      </c>
      <c r="J13" s="23" t="s">
        <v>265</v>
      </c>
      <c r="K13" s="28" t="s">
        <v>3053</v>
      </c>
      <c r="L13" s="40" t="s">
        <v>365</v>
      </c>
    </row>
    <row r="14" customHeight="1" spans="1:8">
      <c r="A14" s="10">
        <v>4</v>
      </c>
      <c r="B14" s="27" t="s">
        <v>242</v>
      </c>
      <c r="C14" s="28" t="s">
        <v>3055</v>
      </c>
      <c r="D14" s="47" t="s">
        <v>3055</v>
      </c>
      <c r="E14" s="28" t="s">
        <v>3056</v>
      </c>
      <c r="F14" s="30"/>
      <c r="G14" s="31" t="s">
        <v>248</v>
      </c>
      <c r="H14" s="30"/>
    </row>
    <row r="15" customHeight="1" spans="1:8">
      <c r="A15" s="10">
        <v>5</v>
      </c>
      <c r="B15" s="28"/>
      <c r="C15" s="28" t="s">
        <v>3057</v>
      </c>
      <c r="D15" s="47" t="s">
        <v>3057</v>
      </c>
      <c r="E15" s="28" t="s">
        <v>3058</v>
      </c>
      <c r="F15" s="30"/>
      <c r="G15" s="31" t="s">
        <v>248</v>
      </c>
      <c r="H15" s="30"/>
    </row>
    <row r="16" customHeight="1" spans="1:8">
      <c r="A16" s="10">
        <v>6</v>
      </c>
      <c r="B16" s="28"/>
      <c r="C16" s="28" t="s">
        <v>3059</v>
      </c>
      <c r="D16" s="47" t="s">
        <v>3059</v>
      </c>
      <c r="E16" s="28" t="s">
        <v>3060</v>
      </c>
      <c r="F16" s="28"/>
      <c r="G16" s="31" t="s">
        <v>306</v>
      </c>
      <c r="H16" s="30"/>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3" location="'SYSFY 实验室费用代码'!A1" display="JY/T 1001 SYSFY 实验室费用代码"/>
  </hyperlinks>
  <pageMargins left="0.699305555555556" right="0.699305555555556" top="0.75" bottom="0.75" header="0.3" footer="0.3"/>
  <pageSetup paperSize="9" orientation="portrait" horizontalDpi="200" verticalDpi="300"/>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zoomScale="85" zoomScaleNormal="85" topLeftCell="A2" workbookViewId="0">
      <selection activeCell="E15" sqref="E15"/>
    </sheetView>
  </sheetViews>
  <sheetFormatPr defaultColWidth="10.8333333333333" defaultRowHeight="35" customHeight="1" outlineLevelCol="7"/>
  <cols>
    <col min="1" max="1" width="5.66666666666667" style="23" customWidth="1"/>
    <col min="2" max="2" width="5.83333333333333" style="23" customWidth="1"/>
    <col min="3" max="4" width="20.5" style="23" customWidth="1"/>
    <col min="5" max="5" width="20.8333333333333" style="24" customWidth="1"/>
    <col min="6" max="6" width="50.5" style="23" customWidth="1"/>
    <col min="7" max="7" width="19.6666666666667" style="23" customWidth="1"/>
    <col min="8" max="8" width="19" style="25" customWidth="1"/>
    <col min="9" max="16384" width="10.8333333333333" style="23"/>
  </cols>
  <sheetData>
    <row r="1" customHeight="1" spans="1:8">
      <c r="A1" s="1" t="s">
        <v>223</v>
      </c>
      <c r="B1" s="2" t="s">
        <v>154</v>
      </c>
      <c r="C1" s="3"/>
      <c r="D1" s="3"/>
      <c r="E1" s="3"/>
      <c r="F1" s="3"/>
      <c r="G1" s="4"/>
      <c r="H1" s="2"/>
    </row>
    <row r="2" customHeight="1" spans="1:8">
      <c r="A2" s="5"/>
      <c r="B2" s="3"/>
      <c r="C2" s="3"/>
      <c r="D2" s="3"/>
      <c r="E2" s="3"/>
      <c r="F2" s="3"/>
      <c r="G2" s="4"/>
      <c r="H2" s="2"/>
    </row>
    <row r="3" customHeight="1" spans="1:8">
      <c r="A3" s="6" t="s">
        <v>225</v>
      </c>
      <c r="B3" s="6"/>
      <c r="C3" s="6"/>
      <c r="D3" s="6"/>
      <c r="E3" s="7"/>
      <c r="F3" s="6"/>
      <c r="G3" s="8"/>
      <c r="H3" s="9"/>
    </row>
    <row r="4" customHeight="1" spans="1:8">
      <c r="A4" s="10">
        <v>1</v>
      </c>
      <c r="B4" s="10" t="s">
        <v>226</v>
      </c>
      <c r="C4" s="10"/>
      <c r="D4" s="10"/>
      <c r="E4" s="10" t="s">
        <v>3061</v>
      </c>
      <c r="F4" s="11"/>
      <c r="G4" s="12"/>
      <c r="H4" s="13"/>
    </row>
    <row r="5" customHeight="1" spans="1:8">
      <c r="A5" s="10">
        <v>2</v>
      </c>
      <c r="B5" s="10" t="s">
        <v>228</v>
      </c>
      <c r="C5" s="10"/>
      <c r="D5" s="10"/>
      <c r="E5" s="10"/>
      <c r="F5" s="11"/>
      <c r="G5" s="12"/>
      <c r="H5" s="13"/>
    </row>
    <row r="6" customHeight="1" spans="1:8">
      <c r="A6" s="10">
        <v>3</v>
      </c>
      <c r="B6" s="10" t="s">
        <v>229</v>
      </c>
      <c r="C6" s="10"/>
      <c r="D6" s="10"/>
      <c r="E6" s="10"/>
      <c r="F6" s="11"/>
      <c r="G6" s="12"/>
      <c r="H6" s="13"/>
    </row>
    <row r="7" customHeight="1" spans="1:8">
      <c r="A7" s="10">
        <v>4</v>
      </c>
      <c r="B7" s="10" t="s">
        <v>231</v>
      </c>
      <c r="C7" s="10"/>
      <c r="D7" s="10"/>
      <c r="E7" s="10"/>
      <c r="F7" s="11"/>
      <c r="G7" s="12"/>
      <c r="H7" s="13"/>
    </row>
    <row r="8"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236</v>
      </c>
      <c r="E10" s="17" t="s">
        <v>238</v>
      </c>
      <c r="F10" s="14" t="s">
        <v>239</v>
      </c>
      <c r="G10" s="26" t="s">
        <v>240</v>
      </c>
      <c r="H10" s="17" t="s">
        <v>241</v>
      </c>
    </row>
    <row r="11" customHeight="1" spans="1:8">
      <c r="A11" s="10">
        <v>1</v>
      </c>
      <c r="B11" s="27" t="s">
        <v>242</v>
      </c>
      <c r="C11" s="28" t="s">
        <v>243</v>
      </c>
      <c r="D11" s="47" t="s">
        <v>243</v>
      </c>
      <c r="E11" s="28" t="s">
        <v>243</v>
      </c>
      <c r="F11" s="30"/>
      <c r="G11" s="31" t="s">
        <v>248</v>
      </c>
      <c r="H11" s="30"/>
    </row>
    <row r="12" customHeight="1" spans="1:8">
      <c r="A12" s="10">
        <v>2</v>
      </c>
      <c r="B12" s="27"/>
      <c r="C12" s="28" t="s">
        <v>3051</v>
      </c>
      <c r="D12" s="47" t="s">
        <v>3051</v>
      </c>
      <c r="E12" s="28" t="s">
        <v>629</v>
      </c>
      <c r="F12" s="30"/>
      <c r="G12" s="31" t="s">
        <v>248</v>
      </c>
      <c r="H12" s="30"/>
    </row>
    <row r="13" customHeight="1" spans="1:8">
      <c r="A13" s="10">
        <v>3</v>
      </c>
      <c r="B13" s="27" t="s">
        <v>242</v>
      </c>
      <c r="C13" s="28" t="s">
        <v>3062</v>
      </c>
      <c r="D13" s="47" t="s">
        <v>3062</v>
      </c>
      <c r="E13" s="28" t="s">
        <v>3063</v>
      </c>
      <c r="F13" s="28"/>
      <c r="G13" s="31" t="s">
        <v>248</v>
      </c>
      <c r="H13" s="30" t="s">
        <v>3064</v>
      </c>
    </row>
    <row r="14" customHeight="1" spans="1:8">
      <c r="A14" s="10">
        <v>4</v>
      </c>
      <c r="B14" s="27" t="s">
        <v>242</v>
      </c>
      <c r="C14" s="28" t="s">
        <v>3065</v>
      </c>
      <c r="D14" s="47" t="s">
        <v>3065</v>
      </c>
      <c r="E14" s="28" t="s">
        <v>3066</v>
      </c>
      <c r="F14" s="30"/>
      <c r="G14" s="31" t="s">
        <v>248</v>
      </c>
      <c r="H14" s="30"/>
    </row>
    <row r="15" customHeight="1" spans="1:8">
      <c r="A15" s="10">
        <v>5</v>
      </c>
      <c r="B15" s="28"/>
      <c r="C15" s="28" t="s">
        <v>3067</v>
      </c>
      <c r="D15" s="47" t="s">
        <v>3067</v>
      </c>
      <c r="E15" s="28" t="s">
        <v>3068</v>
      </c>
      <c r="F15" s="30"/>
      <c r="G15" s="31" t="s">
        <v>248</v>
      </c>
      <c r="H15" s="86" t="s">
        <v>2972</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5" location="'SFBZ 是否标志代码'!A1" display="JY/T 1001 SFBZ 是否标志代码"/>
  </hyperlinks>
  <pageMargins left="0.699305555555556" right="0.699305555555556" top="0.75" bottom="0.75" header="0.3" footer="0.3"/>
  <pageSetup paperSize="9" orientation="portrait" horizontalDpi="200" verticalDpi="300"/>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K14" sqref="K1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0.5" style="23" customWidth="1"/>
    <col min="7" max="7" width="19.6666666666667" style="23" customWidth="1"/>
    <col min="8" max="8" width="19" style="25" customWidth="1"/>
    <col min="9" max="9" width="15.375" style="23" customWidth="1"/>
    <col min="10" max="10" width="13.25" style="23" customWidth="1"/>
    <col min="11" max="11" width="18.25" style="23" customWidth="1"/>
    <col min="12" max="16384" width="10.8333333333333" style="23"/>
  </cols>
  <sheetData>
    <row r="1" customHeight="1" spans="1:8">
      <c r="A1" s="1" t="s">
        <v>223</v>
      </c>
      <c r="B1" s="2" t="s">
        <v>155</v>
      </c>
      <c r="C1" s="3"/>
      <c r="D1" s="3"/>
      <c r="E1" s="3"/>
      <c r="F1" s="3"/>
      <c r="G1" s="4"/>
      <c r="H1" s="2"/>
    </row>
    <row r="2" customHeight="1" spans="1:8">
      <c r="A2" s="5"/>
      <c r="B2" s="3"/>
      <c r="C2" s="3"/>
      <c r="D2" s="3"/>
      <c r="E2" s="3"/>
      <c r="F2" s="3"/>
      <c r="G2" s="4"/>
      <c r="H2" s="2"/>
    </row>
    <row r="3" customHeight="1" spans="1:8">
      <c r="A3" s="6" t="s">
        <v>225</v>
      </c>
      <c r="B3" s="6"/>
      <c r="C3" s="6"/>
      <c r="D3" s="6"/>
      <c r="E3" s="7"/>
      <c r="F3" s="6"/>
      <c r="G3" s="8"/>
      <c r="H3" s="9"/>
    </row>
    <row r="4" ht="25" customHeight="1" spans="1:8">
      <c r="A4" s="10">
        <v>1</v>
      </c>
      <c r="B4" s="10" t="s">
        <v>226</v>
      </c>
      <c r="C4" s="10"/>
      <c r="D4" s="10"/>
      <c r="E4" s="10" t="s">
        <v>3069</v>
      </c>
      <c r="F4" s="11"/>
      <c r="G4" s="12"/>
      <c r="H4" s="13"/>
    </row>
    <row r="5" ht="25" customHeight="1" spans="1:8">
      <c r="A5" s="10">
        <v>2</v>
      </c>
      <c r="B5" s="10" t="s">
        <v>228</v>
      </c>
      <c r="C5" s="10"/>
      <c r="D5" s="10"/>
      <c r="E5" s="10"/>
      <c r="F5" s="11"/>
      <c r="G5" s="12"/>
      <c r="H5" s="13"/>
    </row>
    <row r="6" ht="25" customHeight="1" spans="1:8">
      <c r="A6" s="10">
        <v>3</v>
      </c>
      <c r="B6" s="10" t="s">
        <v>229</v>
      </c>
      <c r="C6" s="10"/>
      <c r="D6" s="10"/>
      <c r="E6" s="10"/>
      <c r="F6" s="11"/>
      <c r="G6" s="12"/>
      <c r="H6" s="13"/>
    </row>
    <row r="7" ht="25" customHeight="1" spans="1:8">
      <c r="A7" s="10">
        <v>4</v>
      </c>
      <c r="B7" s="10" t="s">
        <v>231</v>
      </c>
      <c r="C7" s="10"/>
      <c r="D7" s="10"/>
      <c r="E7" s="10"/>
      <c r="F7" s="11"/>
      <c r="G7" s="12"/>
      <c r="H7" s="13"/>
    </row>
    <row r="8" ht="25"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customHeight="1" spans="1:8">
      <c r="A11" s="10">
        <v>1</v>
      </c>
      <c r="B11" s="27" t="s">
        <v>242</v>
      </c>
      <c r="C11" s="28" t="s">
        <v>243</v>
      </c>
      <c r="D11" s="29" t="s">
        <v>243</v>
      </c>
      <c r="E11" s="28" t="s">
        <v>243</v>
      </c>
      <c r="F11" s="30"/>
      <c r="G11" s="31" t="s">
        <v>248</v>
      </c>
      <c r="H11" s="30"/>
    </row>
    <row r="12" customHeight="1" spans="1:8">
      <c r="A12" s="10">
        <v>2</v>
      </c>
      <c r="B12" s="27"/>
      <c r="C12" s="28" t="s">
        <v>3051</v>
      </c>
      <c r="D12" s="29" t="s">
        <v>3051</v>
      </c>
      <c r="E12" s="28" t="s">
        <v>629</v>
      </c>
      <c r="F12" s="30"/>
      <c r="G12" s="31" t="s">
        <v>248</v>
      </c>
      <c r="H12" s="30"/>
    </row>
    <row r="13" customHeight="1" spans="1:12">
      <c r="A13" s="10">
        <v>3</v>
      </c>
      <c r="B13" s="27"/>
      <c r="C13" s="28" t="s">
        <v>3070</v>
      </c>
      <c r="D13" s="29" t="s">
        <v>3070</v>
      </c>
      <c r="E13" s="29" t="s">
        <v>3071</v>
      </c>
      <c r="F13" s="30" t="s">
        <v>3072</v>
      </c>
      <c r="G13" s="31" t="s">
        <v>248</v>
      </c>
      <c r="H13" s="85" t="s">
        <v>3073</v>
      </c>
      <c r="I13" s="23" t="s">
        <v>264</v>
      </c>
      <c r="J13" s="23" t="s">
        <v>265</v>
      </c>
      <c r="K13" s="23" t="s">
        <v>3071</v>
      </c>
      <c r="L13" s="40" t="s">
        <v>365</v>
      </c>
    </row>
    <row r="14" customHeight="1" spans="1:12">
      <c r="A14" s="10">
        <v>4</v>
      </c>
      <c r="B14" s="27"/>
      <c r="C14" s="28" t="s">
        <v>3074</v>
      </c>
      <c r="D14" s="29" t="s">
        <v>3074</v>
      </c>
      <c r="E14" s="28" t="s">
        <v>3075</v>
      </c>
      <c r="F14" s="30" t="s">
        <v>3076</v>
      </c>
      <c r="G14" s="31" t="s">
        <v>248</v>
      </c>
      <c r="H14" s="86" t="s">
        <v>3077</v>
      </c>
      <c r="I14" s="23" t="s">
        <v>264</v>
      </c>
      <c r="J14" s="23" t="s">
        <v>265</v>
      </c>
      <c r="K14" s="23" t="s">
        <v>3075</v>
      </c>
      <c r="L14" s="4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4" location="'SYSPGJG 实验室评估结果代码'!A1" display="JY/T 1001 SYSPGJG 实验室评估结果代码"/>
  </hyperlinks>
  <pageMargins left="0.699305555555556" right="0.699305555555556" top="0.75" bottom="0.75" header="0.3" footer="0.3"/>
  <pageSetup paperSize="9" orientation="portrait" horizontalDpi="200" verticalDpi="300"/>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6" workbookViewId="0">
      <selection activeCell="A25" sqref="$A25:$XFD63"/>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0.5" style="23" customWidth="1"/>
    <col min="7" max="7" width="19.6666666666667" style="23" customWidth="1"/>
    <col min="8" max="8" width="19" style="80" customWidth="1"/>
    <col min="9" max="9" width="21.9083333333333" style="23" customWidth="1"/>
    <col min="10" max="10" width="12.6333333333333" style="23" customWidth="1"/>
    <col min="11" max="11" width="14.5" style="23" customWidth="1"/>
    <col min="12" max="16384" width="10.8333333333333" style="23"/>
  </cols>
  <sheetData>
    <row r="1" customHeight="1" spans="1:8">
      <c r="A1" s="1" t="s">
        <v>223</v>
      </c>
      <c r="B1" s="2" t="s">
        <v>156</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customHeight="1" spans="1:8">
      <c r="A4" s="10">
        <v>1</v>
      </c>
      <c r="B4" s="10" t="s">
        <v>226</v>
      </c>
      <c r="C4" s="10"/>
      <c r="D4" s="10"/>
      <c r="E4" s="10" t="s">
        <v>3078</v>
      </c>
      <c r="F4" s="11"/>
      <c r="G4" s="11"/>
      <c r="H4" s="13"/>
    </row>
    <row r="5" customHeight="1" spans="1:8">
      <c r="A5" s="10">
        <v>2</v>
      </c>
      <c r="B5" s="10" t="s">
        <v>228</v>
      </c>
      <c r="C5" s="10"/>
      <c r="D5" s="10"/>
      <c r="E5" s="10"/>
      <c r="F5" s="11"/>
      <c r="G5" s="11"/>
      <c r="H5" s="13"/>
    </row>
    <row r="6" customHeight="1" spans="1:8">
      <c r="A6" s="10">
        <v>3</v>
      </c>
      <c r="B6" s="10" t="s">
        <v>229</v>
      </c>
      <c r="C6" s="10"/>
      <c r="D6" s="10"/>
      <c r="E6" s="10"/>
      <c r="F6" s="11"/>
      <c r="G6" s="11"/>
      <c r="H6" s="13"/>
    </row>
    <row r="7" customHeight="1" spans="1:8">
      <c r="A7" s="10">
        <v>4</v>
      </c>
      <c r="B7" s="10" t="s">
        <v>231</v>
      </c>
      <c r="C7" s="10"/>
      <c r="D7" s="10"/>
      <c r="E7" s="10"/>
      <c r="F7" s="11"/>
      <c r="G7" s="11"/>
      <c r="H7" s="13"/>
    </row>
    <row r="8" customHeight="1" spans="1:8">
      <c r="A8" s="10">
        <v>5</v>
      </c>
      <c r="B8" s="10" t="s">
        <v>233</v>
      </c>
      <c r="C8" s="10"/>
      <c r="D8" s="10"/>
      <c r="E8" s="10"/>
      <c r="F8" s="11"/>
      <c r="G8" s="11"/>
      <c r="H8" s="13"/>
    </row>
    <row r="9" customHeight="1" spans="1:8">
      <c r="A9" s="81" t="s">
        <v>234</v>
      </c>
      <c r="B9" s="81"/>
      <c r="C9" s="81"/>
      <c r="D9" s="81"/>
      <c r="E9" s="82"/>
      <c r="F9" s="81"/>
      <c r="G9" s="83"/>
      <c r="H9" s="84"/>
    </row>
    <row r="10" customHeight="1" spans="1:8">
      <c r="A10" s="14"/>
      <c r="B10" s="15" t="s">
        <v>235</v>
      </c>
      <c r="C10" s="14" t="s">
        <v>236</v>
      </c>
      <c r="D10" s="16" t="s">
        <v>237</v>
      </c>
      <c r="E10" s="17" t="s">
        <v>238</v>
      </c>
      <c r="F10" s="14" t="s">
        <v>239</v>
      </c>
      <c r="G10" s="26" t="s">
        <v>240</v>
      </c>
      <c r="H10" s="17" t="s">
        <v>241</v>
      </c>
    </row>
    <row r="11" customHeight="1" spans="1:8">
      <c r="A11" s="10">
        <v>1</v>
      </c>
      <c r="B11" s="27" t="s">
        <v>242</v>
      </c>
      <c r="C11" s="28" t="s">
        <v>243</v>
      </c>
      <c r="D11" s="47" t="s">
        <v>243</v>
      </c>
      <c r="E11" s="28" t="s">
        <v>243</v>
      </c>
      <c r="F11" s="30"/>
      <c r="G11" s="31" t="s">
        <v>248</v>
      </c>
      <c r="H11" s="30"/>
    </row>
    <row r="12" customHeight="1" spans="1:8">
      <c r="A12" s="10">
        <v>2</v>
      </c>
      <c r="B12" s="27"/>
      <c r="C12" s="32" t="s">
        <v>3079</v>
      </c>
      <c r="D12" s="48" t="s">
        <v>3079</v>
      </c>
      <c r="E12" s="32" t="s">
        <v>3080</v>
      </c>
      <c r="F12" s="32" t="s">
        <v>2859</v>
      </c>
      <c r="G12" s="31" t="s">
        <v>248</v>
      </c>
      <c r="H12" s="34"/>
    </row>
    <row r="13" customHeight="1" spans="1:8">
      <c r="A13" s="10">
        <v>3</v>
      </c>
      <c r="B13" s="27"/>
      <c r="C13" s="32" t="s">
        <v>3081</v>
      </c>
      <c r="D13" s="48" t="s">
        <v>3081</v>
      </c>
      <c r="E13" s="32" t="s">
        <v>3082</v>
      </c>
      <c r="F13" s="34"/>
      <c r="G13" s="31" t="s">
        <v>248</v>
      </c>
      <c r="H13" s="34"/>
    </row>
    <row r="14" customHeight="1" spans="1:12">
      <c r="A14" s="10">
        <v>4</v>
      </c>
      <c r="B14" s="27"/>
      <c r="C14" s="32" t="s">
        <v>3083</v>
      </c>
      <c r="D14" s="48" t="s">
        <v>3083</v>
      </c>
      <c r="E14" s="32" t="s">
        <v>3084</v>
      </c>
      <c r="F14" s="32" t="s">
        <v>3085</v>
      </c>
      <c r="G14" s="31" t="s">
        <v>248</v>
      </c>
      <c r="H14" s="34"/>
      <c r="I14" s="23" t="s">
        <v>592</v>
      </c>
      <c r="J14" s="23" t="s">
        <v>243</v>
      </c>
      <c r="L14" s="23" t="s">
        <v>365</v>
      </c>
    </row>
    <row r="15" customHeight="1" spans="1:12">
      <c r="A15" s="10">
        <v>5</v>
      </c>
      <c r="B15" s="10"/>
      <c r="C15" s="32" t="s">
        <v>3086</v>
      </c>
      <c r="D15" s="48" t="s">
        <v>3086</v>
      </c>
      <c r="E15" s="32" t="s">
        <v>3087</v>
      </c>
      <c r="F15" s="34"/>
      <c r="G15" s="31" t="s">
        <v>248</v>
      </c>
      <c r="H15" s="36" t="s">
        <v>3088</v>
      </c>
      <c r="I15" s="23" t="s">
        <v>264</v>
      </c>
      <c r="J15" s="23" t="s">
        <v>265</v>
      </c>
      <c r="K15" s="23" t="s">
        <v>3087</v>
      </c>
      <c r="L15" s="23" t="s">
        <v>365</v>
      </c>
    </row>
    <row r="16" customHeight="1" spans="1:12">
      <c r="A16" s="10">
        <v>6</v>
      </c>
      <c r="B16" s="10"/>
      <c r="C16" s="32" t="s">
        <v>3089</v>
      </c>
      <c r="D16" s="48" t="s">
        <v>3089</v>
      </c>
      <c r="E16" s="32" t="s">
        <v>3090</v>
      </c>
      <c r="F16" s="32" t="s">
        <v>3091</v>
      </c>
      <c r="G16" s="31" t="s">
        <v>248</v>
      </c>
      <c r="H16" s="34"/>
      <c r="I16" s="23" t="s">
        <v>264</v>
      </c>
      <c r="J16" s="23" t="s">
        <v>265</v>
      </c>
      <c r="K16" s="23" t="s">
        <v>3090</v>
      </c>
      <c r="L16" s="23" t="s">
        <v>365</v>
      </c>
    </row>
    <row r="17" customHeight="1" spans="1:12">
      <c r="A17" s="10">
        <v>7</v>
      </c>
      <c r="B17" s="10"/>
      <c r="C17" s="32" t="s">
        <v>3092</v>
      </c>
      <c r="D17" s="48" t="s">
        <v>3092</v>
      </c>
      <c r="E17" s="32" t="s">
        <v>3093</v>
      </c>
      <c r="F17" s="34"/>
      <c r="G17" s="31" t="s">
        <v>248</v>
      </c>
      <c r="H17" s="36" t="s">
        <v>3094</v>
      </c>
      <c r="I17" s="23" t="s">
        <v>264</v>
      </c>
      <c r="J17" s="23" t="s">
        <v>265</v>
      </c>
      <c r="K17" s="23" t="s">
        <v>3093</v>
      </c>
      <c r="L17" s="23" t="s">
        <v>365</v>
      </c>
    </row>
    <row r="18" customHeight="1" spans="1:12">
      <c r="A18" s="10">
        <v>8</v>
      </c>
      <c r="B18" s="10"/>
      <c r="C18" s="32" t="s">
        <v>3095</v>
      </c>
      <c r="D18" s="48" t="s">
        <v>3095</v>
      </c>
      <c r="E18" s="32" t="s">
        <v>3096</v>
      </c>
      <c r="F18" s="34"/>
      <c r="G18" s="31" t="s">
        <v>248</v>
      </c>
      <c r="H18" s="36" t="s">
        <v>3097</v>
      </c>
      <c r="I18" s="23" t="s">
        <v>264</v>
      </c>
      <c r="J18" s="23" t="s">
        <v>265</v>
      </c>
      <c r="K18" s="23" t="s">
        <v>3096</v>
      </c>
      <c r="L18" s="23" t="s">
        <v>365</v>
      </c>
    </row>
    <row r="19" customHeight="1" spans="1:8">
      <c r="A19" s="10">
        <v>9</v>
      </c>
      <c r="B19" s="10"/>
      <c r="C19" s="32" t="s">
        <v>3098</v>
      </c>
      <c r="D19" s="48" t="s">
        <v>3098</v>
      </c>
      <c r="E19" s="32" t="s">
        <v>3099</v>
      </c>
      <c r="F19" s="32" t="s">
        <v>3100</v>
      </c>
      <c r="G19" s="31" t="s">
        <v>248</v>
      </c>
      <c r="H19" s="34"/>
    </row>
    <row r="20" customHeight="1" spans="1:8">
      <c r="A20" s="10">
        <v>10</v>
      </c>
      <c r="B20" s="10"/>
      <c r="C20" s="32" t="s">
        <v>3101</v>
      </c>
      <c r="D20" s="48" t="s">
        <v>3101</v>
      </c>
      <c r="E20" s="32" t="s">
        <v>3102</v>
      </c>
      <c r="F20" s="32" t="s">
        <v>3103</v>
      </c>
      <c r="G20" s="31" t="s">
        <v>248</v>
      </c>
      <c r="H20" s="34"/>
    </row>
    <row r="21" customHeight="1" spans="1:8">
      <c r="A21" s="10">
        <v>11</v>
      </c>
      <c r="B21" s="10"/>
      <c r="C21" s="32" t="s">
        <v>3104</v>
      </c>
      <c r="D21" s="48" t="s">
        <v>3104</v>
      </c>
      <c r="E21" s="32" t="s">
        <v>3105</v>
      </c>
      <c r="F21" s="32" t="s">
        <v>3106</v>
      </c>
      <c r="G21" s="31" t="s">
        <v>248</v>
      </c>
      <c r="H21" s="34"/>
    </row>
    <row r="22" customHeight="1" spans="1:12">
      <c r="A22" s="10">
        <v>12</v>
      </c>
      <c r="B22" s="10"/>
      <c r="C22" s="32" t="s">
        <v>3107</v>
      </c>
      <c r="D22" s="48" t="s">
        <v>3107</v>
      </c>
      <c r="E22" s="29" t="s">
        <v>3071</v>
      </c>
      <c r="F22" s="34"/>
      <c r="G22" s="31" t="s">
        <v>248</v>
      </c>
      <c r="H22" s="85" t="s">
        <v>3073</v>
      </c>
      <c r="I22" s="23" t="s">
        <v>264</v>
      </c>
      <c r="J22" s="23" t="s">
        <v>265</v>
      </c>
      <c r="K22" s="23" t="s">
        <v>3071</v>
      </c>
      <c r="L22" s="23" t="s">
        <v>365</v>
      </c>
    </row>
    <row r="23" customHeight="1" spans="1:12">
      <c r="A23" s="10">
        <v>13</v>
      </c>
      <c r="B23" s="10"/>
      <c r="C23" s="32" t="s">
        <v>3108</v>
      </c>
      <c r="D23" s="48" t="s">
        <v>3108</v>
      </c>
      <c r="E23" s="32" t="s">
        <v>3109</v>
      </c>
      <c r="F23" s="10"/>
      <c r="G23" s="31" t="s">
        <v>248</v>
      </c>
      <c r="H23" s="25"/>
      <c r="I23" s="23" t="s">
        <v>352</v>
      </c>
      <c r="J23" s="23" t="s">
        <v>353</v>
      </c>
      <c r="L23" s="23" t="s">
        <v>365</v>
      </c>
    </row>
    <row r="24" customHeight="1" spans="1:8">
      <c r="A24" s="10">
        <v>14</v>
      </c>
      <c r="B24" s="10"/>
      <c r="C24" s="32" t="s">
        <v>3110</v>
      </c>
      <c r="D24" s="48" t="s">
        <v>3110</v>
      </c>
      <c r="E24" s="32" t="s">
        <v>3111</v>
      </c>
      <c r="F24" s="10"/>
      <c r="G24" s="31" t="s">
        <v>248</v>
      </c>
      <c r="H24" s="25"/>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5" location="'SYLB 实验类别代码'!A1" display="JY/T 1001 SYLB 实验类别代码JY/T 1001 ZXXSYLB中小学实验类别代 码"/>
    <hyperlink ref="H17" location="'SYYQ 实验要求代码'!A1" display="JY/T 1001 SYYQ 实验要求代码"/>
    <hyperlink ref="H18" location="SYZLB实验者类别代码!A1" display="JY/T 1001 SYZLB实验者类别代码"/>
  </hyperlinks>
  <pageMargins left="0.699305555555556" right="0.699305555555556" top="0.75" bottom="0.75" header="0.3" footer="0.3"/>
  <pageSetup paperSize="9" orientation="portrait" horizontalDpi="200" verticalDpi="300"/>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zoomScale="85" zoomScaleNormal="85" topLeftCell="A28" workbookViewId="0">
      <selection activeCell="A40" sqref="$A40:$XFD75"/>
    </sheetView>
  </sheetViews>
  <sheetFormatPr defaultColWidth="10.8333333333333" defaultRowHeight="35" customHeight="1"/>
  <cols>
    <col min="1" max="1" width="8.83333333333333" style="23" customWidth="1"/>
    <col min="2" max="2" width="8.66666666666667" style="23" customWidth="1"/>
    <col min="3" max="3" width="20.5" style="23" customWidth="1"/>
    <col min="4" max="4" width="32.6666666666667" style="23" customWidth="1"/>
    <col min="5" max="5" width="24.6666666666667" style="23" customWidth="1"/>
    <col min="6" max="6" width="31.175" style="50" customWidth="1"/>
    <col min="7" max="7" width="32.8333333333333" style="23" customWidth="1"/>
    <col min="8" max="8" width="33" style="25" customWidth="1"/>
    <col min="9" max="9" width="15.8333333333333" style="23" customWidth="1"/>
    <col min="10" max="10" width="10.8333333333333" style="23"/>
    <col min="11" max="11" width="20" style="23" customWidth="1"/>
    <col min="12" max="16384" width="10.8333333333333" style="23"/>
  </cols>
  <sheetData>
    <row r="1" customHeight="1" spans="1:8">
      <c r="A1" s="51" t="s">
        <v>223</v>
      </c>
      <c r="B1" s="52" t="s">
        <v>157</v>
      </c>
      <c r="C1" s="53"/>
      <c r="D1" s="53"/>
      <c r="E1" s="53"/>
      <c r="F1" s="53"/>
      <c r="G1" s="54"/>
      <c r="H1" s="52"/>
    </row>
    <row r="2" customHeight="1" spans="1:8">
      <c r="A2" s="55"/>
      <c r="B2" s="53"/>
      <c r="C2" s="53"/>
      <c r="D2" s="53"/>
      <c r="E2" s="53"/>
      <c r="F2" s="53"/>
      <c r="G2" s="54"/>
      <c r="H2" s="52"/>
    </row>
    <row r="3" customHeight="1" spans="1:8">
      <c r="A3" s="56" t="s">
        <v>225</v>
      </c>
      <c r="B3" s="56"/>
      <c r="C3" s="57"/>
      <c r="D3" s="57"/>
      <c r="E3" s="57"/>
      <c r="F3" s="56"/>
      <c r="G3" s="58"/>
      <c r="H3" s="59"/>
    </row>
    <row r="4" customHeight="1" spans="1:8">
      <c r="A4" s="53">
        <v>1</v>
      </c>
      <c r="B4" s="54" t="s">
        <v>226</v>
      </c>
      <c r="C4" s="60"/>
      <c r="D4" s="61"/>
      <c r="E4" s="54" t="s">
        <v>3112</v>
      </c>
      <c r="F4" s="61"/>
      <c r="G4" s="61"/>
      <c r="H4" s="60"/>
    </row>
    <row r="5" customHeight="1" spans="1:8">
      <c r="A5" s="53">
        <v>2</v>
      </c>
      <c r="B5" s="54" t="s">
        <v>228</v>
      </c>
      <c r="C5" s="60"/>
      <c r="D5" s="61"/>
      <c r="E5" s="54"/>
      <c r="F5" s="61"/>
      <c r="G5" s="61"/>
      <c r="H5" s="60"/>
    </row>
    <row r="6" customHeight="1" spans="1:8">
      <c r="A6" s="53">
        <v>3</v>
      </c>
      <c r="B6" s="54" t="s">
        <v>229</v>
      </c>
      <c r="C6" s="60"/>
      <c r="D6" s="61"/>
      <c r="E6" s="54"/>
      <c r="F6" s="61"/>
      <c r="G6" s="61"/>
      <c r="H6" s="60"/>
    </row>
    <row r="7" customHeight="1" spans="1:8">
      <c r="A7" s="53">
        <v>4</v>
      </c>
      <c r="B7" s="54" t="s">
        <v>231</v>
      </c>
      <c r="C7" s="60"/>
      <c r="D7" s="61"/>
      <c r="E7" s="54"/>
      <c r="F7" s="61"/>
      <c r="G7" s="61"/>
      <c r="H7" s="60"/>
    </row>
    <row r="8" customHeight="1" spans="1:8">
      <c r="A8" s="53">
        <v>5</v>
      </c>
      <c r="B8" s="54" t="s">
        <v>233</v>
      </c>
      <c r="C8" s="60"/>
      <c r="D8" s="61"/>
      <c r="E8" s="54"/>
      <c r="F8" s="61"/>
      <c r="G8" s="61"/>
      <c r="H8" s="60"/>
    </row>
    <row r="9" customHeight="1" spans="1:8">
      <c r="A9" s="56" t="s">
        <v>234</v>
      </c>
      <c r="B9" s="56"/>
      <c r="C9" s="57"/>
      <c r="D9" s="57"/>
      <c r="E9" s="57"/>
      <c r="F9" s="56"/>
      <c r="G9" s="58"/>
      <c r="H9" s="59"/>
    </row>
    <row r="10" customHeight="1" spans="1:8">
      <c r="A10" s="14"/>
      <c r="B10" s="62" t="s">
        <v>235</v>
      </c>
      <c r="C10" s="63" t="s">
        <v>236</v>
      </c>
      <c r="D10" s="64" t="s">
        <v>237</v>
      </c>
      <c r="E10" s="63" t="s">
        <v>238</v>
      </c>
      <c r="F10" s="65" t="s">
        <v>239</v>
      </c>
      <c r="G10" s="66" t="s">
        <v>240</v>
      </c>
      <c r="H10" s="67" t="s">
        <v>241</v>
      </c>
    </row>
    <row r="11" ht="35.5" customHeight="1" spans="1:8">
      <c r="A11" s="53">
        <v>1</v>
      </c>
      <c r="B11" s="68" t="s">
        <v>242</v>
      </c>
      <c r="C11" s="69" t="s">
        <v>243</v>
      </c>
      <c r="D11" s="70" t="s">
        <v>243</v>
      </c>
      <c r="E11" s="69" t="s">
        <v>243</v>
      </c>
      <c r="F11" s="71"/>
      <c r="G11" s="72" t="s">
        <v>248</v>
      </c>
      <c r="H11" s="73"/>
    </row>
    <row r="12" ht="35.5" customHeight="1" spans="1:8">
      <c r="A12" s="53">
        <v>2</v>
      </c>
      <c r="B12" s="68" t="s">
        <v>242</v>
      </c>
      <c r="C12" s="49" t="s">
        <v>3113</v>
      </c>
      <c r="D12" s="74" t="s">
        <v>3113</v>
      </c>
      <c r="E12" s="49" t="s">
        <v>3114</v>
      </c>
      <c r="F12" s="75" t="s">
        <v>2859</v>
      </c>
      <c r="G12" s="72" t="s">
        <v>248</v>
      </c>
      <c r="H12" s="76"/>
    </row>
    <row r="13" ht="35.5" customHeight="1" spans="1:8">
      <c r="A13" s="53">
        <v>3</v>
      </c>
      <c r="B13" s="68" t="s">
        <v>242</v>
      </c>
      <c r="C13" s="49" t="s">
        <v>3115</v>
      </c>
      <c r="D13" s="74" t="s">
        <v>3115</v>
      </c>
      <c r="E13" s="49" t="s">
        <v>3116</v>
      </c>
      <c r="F13" s="75" t="s">
        <v>3117</v>
      </c>
      <c r="G13" s="72" t="s">
        <v>248</v>
      </c>
      <c r="H13" s="76"/>
    </row>
    <row r="14" ht="35.5" customHeight="1" spans="1:8">
      <c r="A14" s="53">
        <v>4</v>
      </c>
      <c r="B14" s="68" t="s">
        <v>242</v>
      </c>
      <c r="C14" s="49" t="s">
        <v>3118</v>
      </c>
      <c r="D14" s="74" t="s">
        <v>3118</v>
      </c>
      <c r="E14" s="49" t="s">
        <v>3119</v>
      </c>
      <c r="F14" s="77"/>
      <c r="G14" s="72" t="s">
        <v>248</v>
      </c>
      <c r="H14" s="76"/>
    </row>
    <row r="15" ht="35.5" customHeight="1" spans="1:12">
      <c r="A15" s="53">
        <v>5</v>
      </c>
      <c r="B15" s="68" t="s">
        <v>242</v>
      </c>
      <c r="C15" s="49" t="s">
        <v>3120</v>
      </c>
      <c r="D15" s="74" t="s">
        <v>3120</v>
      </c>
      <c r="E15" s="49" t="s">
        <v>3003</v>
      </c>
      <c r="F15" s="77"/>
      <c r="G15" s="72" t="s">
        <v>248</v>
      </c>
      <c r="H15" s="78" t="s">
        <v>3121</v>
      </c>
      <c r="I15" s="23" t="s">
        <v>264</v>
      </c>
      <c r="J15" s="23" t="s">
        <v>265</v>
      </c>
      <c r="K15" s="23" t="s">
        <v>3003</v>
      </c>
      <c r="L15" s="40" t="s">
        <v>365</v>
      </c>
    </row>
    <row r="16" ht="35.5" customHeight="1" spans="1:12">
      <c r="A16" s="53">
        <v>6</v>
      </c>
      <c r="B16" s="68" t="s">
        <v>242</v>
      </c>
      <c r="C16" s="49" t="s">
        <v>3122</v>
      </c>
      <c r="D16" s="74" t="s">
        <v>3122</v>
      </c>
      <c r="E16" s="49" t="s">
        <v>2865</v>
      </c>
      <c r="F16" s="77"/>
      <c r="G16" s="72" t="s">
        <v>248</v>
      </c>
      <c r="H16" s="78" t="s">
        <v>2866</v>
      </c>
      <c r="I16" s="23" t="s">
        <v>264</v>
      </c>
      <c r="J16" s="23" t="s">
        <v>265</v>
      </c>
      <c r="K16" s="23" t="s">
        <v>2865</v>
      </c>
      <c r="L16" s="40" t="s">
        <v>365</v>
      </c>
    </row>
    <row r="17" ht="35.5" customHeight="1" spans="1:12">
      <c r="A17" s="53">
        <v>7</v>
      </c>
      <c r="B17" s="76"/>
      <c r="C17" s="49" t="s">
        <v>2867</v>
      </c>
      <c r="D17" s="74" t="s">
        <v>2867</v>
      </c>
      <c r="E17" s="49" t="s">
        <v>2869</v>
      </c>
      <c r="F17" s="77"/>
      <c r="G17" s="72" t="s">
        <v>248</v>
      </c>
      <c r="H17" s="76"/>
      <c r="I17" s="23" t="s">
        <v>264</v>
      </c>
      <c r="J17" s="23" t="s">
        <v>265</v>
      </c>
      <c r="K17" s="23" t="s">
        <v>2869</v>
      </c>
      <c r="L17" s="40" t="s">
        <v>365</v>
      </c>
    </row>
    <row r="18" ht="35.5" customHeight="1" spans="1:12">
      <c r="A18" s="53">
        <v>8</v>
      </c>
      <c r="B18" s="68" t="s">
        <v>242</v>
      </c>
      <c r="C18" s="49" t="s">
        <v>3123</v>
      </c>
      <c r="D18" s="74" t="s">
        <v>3123</v>
      </c>
      <c r="E18" s="49" t="s">
        <v>3124</v>
      </c>
      <c r="F18" s="75" t="s">
        <v>3125</v>
      </c>
      <c r="G18" s="72" t="s">
        <v>248</v>
      </c>
      <c r="H18" s="78" t="s">
        <v>3126</v>
      </c>
      <c r="I18" s="23" t="s">
        <v>264</v>
      </c>
      <c r="J18" s="23" t="s">
        <v>265</v>
      </c>
      <c r="K18" s="23" t="s">
        <v>3124</v>
      </c>
      <c r="L18" s="40" t="s">
        <v>365</v>
      </c>
    </row>
    <row r="19" ht="35.5" customHeight="1" spans="1:8">
      <c r="A19" s="53">
        <v>9</v>
      </c>
      <c r="B19" s="68" t="s">
        <v>242</v>
      </c>
      <c r="C19" s="49" t="s">
        <v>3127</v>
      </c>
      <c r="D19" s="74" t="s">
        <v>3127</v>
      </c>
      <c r="E19" s="49" t="s">
        <v>3128</v>
      </c>
      <c r="F19" s="77"/>
      <c r="G19" s="72" t="s">
        <v>248</v>
      </c>
      <c r="H19" s="76"/>
    </row>
    <row r="20" ht="35.5" customHeight="1" spans="1:8">
      <c r="A20" s="53">
        <v>10</v>
      </c>
      <c r="B20" s="68" t="s">
        <v>242</v>
      </c>
      <c r="C20" s="49" t="s">
        <v>3129</v>
      </c>
      <c r="D20" s="74" t="s">
        <v>3129</v>
      </c>
      <c r="E20" s="49" t="s">
        <v>3130</v>
      </c>
      <c r="F20" s="77"/>
      <c r="G20" s="72" t="s">
        <v>248</v>
      </c>
      <c r="H20" s="76"/>
    </row>
    <row r="21" ht="35.5" customHeight="1" spans="1:12">
      <c r="A21" s="53">
        <v>11</v>
      </c>
      <c r="B21" s="68" t="s">
        <v>242</v>
      </c>
      <c r="C21" s="49" t="s">
        <v>3131</v>
      </c>
      <c r="D21" s="74" t="s">
        <v>3131</v>
      </c>
      <c r="E21" s="49" t="s">
        <v>3132</v>
      </c>
      <c r="F21" s="75" t="s">
        <v>3133</v>
      </c>
      <c r="G21" s="72" t="s">
        <v>248</v>
      </c>
      <c r="H21" s="79" t="s">
        <v>3134</v>
      </c>
      <c r="I21" s="23" t="s">
        <v>264</v>
      </c>
      <c r="J21" s="23" t="s">
        <v>265</v>
      </c>
      <c r="K21" s="49" t="s">
        <v>3132</v>
      </c>
      <c r="L21" s="40" t="s">
        <v>365</v>
      </c>
    </row>
    <row r="22" ht="35.5" customHeight="1" spans="1:12">
      <c r="A22" s="53">
        <v>12</v>
      </c>
      <c r="B22" s="68" t="s">
        <v>242</v>
      </c>
      <c r="C22" s="49" t="s">
        <v>3135</v>
      </c>
      <c r="D22" s="74" t="s">
        <v>3135</v>
      </c>
      <c r="E22" s="49" t="s">
        <v>3136</v>
      </c>
      <c r="F22" s="77"/>
      <c r="G22" s="72" t="s">
        <v>248</v>
      </c>
      <c r="H22" s="78" t="s">
        <v>3137</v>
      </c>
      <c r="I22" s="23" t="s">
        <v>264</v>
      </c>
      <c r="J22" s="23" t="s">
        <v>265</v>
      </c>
      <c r="K22" s="49" t="s">
        <v>3136</v>
      </c>
      <c r="L22" s="40" t="s">
        <v>365</v>
      </c>
    </row>
    <row r="23" ht="35.5" customHeight="1" spans="1:8">
      <c r="A23" s="53">
        <v>13</v>
      </c>
      <c r="B23" s="68" t="s">
        <v>242</v>
      </c>
      <c r="C23" s="49" t="s">
        <v>3138</v>
      </c>
      <c r="D23" s="74" t="s">
        <v>3138</v>
      </c>
      <c r="E23" s="49" t="s">
        <v>3139</v>
      </c>
      <c r="F23" s="77"/>
      <c r="G23" s="72" t="s">
        <v>248</v>
      </c>
      <c r="H23" s="76"/>
    </row>
    <row r="24" ht="35.5" customHeight="1" spans="1:8">
      <c r="A24" s="53">
        <v>14</v>
      </c>
      <c r="B24" s="68" t="s">
        <v>242</v>
      </c>
      <c r="C24" s="49" t="s">
        <v>3140</v>
      </c>
      <c r="D24" s="74" t="s">
        <v>3140</v>
      </c>
      <c r="E24" s="49" t="s">
        <v>3141</v>
      </c>
      <c r="F24" s="75" t="s">
        <v>3142</v>
      </c>
      <c r="G24" s="72" t="s">
        <v>248</v>
      </c>
      <c r="H24" s="76"/>
    </row>
    <row r="25" ht="35.5" customHeight="1" spans="1:8">
      <c r="A25" s="53">
        <v>15</v>
      </c>
      <c r="B25" s="68" t="s">
        <v>242</v>
      </c>
      <c r="C25" s="49" t="s">
        <v>3143</v>
      </c>
      <c r="D25" s="74" t="s">
        <v>3143</v>
      </c>
      <c r="E25" s="49" t="s">
        <v>3144</v>
      </c>
      <c r="F25" s="75" t="s">
        <v>3145</v>
      </c>
      <c r="G25" s="72" t="s">
        <v>248</v>
      </c>
      <c r="H25" s="76"/>
    </row>
    <row r="26" ht="35.5" customHeight="1" spans="1:8">
      <c r="A26" s="53">
        <v>16</v>
      </c>
      <c r="B26" s="68" t="s">
        <v>242</v>
      </c>
      <c r="C26" s="49" t="s">
        <v>3146</v>
      </c>
      <c r="D26" s="74" t="s">
        <v>3146</v>
      </c>
      <c r="E26" s="49" t="s">
        <v>3147</v>
      </c>
      <c r="F26" s="75" t="s">
        <v>3148</v>
      </c>
      <c r="G26" s="72" t="s">
        <v>248</v>
      </c>
      <c r="H26" s="76"/>
    </row>
    <row r="27" ht="35.5" customHeight="1" spans="1:8">
      <c r="A27" s="53">
        <v>17</v>
      </c>
      <c r="B27" s="68" t="s">
        <v>242</v>
      </c>
      <c r="C27" s="49" t="s">
        <v>3149</v>
      </c>
      <c r="D27" s="74" t="s">
        <v>3149</v>
      </c>
      <c r="E27" s="49" t="s">
        <v>3150</v>
      </c>
      <c r="F27" s="75" t="s">
        <v>3151</v>
      </c>
      <c r="G27" s="72" t="s">
        <v>248</v>
      </c>
      <c r="H27" s="76"/>
    </row>
    <row r="28" ht="35.5" customHeight="1" spans="1:8">
      <c r="A28" s="53">
        <v>18</v>
      </c>
      <c r="B28" s="68" t="s">
        <v>242</v>
      </c>
      <c r="C28" s="49" t="s">
        <v>3152</v>
      </c>
      <c r="D28" s="74" t="s">
        <v>3152</v>
      </c>
      <c r="E28" s="49" t="s">
        <v>3153</v>
      </c>
      <c r="F28" s="77"/>
      <c r="G28" s="72" t="s">
        <v>248</v>
      </c>
      <c r="H28" s="76"/>
    </row>
    <row r="29" ht="35.5" customHeight="1" spans="1:12">
      <c r="A29" s="53">
        <v>19</v>
      </c>
      <c r="B29" s="68" t="s">
        <v>242</v>
      </c>
      <c r="C29" s="49" t="s">
        <v>3154</v>
      </c>
      <c r="D29" s="74" t="s">
        <v>3155</v>
      </c>
      <c r="E29" s="49" t="s">
        <v>3156</v>
      </c>
      <c r="F29" s="75" t="s">
        <v>3157</v>
      </c>
      <c r="G29" s="72" t="s">
        <v>248</v>
      </c>
      <c r="H29" s="76"/>
      <c r="I29" s="23" t="s">
        <v>352</v>
      </c>
      <c r="J29" s="23" t="s">
        <v>353</v>
      </c>
      <c r="L29" s="40" t="s">
        <v>365</v>
      </c>
    </row>
    <row r="30" ht="35.5" customHeight="1" spans="1:8">
      <c r="A30" s="53">
        <v>20</v>
      </c>
      <c r="B30" s="68" t="s">
        <v>242</v>
      </c>
      <c r="C30" s="49" t="s">
        <v>3158</v>
      </c>
      <c r="D30" s="74" t="s">
        <v>3158</v>
      </c>
      <c r="E30" s="49" t="s">
        <v>3159</v>
      </c>
      <c r="F30" s="77"/>
      <c r="G30" s="72" t="s">
        <v>248</v>
      </c>
      <c r="H30" s="76"/>
    </row>
    <row r="31" ht="35.5" customHeight="1" spans="1:8">
      <c r="A31" s="53">
        <v>21</v>
      </c>
      <c r="B31" s="68" t="s">
        <v>242</v>
      </c>
      <c r="C31" s="49" t="s">
        <v>3160</v>
      </c>
      <c r="D31" s="74" t="s">
        <v>3160</v>
      </c>
      <c r="E31" s="49" t="s">
        <v>3161</v>
      </c>
      <c r="F31" s="77"/>
      <c r="G31" s="72" t="s">
        <v>248</v>
      </c>
      <c r="H31" s="76"/>
    </row>
    <row r="32" ht="35.5" customHeight="1" spans="1:8">
      <c r="A32" s="53">
        <v>22</v>
      </c>
      <c r="B32" s="68" t="s">
        <v>242</v>
      </c>
      <c r="C32" s="49" t="s">
        <v>3162</v>
      </c>
      <c r="D32" s="74" t="s">
        <v>3162</v>
      </c>
      <c r="E32" s="49" t="s">
        <v>3163</v>
      </c>
      <c r="F32" s="77"/>
      <c r="G32" s="72" t="s">
        <v>248</v>
      </c>
      <c r="H32" s="79" t="s">
        <v>3164</v>
      </c>
    </row>
    <row r="33" ht="35.5" customHeight="1" spans="1:8">
      <c r="A33" s="53">
        <v>23</v>
      </c>
      <c r="B33" s="68" t="s">
        <v>242</v>
      </c>
      <c r="C33" s="49" t="s">
        <v>3165</v>
      </c>
      <c r="D33" s="74" t="s">
        <v>3165</v>
      </c>
      <c r="E33" s="49" t="s">
        <v>3166</v>
      </c>
      <c r="F33" s="77"/>
      <c r="G33" s="72" t="s">
        <v>248</v>
      </c>
      <c r="H33" s="76"/>
    </row>
    <row r="34" ht="35.5" customHeight="1" spans="1:8">
      <c r="A34" s="53">
        <v>24</v>
      </c>
      <c r="B34" s="68" t="s">
        <v>242</v>
      </c>
      <c r="C34" s="49" t="s">
        <v>3167</v>
      </c>
      <c r="D34" s="74" t="s">
        <v>3167</v>
      </c>
      <c r="E34" s="49" t="s">
        <v>3168</v>
      </c>
      <c r="F34" s="77"/>
      <c r="G34" s="72" t="s">
        <v>248</v>
      </c>
      <c r="H34" s="76"/>
    </row>
    <row r="35" ht="35.5" customHeight="1" spans="1:8">
      <c r="A35" s="53">
        <v>25</v>
      </c>
      <c r="B35" s="68" t="s">
        <v>242</v>
      </c>
      <c r="C35" s="49" t="s">
        <v>3169</v>
      </c>
      <c r="D35" s="74" t="s">
        <v>3169</v>
      </c>
      <c r="E35" s="49" t="s">
        <v>3170</v>
      </c>
      <c r="F35" s="75" t="s">
        <v>3171</v>
      </c>
      <c r="G35" s="72" t="s">
        <v>248</v>
      </c>
      <c r="H35" s="76"/>
    </row>
    <row r="36" ht="35.5" customHeight="1" spans="1:8">
      <c r="A36" s="53">
        <v>26</v>
      </c>
      <c r="B36" s="68" t="s">
        <v>242</v>
      </c>
      <c r="C36" s="49" t="s">
        <v>3172</v>
      </c>
      <c r="D36" s="74" t="s">
        <v>3172</v>
      </c>
      <c r="E36" s="49" t="s">
        <v>3173</v>
      </c>
      <c r="F36" s="75" t="s">
        <v>3174</v>
      </c>
      <c r="G36" s="72" t="s">
        <v>248</v>
      </c>
      <c r="H36" s="76"/>
    </row>
    <row r="37" ht="35.5" customHeight="1" spans="1:8">
      <c r="A37" s="53">
        <v>27</v>
      </c>
      <c r="B37" s="68" t="s">
        <v>242</v>
      </c>
      <c r="C37" s="49" t="s">
        <v>3175</v>
      </c>
      <c r="D37" s="74" t="s">
        <v>3175</v>
      </c>
      <c r="E37" s="49" t="s">
        <v>3176</v>
      </c>
      <c r="F37" s="77"/>
      <c r="G37" s="72" t="s">
        <v>248</v>
      </c>
      <c r="H37" s="76"/>
    </row>
    <row r="38" ht="35.5" customHeight="1" spans="1:12">
      <c r="A38" s="53">
        <v>28</v>
      </c>
      <c r="B38" s="68" t="s">
        <v>242</v>
      </c>
      <c r="C38" s="49" t="s">
        <v>3177</v>
      </c>
      <c r="D38" s="74" t="s">
        <v>3177</v>
      </c>
      <c r="E38" s="49" t="s">
        <v>3178</v>
      </c>
      <c r="F38" s="75" t="s">
        <v>3179</v>
      </c>
      <c r="G38" s="72" t="s">
        <v>248</v>
      </c>
      <c r="H38" s="76"/>
      <c r="I38" s="23" t="s">
        <v>264</v>
      </c>
      <c r="J38" s="23" t="s">
        <v>265</v>
      </c>
      <c r="K38" s="23" t="s">
        <v>3178</v>
      </c>
      <c r="L38" s="40" t="s">
        <v>365</v>
      </c>
    </row>
    <row r="39" ht="35.5" customHeight="1" spans="1:8">
      <c r="A39" s="53">
        <v>29</v>
      </c>
      <c r="B39" s="68" t="s">
        <v>242</v>
      </c>
      <c r="C39" s="49" t="s">
        <v>3180</v>
      </c>
      <c r="D39" s="74" t="s">
        <v>3181</v>
      </c>
      <c r="E39" s="49" t="s">
        <v>3182</v>
      </c>
      <c r="F39" s="77"/>
      <c r="G39" s="72" t="s">
        <v>248</v>
      </c>
      <c r="H39" s="78"/>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5" location="'XXDWCC 学校单位层次代码'!A1" display="JY/T 1001 XXDWCC 学校单位层次代码"/>
    <hyperlink ref="H16" location="CQ产权代码!A1" display="JY/T 1001 CQ产权代码"/>
    <hyperlink ref="H18" location="'教学仪器设备产品（物资）分类与代码'!A1" display="高等学校固定资产分类及编码教学仪器设备产品（物资）分类与代码"/>
    <hyperlink ref="H22" location="'JFKM 经费科目代码'!A1" display="JY/T 1001JFKM 经费科目代码"/>
  </hyperlinks>
  <pageMargins left="0.699305555555556" right="0.699305555555556" top="0.75" bottom="0.75" header="0.3" footer="0.3"/>
  <pageSetup paperSize="9" orientation="portrait" horizontalDpi="200" verticalDpi="300"/>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8" workbookViewId="0">
      <selection activeCell="A25" sqref="$A25:$XFD3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50.5" style="23" customWidth="1"/>
    <col min="7" max="7" width="19.6666666666667" style="23" customWidth="1"/>
    <col min="8" max="8" width="19" style="25" customWidth="1"/>
    <col min="9" max="9" width="18" style="23" customWidth="1"/>
    <col min="10" max="10" width="10.8333333333333" style="23"/>
    <col min="11" max="11" width="19.375" style="23" customWidth="1"/>
    <col min="12" max="16384" width="10.8333333333333" style="23"/>
  </cols>
  <sheetData>
    <row r="1" customHeight="1" spans="1:8">
      <c r="A1" s="1" t="s">
        <v>223</v>
      </c>
      <c r="B1" s="2" t="s">
        <v>158</v>
      </c>
      <c r="C1" s="3"/>
      <c r="D1" s="3"/>
      <c r="E1" s="3"/>
      <c r="F1" s="3"/>
      <c r="G1" s="4"/>
      <c r="H1" s="2"/>
    </row>
    <row r="2" customHeight="1" spans="1:8">
      <c r="A2" s="5"/>
      <c r="B2" s="3"/>
      <c r="C2" s="3"/>
      <c r="D2" s="3"/>
      <c r="E2" s="3"/>
      <c r="F2" s="3"/>
      <c r="G2" s="4"/>
      <c r="H2" s="2"/>
    </row>
    <row r="3" customHeight="1" spans="1:8">
      <c r="A3" s="6" t="s">
        <v>225</v>
      </c>
      <c r="B3" s="6"/>
      <c r="C3" s="6"/>
      <c r="D3" s="6"/>
      <c r="E3" s="7"/>
      <c r="F3" s="6"/>
      <c r="G3" s="8"/>
      <c r="H3" s="9"/>
    </row>
    <row r="4" ht="25" customHeight="1" spans="1:8">
      <c r="A4" s="10">
        <v>1</v>
      </c>
      <c r="B4" s="10" t="s">
        <v>226</v>
      </c>
      <c r="C4" s="10"/>
      <c r="D4" s="10"/>
      <c r="E4" s="10" t="s">
        <v>3183</v>
      </c>
      <c r="F4" s="11"/>
      <c r="G4" s="12"/>
      <c r="H4" s="13"/>
    </row>
    <row r="5" ht="25" customHeight="1" spans="1:8">
      <c r="A5" s="10">
        <v>2</v>
      </c>
      <c r="B5" s="10" t="s">
        <v>228</v>
      </c>
      <c r="C5" s="10"/>
      <c r="D5" s="10"/>
      <c r="E5" s="10"/>
      <c r="F5" s="11"/>
      <c r="G5" s="12"/>
      <c r="H5" s="13"/>
    </row>
    <row r="6" ht="25" customHeight="1" spans="1:8">
      <c r="A6" s="10">
        <v>3</v>
      </c>
      <c r="B6" s="10" t="s">
        <v>229</v>
      </c>
      <c r="C6" s="10"/>
      <c r="D6" s="10"/>
      <c r="E6" s="10"/>
      <c r="F6" s="11"/>
      <c r="G6" s="12"/>
      <c r="H6" s="13"/>
    </row>
    <row r="7" ht="25" customHeight="1" spans="1:8">
      <c r="A7" s="10">
        <v>4</v>
      </c>
      <c r="B7" s="10" t="s">
        <v>231</v>
      </c>
      <c r="C7" s="10"/>
      <c r="D7" s="10"/>
      <c r="E7" s="10"/>
      <c r="F7" s="11"/>
      <c r="G7" s="12"/>
      <c r="H7" s="13"/>
    </row>
    <row r="8" ht="25"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ht="28" customHeight="1" spans="1:12">
      <c r="A11" s="10">
        <v>1</v>
      </c>
      <c r="B11" s="27" t="s">
        <v>242</v>
      </c>
      <c r="C11" s="28" t="s">
        <v>243</v>
      </c>
      <c r="D11" s="47" t="s">
        <v>243</v>
      </c>
      <c r="E11" s="28" t="s">
        <v>243</v>
      </c>
      <c r="F11" s="30"/>
      <c r="G11" s="22" t="s">
        <v>248</v>
      </c>
      <c r="H11" s="30"/>
      <c r="I11" s="23" t="s">
        <v>3112</v>
      </c>
      <c r="J11" s="23" t="s">
        <v>243</v>
      </c>
      <c r="L11" s="23" t="s">
        <v>3116</v>
      </c>
    </row>
    <row r="12" ht="28" customHeight="1" spans="1:8">
      <c r="A12" s="10">
        <v>2</v>
      </c>
      <c r="B12" s="27" t="s">
        <v>242</v>
      </c>
      <c r="C12" s="32" t="s">
        <v>3184</v>
      </c>
      <c r="D12" s="48" t="s">
        <v>3184</v>
      </c>
      <c r="E12" s="32" t="s">
        <v>3185</v>
      </c>
      <c r="F12" s="32" t="s">
        <v>2859</v>
      </c>
      <c r="G12" s="22" t="s">
        <v>248</v>
      </c>
      <c r="H12" s="30"/>
    </row>
    <row r="13" ht="28" customHeight="1" spans="1:8">
      <c r="A13" s="10">
        <v>3</v>
      </c>
      <c r="B13" s="27" t="s">
        <v>242</v>
      </c>
      <c r="C13" s="32" t="s">
        <v>3186</v>
      </c>
      <c r="D13" s="48" t="s">
        <v>3186</v>
      </c>
      <c r="E13" s="32" t="s">
        <v>3187</v>
      </c>
      <c r="F13" s="32" t="s">
        <v>3188</v>
      </c>
      <c r="G13" s="22" t="s">
        <v>248</v>
      </c>
      <c r="H13" s="30"/>
    </row>
    <row r="14" ht="28" customHeight="1" spans="1:8">
      <c r="A14" s="10">
        <v>4</v>
      </c>
      <c r="B14" s="27" t="s">
        <v>242</v>
      </c>
      <c r="C14" s="32" t="s">
        <v>3189</v>
      </c>
      <c r="D14" s="48" t="s">
        <v>3189</v>
      </c>
      <c r="E14" s="32" t="s">
        <v>3190</v>
      </c>
      <c r="F14" s="32" t="s">
        <v>3191</v>
      </c>
      <c r="G14" s="22" t="s">
        <v>248</v>
      </c>
      <c r="H14" s="30"/>
    </row>
    <row r="15" ht="28" customHeight="1" spans="1:7">
      <c r="A15" s="10">
        <v>5</v>
      </c>
      <c r="B15" s="27" t="s">
        <v>242</v>
      </c>
      <c r="C15" s="32" t="s">
        <v>3192</v>
      </c>
      <c r="D15" s="48" t="s">
        <v>3192</v>
      </c>
      <c r="E15" s="32" t="s">
        <v>3193</v>
      </c>
      <c r="F15" s="34"/>
      <c r="G15" s="22" t="s">
        <v>248</v>
      </c>
    </row>
    <row r="16" ht="28" customHeight="1" spans="1:7">
      <c r="A16" s="10">
        <v>6</v>
      </c>
      <c r="B16" s="32" t="s">
        <v>3194</v>
      </c>
      <c r="C16" s="32" t="s">
        <v>3195</v>
      </c>
      <c r="D16" s="48" t="s">
        <v>3195</v>
      </c>
      <c r="E16" s="32" t="s">
        <v>3196</v>
      </c>
      <c r="F16" s="34"/>
      <c r="G16" s="22" t="s">
        <v>248</v>
      </c>
    </row>
    <row r="17" ht="28" customHeight="1" spans="1:7">
      <c r="A17" s="10">
        <v>7</v>
      </c>
      <c r="B17" s="32" t="s">
        <v>3194</v>
      </c>
      <c r="C17" s="32" t="s">
        <v>3197</v>
      </c>
      <c r="D17" s="48" t="s">
        <v>3197</v>
      </c>
      <c r="E17" s="32" t="s">
        <v>3198</v>
      </c>
      <c r="F17" s="34"/>
      <c r="G17" s="22" t="s">
        <v>248</v>
      </c>
    </row>
    <row r="18" ht="28" customHeight="1" spans="1:7">
      <c r="A18" s="10">
        <v>8</v>
      </c>
      <c r="B18" s="32" t="s">
        <v>3194</v>
      </c>
      <c r="C18" s="32" t="s">
        <v>3199</v>
      </c>
      <c r="D18" s="48" t="s">
        <v>3199</v>
      </c>
      <c r="E18" s="32" t="s">
        <v>3200</v>
      </c>
      <c r="F18" s="34"/>
      <c r="G18" s="22" t="s">
        <v>248</v>
      </c>
    </row>
    <row r="19" ht="28" customHeight="1" spans="1:7">
      <c r="A19" s="10">
        <v>9</v>
      </c>
      <c r="B19" s="27" t="s">
        <v>242</v>
      </c>
      <c r="C19" s="32" t="s">
        <v>3129</v>
      </c>
      <c r="D19" s="48" t="s">
        <v>3129</v>
      </c>
      <c r="E19" s="32" t="s">
        <v>3130</v>
      </c>
      <c r="F19" s="34"/>
      <c r="G19" s="22" t="s">
        <v>248</v>
      </c>
    </row>
    <row r="20" ht="28" customHeight="1" spans="1:12">
      <c r="A20" s="10">
        <v>10</v>
      </c>
      <c r="B20" s="27" t="s">
        <v>242</v>
      </c>
      <c r="C20" s="32" t="s">
        <v>3201</v>
      </c>
      <c r="D20" s="48" t="s">
        <v>3201</v>
      </c>
      <c r="E20" s="32" t="s">
        <v>3132</v>
      </c>
      <c r="F20" s="34"/>
      <c r="G20" s="22" t="s">
        <v>248</v>
      </c>
      <c r="I20" s="23" t="s">
        <v>264</v>
      </c>
      <c r="J20" s="23" t="s">
        <v>265</v>
      </c>
      <c r="K20" s="49" t="s">
        <v>3132</v>
      </c>
      <c r="L20" s="40" t="s">
        <v>365</v>
      </c>
    </row>
    <row r="21" ht="28" customHeight="1" spans="1:7">
      <c r="A21" s="10">
        <v>11</v>
      </c>
      <c r="B21" s="27" t="s">
        <v>242</v>
      </c>
      <c r="C21" s="32" t="s">
        <v>3138</v>
      </c>
      <c r="D21" s="48" t="s">
        <v>3138</v>
      </c>
      <c r="E21" s="32" t="s">
        <v>3139</v>
      </c>
      <c r="F21" s="34"/>
      <c r="G21" s="22" t="s">
        <v>248</v>
      </c>
    </row>
    <row r="22" ht="28" customHeight="1" spans="1:7">
      <c r="A22" s="10">
        <v>12</v>
      </c>
      <c r="B22" s="27" t="s">
        <v>242</v>
      </c>
      <c r="C22" s="32" t="s">
        <v>3140</v>
      </c>
      <c r="D22" s="48" t="s">
        <v>3140</v>
      </c>
      <c r="E22" s="32" t="s">
        <v>3141</v>
      </c>
      <c r="F22" s="34"/>
      <c r="G22" s="22" t="s">
        <v>248</v>
      </c>
    </row>
    <row r="23" ht="28" customHeight="1" spans="1:7">
      <c r="A23" s="10">
        <v>13</v>
      </c>
      <c r="B23" s="27" t="s">
        <v>242</v>
      </c>
      <c r="C23" s="32" t="s">
        <v>3143</v>
      </c>
      <c r="D23" s="48" t="s">
        <v>3143</v>
      </c>
      <c r="E23" s="32" t="s">
        <v>3144</v>
      </c>
      <c r="F23" s="34"/>
      <c r="G23" s="22" t="s">
        <v>248</v>
      </c>
    </row>
    <row r="24" ht="28" customHeight="1" spans="1:7">
      <c r="A24" s="10">
        <v>14</v>
      </c>
      <c r="B24" s="27" t="s">
        <v>242</v>
      </c>
      <c r="C24" s="32" t="s">
        <v>3172</v>
      </c>
      <c r="D24" s="48" t="s">
        <v>3172</v>
      </c>
      <c r="E24" s="32" t="s">
        <v>3202</v>
      </c>
      <c r="F24" s="34"/>
      <c r="G24" s="22" t="s">
        <v>248</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A10" workbookViewId="0">
      <selection activeCell="I26" sqref="I26:L26"/>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40.125" style="23" customWidth="1"/>
    <col min="7" max="7" width="19.6666666666667" style="23" customWidth="1"/>
    <col min="8" max="8" width="19" style="25" customWidth="1"/>
    <col min="9" max="9" width="18" style="23" customWidth="1"/>
    <col min="10" max="10" width="10.8333333333333" style="23"/>
    <col min="11" max="11" width="16.625" style="23" customWidth="1"/>
    <col min="12" max="12" width="13.75" style="23" customWidth="1"/>
    <col min="13" max="16384" width="10.8333333333333" style="23"/>
  </cols>
  <sheetData>
    <row r="1" customHeight="1" spans="1:8">
      <c r="A1" s="1" t="s">
        <v>223</v>
      </c>
      <c r="B1" s="2" t="s">
        <v>159</v>
      </c>
      <c r="C1" s="3"/>
      <c r="D1" s="3"/>
      <c r="E1" s="3"/>
      <c r="F1" s="3"/>
      <c r="G1" s="4"/>
      <c r="H1" s="2"/>
    </row>
    <row r="2" customHeight="1" spans="1:8">
      <c r="A2" s="5"/>
      <c r="B2" s="3"/>
      <c r="C2" s="3"/>
      <c r="D2" s="3"/>
      <c r="E2" s="3"/>
      <c r="F2" s="3"/>
      <c r="G2" s="4"/>
      <c r="H2" s="2"/>
    </row>
    <row r="3" customHeight="1" spans="1:8">
      <c r="A3" s="6" t="s">
        <v>225</v>
      </c>
      <c r="B3" s="6"/>
      <c r="C3" s="6"/>
      <c r="D3" s="6"/>
      <c r="E3" s="7"/>
      <c r="F3" s="6"/>
      <c r="G3" s="8"/>
      <c r="H3" s="9"/>
    </row>
    <row r="4" ht="28" customHeight="1" spans="1:8">
      <c r="A4" s="10">
        <v>1</v>
      </c>
      <c r="B4" s="10" t="s">
        <v>226</v>
      </c>
      <c r="C4" s="10"/>
      <c r="D4" s="10"/>
      <c r="E4" s="10" t="s">
        <v>3203</v>
      </c>
      <c r="F4" s="11"/>
      <c r="G4" s="12"/>
      <c r="H4" s="13"/>
    </row>
    <row r="5" ht="28" customHeight="1" spans="1:8">
      <c r="A5" s="10">
        <v>2</v>
      </c>
      <c r="B5" s="10" t="s">
        <v>228</v>
      </c>
      <c r="C5" s="10"/>
      <c r="D5" s="10"/>
      <c r="E5" s="10"/>
      <c r="F5" s="11"/>
      <c r="G5" s="12"/>
      <c r="H5" s="13"/>
    </row>
    <row r="6" ht="28" customHeight="1" spans="1:8">
      <c r="A6" s="10">
        <v>3</v>
      </c>
      <c r="B6" s="10" t="s">
        <v>229</v>
      </c>
      <c r="C6" s="10"/>
      <c r="D6" s="10"/>
      <c r="E6" s="10"/>
      <c r="F6" s="11"/>
      <c r="G6" s="12"/>
      <c r="H6" s="13"/>
    </row>
    <row r="7" ht="28" customHeight="1" spans="1:8">
      <c r="A7" s="10">
        <v>4</v>
      </c>
      <c r="B7" s="10" t="s">
        <v>231</v>
      </c>
      <c r="C7" s="10"/>
      <c r="D7" s="10"/>
      <c r="E7" s="10"/>
      <c r="F7" s="11"/>
      <c r="G7" s="12"/>
      <c r="H7" s="13"/>
    </row>
    <row r="8" ht="28"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ht="30" customHeight="1" spans="1:8">
      <c r="A11" s="10">
        <v>1</v>
      </c>
      <c r="B11" s="27" t="s">
        <v>242</v>
      </c>
      <c r="C11" s="28" t="s">
        <v>243</v>
      </c>
      <c r="D11" s="47" t="s">
        <v>243</v>
      </c>
      <c r="E11" s="28" t="s">
        <v>243</v>
      </c>
      <c r="F11" s="30"/>
      <c r="G11" s="31" t="s">
        <v>248</v>
      </c>
      <c r="H11" s="30"/>
    </row>
    <row r="12" ht="30" customHeight="1" spans="1:12">
      <c r="A12" s="10">
        <v>2</v>
      </c>
      <c r="B12" s="27" t="s">
        <v>242</v>
      </c>
      <c r="C12" s="28" t="s">
        <v>1073</v>
      </c>
      <c r="D12" s="47" t="s">
        <v>1073</v>
      </c>
      <c r="E12" s="28" t="s">
        <v>915</v>
      </c>
      <c r="F12" s="30"/>
      <c r="G12" s="31" t="s">
        <v>248</v>
      </c>
      <c r="H12" s="30"/>
      <c r="I12" s="23" t="s">
        <v>3112</v>
      </c>
      <c r="J12" s="23" t="s">
        <v>243</v>
      </c>
      <c r="L12" s="23" t="s">
        <v>3116</v>
      </c>
    </row>
    <row r="13" ht="30" customHeight="1" spans="1:12">
      <c r="A13" s="10">
        <v>3</v>
      </c>
      <c r="B13" s="27" t="s">
        <v>242</v>
      </c>
      <c r="C13" s="32" t="s">
        <v>3204</v>
      </c>
      <c r="D13" s="48" t="s">
        <v>3205</v>
      </c>
      <c r="E13" s="32" t="s">
        <v>3206</v>
      </c>
      <c r="F13" s="34"/>
      <c r="G13" s="31" t="s">
        <v>248</v>
      </c>
      <c r="H13" s="36" t="s">
        <v>3207</v>
      </c>
      <c r="I13" s="23" t="s">
        <v>264</v>
      </c>
      <c r="J13" s="23" t="s">
        <v>265</v>
      </c>
      <c r="K13" s="23" t="s">
        <v>3208</v>
      </c>
      <c r="L13" s="40" t="s">
        <v>365</v>
      </c>
    </row>
    <row r="14" ht="30" customHeight="1" spans="1:12">
      <c r="A14" s="10">
        <v>4</v>
      </c>
      <c r="B14" s="27" t="s">
        <v>242</v>
      </c>
      <c r="C14" s="32" t="s">
        <v>3209</v>
      </c>
      <c r="D14" s="48" t="s">
        <v>3210</v>
      </c>
      <c r="E14" s="32" t="s">
        <v>3211</v>
      </c>
      <c r="F14" s="34"/>
      <c r="G14" s="31" t="s">
        <v>248</v>
      </c>
      <c r="H14" s="36" t="s">
        <v>3212</v>
      </c>
      <c r="I14" s="23" t="s">
        <v>264</v>
      </c>
      <c r="J14" s="23" t="s">
        <v>265</v>
      </c>
      <c r="K14" s="23" t="s">
        <v>3211</v>
      </c>
      <c r="L14" s="40" t="s">
        <v>365</v>
      </c>
    </row>
    <row r="15" ht="30" customHeight="1" spans="1:12">
      <c r="A15" s="10">
        <v>5</v>
      </c>
      <c r="B15" s="27" t="s">
        <v>242</v>
      </c>
      <c r="C15" s="32" t="s">
        <v>3213</v>
      </c>
      <c r="D15" s="48" t="s">
        <v>3214</v>
      </c>
      <c r="E15" s="32" t="s">
        <v>3215</v>
      </c>
      <c r="F15" s="32" t="s">
        <v>2859</v>
      </c>
      <c r="G15" s="31" t="s">
        <v>248</v>
      </c>
      <c r="H15" s="30"/>
      <c r="I15" s="23" t="s">
        <v>258</v>
      </c>
      <c r="J15" s="23" t="s">
        <v>243</v>
      </c>
      <c r="L15" s="40" t="s">
        <v>365</v>
      </c>
    </row>
    <row r="16" ht="30" customHeight="1" spans="1:12">
      <c r="A16" s="10">
        <v>6</v>
      </c>
      <c r="B16" s="27" t="s">
        <v>242</v>
      </c>
      <c r="C16" s="32" t="s">
        <v>3216</v>
      </c>
      <c r="D16" s="48" t="s">
        <v>3216</v>
      </c>
      <c r="E16" s="32" t="s">
        <v>3217</v>
      </c>
      <c r="F16" s="32" t="s">
        <v>3218</v>
      </c>
      <c r="G16" s="31" t="s">
        <v>248</v>
      </c>
      <c r="I16" s="23" t="s">
        <v>352</v>
      </c>
      <c r="J16" s="23" t="s">
        <v>353</v>
      </c>
      <c r="L16" s="40" t="s">
        <v>365</v>
      </c>
    </row>
    <row r="17" ht="30" customHeight="1" spans="1:12">
      <c r="A17" s="10">
        <v>7</v>
      </c>
      <c r="B17" s="27" t="s">
        <v>242</v>
      </c>
      <c r="C17" s="32" t="s">
        <v>3219</v>
      </c>
      <c r="D17" s="48" t="s">
        <v>3219</v>
      </c>
      <c r="E17" s="32" t="s">
        <v>3220</v>
      </c>
      <c r="F17" s="32" t="s">
        <v>3221</v>
      </c>
      <c r="G17" s="31" t="s">
        <v>248</v>
      </c>
      <c r="I17" s="23" t="s">
        <v>258</v>
      </c>
      <c r="J17" s="23" t="s">
        <v>243</v>
      </c>
      <c r="L17" s="40" t="s">
        <v>365</v>
      </c>
    </row>
    <row r="18" ht="30" customHeight="1" spans="1:12">
      <c r="A18" s="10">
        <v>8</v>
      </c>
      <c r="B18" s="27" t="s">
        <v>242</v>
      </c>
      <c r="C18" s="32" t="s">
        <v>3222</v>
      </c>
      <c r="D18" s="48" t="s">
        <v>3222</v>
      </c>
      <c r="E18" s="32" t="s">
        <v>3223</v>
      </c>
      <c r="F18" s="32" t="s">
        <v>3224</v>
      </c>
      <c r="G18" s="31" t="s">
        <v>248</v>
      </c>
      <c r="I18" s="23" t="s">
        <v>352</v>
      </c>
      <c r="J18" s="23" t="s">
        <v>353</v>
      </c>
      <c r="L18" s="40" t="s">
        <v>365</v>
      </c>
    </row>
    <row r="19" ht="30" customHeight="1" spans="1:7">
      <c r="A19" s="10">
        <v>9</v>
      </c>
      <c r="B19" s="27" t="s">
        <v>242</v>
      </c>
      <c r="C19" s="32" t="s">
        <v>3225</v>
      </c>
      <c r="D19" s="48" t="s">
        <v>3225</v>
      </c>
      <c r="E19" s="32" t="s">
        <v>3226</v>
      </c>
      <c r="F19" s="32" t="s">
        <v>3227</v>
      </c>
      <c r="G19" s="31" t="s">
        <v>248</v>
      </c>
    </row>
    <row r="20" ht="30" customHeight="1" spans="1:7">
      <c r="A20" s="10">
        <v>10</v>
      </c>
      <c r="B20" s="27" t="s">
        <v>242</v>
      </c>
      <c r="C20" s="32" t="s">
        <v>3228</v>
      </c>
      <c r="D20" s="48" t="s">
        <v>3228</v>
      </c>
      <c r="E20" s="32" t="s">
        <v>3229</v>
      </c>
      <c r="F20" s="32" t="s">
        <v>3230</v>
      </c>
      <c r="G20" s="31" t="s">
        <v>248</v>
      </c>
    </row>
    <row r="21" ht="30" customHeight="1" spans="1:7">
      <c r="A21" s="10">
        <v>11</v>
      </c>
      <c r="B21" s="27" t="s">
        <v>242</v>
      </c>
      <c r="C21" s="32" t="s">
        <v>3231</v>
      </c>
      <c r="D21" s="48" t="s">
        <v>3231</v>
      </c>
      <c r="E21" s="32" t="s">
        <v>3232</v>
      </c>
      <c r="F21" s="32" t="s">
        <v>3233</v>
      </c>
      <c r="G21" s="31" t="s">
        <v>248</v>
      </c>
    </row>
    <row r="22" ht="30" customHeight="1" spans="1:7">
      <c r="A22" s="10">
        <v>12</v>
      </c>
      <c r="B22" s="27" t="s">
        <v>242</v>
      </c>
      <c r="C22" s="32" t="s">
        <v>3234</v>
      </c>
      <c r="D22" s="48" t="s">
        <v>3234</v>
      </c>
      <c r="E22" s="32" t="s">
        <v>3235</v>
      </c>
      <c r="F22" s="32" t="s">
        <v>3236</v>
      </c>
      <c r="G22" s="31" t="s">
        <v>248</v>
      </c>
    </row>
    <row r="23" ht="30" customHeight="1" spans="1:7">
      <c r="A23" s="10">
        <v>13</v>
      </c>
      <c r="B23" s="27" t="s">
        <v>242</v>
      </c>
      <c r="C23" s="32" t="s">
        <v>3237</v>
      </c>
      <c r="D23" s="48" t="s">
        <v>3237</v>
      </c>
      <c r="E23" s="32" t="s">
        <v>3238</v>
      </c>
      <c r="F23" s="32" t="s">
        <v>3236</v>
      </c>
      <c r="G23" s="31" t="s">
        <v>248</v>
      </c>
    </row>
    <row r="24" ht="30" customHeight="1" spans="1:7">
      <c r="A24" s="10">
        <v>14</v>
      </c>
      <c r="B24" s="27" t="s">
        <v>242</v>
      </c>
      <c r="C24" s="32" t="s">
        <v>3239</v>
      </c>
      <c r="D24" s="48" t="s">
        <v>3239</v>
      </c>
      <c r="E24" s="32" t="s">
        <v>3240</v>
      </c>
      <c r="F24" s="32" t="s">
        <v>3236</v>
      </c>
      <c r="G24" s="31" t="s">
        <v>248</v>
      </c>
    </row>
    <row r="25" ht="30" customHeight="1" spans="1:7">
      <c r="A25" s="10">
        <v>15</v>
      </c>
      <c r="B25" s="27" t="s">
        <v>242</v>
      </c>
      <c r="C25" s="32" t="s">
        <v>3241</v>
      </c>
      <c r="D25" s="48" t="s">
        <v>3241</v>
      </c>
      <c r="E25" s="32" t="s">
        <v>3242</v>
      </c>
      <c r="F25" s="32" t="s">
        <v>3236</v>
      </c>
      <c r="G25" s="31" t="s">
        <v>248</v>
      </c>
    </row>
    <row r="26" ht="30" customHeight="1" spans="1:12">
      <c r="A26" s="10">
        <v>16</v>
      </c>
      <c r="B26" s="27" t="s">
        <v>242</v>
      </c>
      <c r="C26" s="32" t="s">
        <v>3243</v>
      </c>
      <c r="D26" s="48" t="s">
        <v>3243</v>
      </c>
      <c r="E26" s="32" t="s">
        <v>3244</v>
      </c>
      <c r="F26" s="32" t="s">
        <v>3245</v>
      </c>
      <c r="G26" s="31" t="s">
        <v>248</v>
      </c>
      <c r="I26" s="23" t="s">
        <v>352</v>
      </c>
      <c r="J26" s="23" t="s">
        <v>353</v>
      </c>
      <c r="L26" s="40"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4" location="YQSYFX仪器使用方向代码!A1" display="JY/T 1001 YQSYFX仪器使用方向代 码"/>
    <hyperlink ref="H13" location="YQXZ仪器现状代码!A1" display="JY/T 1001 YQXZ仪器现状代码"/>
  </hyperlinks>
  <pageMargins left="0.699305555555556" right="0.699305555555556" top="0.75" bottom="0.75" header="0.3" footer="0.3"/>
  <pageSetup paperSize="9" orientation="portrait" horizontalDpi="200" verticalDpi="300"/>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1"/>
  <sheetViews>
    <sheetView workbookViewId="0">
      <selection activeCell="I11" sqref="I11"/>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6.875" style="23" customWidth="1"/>
    <col min="7" max="7" width="19.6666666666667" style="23" customWidth="1"/>
    <col min="8" max="8" width="9.5" style="25" customWidth="1"/>
    <col min="9" max="9" width="16.5" style="23" customWidth="1"/>
    <col min="10" max="16384" width="10.8333333333333" style="23"/>
  </cols>
  <sheetData>
    <row r="1" customHeight="1" spans="1:8">
      <c r="A1" s="1" t="s">
        <v>223</v>
      </c>
      <c r="B1" s="2" t="s">
        <v>160</v>
      </c>
      <c r="C1" s="3"/>
      <c r="D1" s="3"/>
      <c r="E1" s="3"/>
      <c r="F1" s="3"/>
      <c r="G1" s="3"/>
      <c r="H1" s="2"/>
    </row>
    <row r="2" customHeight="1" spans="1:8">
      <c r="A2" s="5"/>
      <c r="B2" s="3"/>
      <c r="C2" s="3"/>
      <c r="D2" s="3"/>
      <c r="E2" s="3"/>
      <c r="F2" s="3"/>
      <c r="G2" s="3"/>
      <c r="H2" s="2"/>
    </row>
    <row r="3" customHeight="1" spans="1:8">
      <c r="A3" s="6" t="s">
        <v>225</v>
      </c>
      <c r="B3" s="6"/>
      <c r="C3" s="6"/>
      <c r="D3" s="6"/>
      <c r="E3" s="7"/>
      <c r="F3" s="6"/>
      <c r="G3" s="6"/>
      <c r="H3" s="9"/>
    </row>
    <row r="4" ht="26" customHeight="1" spans="1:8">
      <c r="A4" s="10">
        <v>1</v>
      </c>
      <c r="B4" s="10" t="s">
        <v>226</v>
      </c>
      <c r="C4" s="10"/>
      <c r="D4" s="10"/>
      <c r="E4" s="10" t="s">
        <v>3246</v>
      </c>
      <c r="F4" s="11"/>
      <c r="G4" s="11"/>
      <c r="H4" s="13"/>
    </row>
    <row r="5" ht="26" customHeight="1" spans="1:8">
      <c r="A5" s="10">
        <v>2</v>
      </c>
      <c r="B5" s="10" t="s">
        <v>228</v>
      </c>
      <c r="C5" s="10"/>
      <c r="D5" s="10"/>
      <c r="E5" s="10"/>
      <c r="F5" s="11"/>
      <c r="G5" s="11"/>
      <c r="H5" s="13"/>
    </row>
    <row r="6" ht="26" customHeight="1" spans="1:8">
      <c r="A6" s="10">
        <v>3</v>
      </c>
      <c r="B6" s="10" t="s">
        <v>229</v>
      </c>
      <c r="C6" s="10"/>
      <c r="D6" s="10"/>
      <c r="E6" s="10"/>
      <c r="F6" s="11"/>
      <c r="G6" s="11"/>
      <c r="H6" s="13"/>
    </row>
    <row r="7" ht="26" customHeight="1" spans="1:8">
      <c r="A7" s="10">
        <v>4</v>
      </c>
      <c r="B7" s="10" t="s">
        <v>231</v>
      </c>
      <c r="C7" s="10"/>
      <c r="D7" s="10"/>
      <c r="E7" s="10"/>
      <c r="F7" s="11"/>
      <c r="G7" s="11"/>
      <c r="H7" s="13"/>
    </row>
    <row r="8" ht="26" customHeight="1" spans="1:8">
      <c r="A8" s="10">
        <v>5</v>
      </c>
      <c r="B8" s="10" t="s">
        <v>233</v>
      </c>
      <c r="C8" s="10"/>
      <c r="D8" s="10"/>
      <c r="E8" s="10"/>
      <c r="F8" s="11"/>
      <c r="G8" s="11"/>
      <c r="H8" s="13"/>
    </row>
    <row r="9" customHeight="1" spans="1:8">
      <c r="A9" s="6" t="s">
        <v>234</v>
      </c>
      <c r="B9" s="6"/>
      <c r="C9" s="6"/>
      <c r="D9" s="6"/>
      <c r="E9" s="7"/>
      <c r="F9" s="6"/>
      <c r="G9" s="6"/>
      <c r="H9" s="9"/>
    </row>
    <row r="10" customHeight="1" spans="1:8">
      <c r="A10" s="14"/>
      <c r="B10" s="15" t="s">
        <v>235</v>
      </c>
      <c r="C10" s="14" t="s">
        <v>236</v>
      </c>
      <c r="D10" s="16" t="s">
        <v>237</v>
      </c>
      <c r="E10" s="17" t="s">
        <v>238</v>
      </c>
      <c r="F10" s="14" t="s">
        <v>239</v>
      </c>
      <c r="G10" s="14" t="s">
        <v>240</v>
      </c>
      <c r="H10" s="17" t="s">
        <v>241</v>
      </c>
    </row>
    <row r="11" ht="30" customHeight="1" spans="1:12">
      <c r="A11" s="10">
        <v>1</v>
      </c>
      <c r="B11" s="27" t="s">
        <v>242</v>
      </c>
      <c r="C11" s="28" t="s">
        <v>243</v>
      </c>
      <c r="D11" s="29" t="s">
        <v>243</v>
      </c>
      <c r="E11" s="28" t="s">
        <v>243</v>
      </c>
      <c r="F11" s="30"/>
      <c r="G11" s="22" t="s">
        <v>248</v>
      </c>
      <c r="H11" s="30"/>
      <c r="I11" s="23" t="s">
        <v>3112</v>
      </c>
      <c r="J11" s="23" t="s">
        <v>243</v>
      </c>
      <c r="L11" s="23" t="s">
        <v>3116</v>
      </c>
    </row>
    <row r="12" ht="30" customHeight="1" spans="1:8">
      <c r="A12" s="10">
        <v>2</v>
      </c>
      <c r="B12" s="27"/>
      <c r="C12" s="41" t="s">
        <v>3247</v>
      </c>
      <c r="D12" s="43" t="s">
        <v>3247</v>
      </c>
      <c r="E12" s="41" t="s">
        <v>3248</v>
      </c>
      <c r="F12" s="41" t="s">
        <v>3249</v>
      </c>
      <c r="G12" s="22" t="s">
        <v>248</v>
      </c>
      <c r="H12" s="30"/>
    </row>
    <row r="13" ht="30" customHeight="1" spans="1:8">
      <c r="A13" s="10">
        <v>3</v>
      </c>
      <c r="B13" s="27"/>
      <c r="C13" s="41" t="s">
        <v>3250</v>
      </c>
      <c r="D13" s="43" t="s">
        <v>3250</v>
      </c>
      <c r="E13" s="41" t="s">
        <v>3251</v>
      </c>
      <c r="F13" s="41" t="s">
        <v>3252</v>
      </c>
      <c r="G13" s="22" t="s">
        <v>248</v>
      </c>
      <c r="H13" s="30"/>
    </row>
    <row r="14" ht="30" customHeight="1" spans="1:8">
      <c r="A14" s="10">
        <v>4</v>
      </c>
      <c r="B14" s="27"/>
      <c r="C14" s="41" t="s">
        <v>3253</v>
      </c>
      <c r="D14" s="43" t="s">
        <v>3253</v>
      </c>
      <c r="E14" s="41" t="s">
        <v>3254</v>
      </c>
      <c r="F14" s="44" t="s">
        <v>3255</v>
      </c>
      <c r="G14" s="22" t="s">
        <v>248</v>
      </c>
      <c r="H14" s="30"/>
    </row>
    <row r="15" ht="30" customHeight="1" spans="1:7">
      <c r="A15" s="10">
        <v>5</v>
      </c>
      <c r="B15" s="27"/>
      <c r="C15" s="41" t="s">
        <v>3256</v>
      </c>
      <c r="D15" s="43" t="s">
        <v>3257</v>
      </c>
      <c r="E15" s="41" t="s">
        <v>3258</v>
      </c>
      <c r="F15" s="41" t="s">
        <v>3259</v>
      </c>
      <c r="G15" s="22" t="s">
        <v>248</v>
      </c>
    </row>
    <row r="16" ht="30" customHeight="1" spans="1:7">
      <c r="A16" s="10">
        <v>6</v>
      </c>
      <c r="B16" s="27"/>
      <c r="C16" s="41" t="s">
        <v>3260</v>
      </c>
      <c r="D16" s="43" t="s">
        <v>3261</v>
      </c>
      <c r="E16" s="41" t="s">
        <v>3262</v>
      </c>
      <c r="F16" s="41" t="s">
        <v>3259</v>
      </c>
      <c r="G16" s="22" t="s">
        <v>248</v>
      </c>
    </row>
    <row r="17" ht="30" customHeight="1" spans="1:7">
      <c r="A17" s="10">
        <v>7</v>
      </c>
      <c r="B17" s="27"/>
      <c r="C17" s="41" t="s">
        <v>3263</v>
      </c>
      <c r="D17" s="43" t="s">
        <v>3264</v>
      </c>
      <c r="E17" s="41" t="s">
        <v>3265</v>
      </c>
      <c r="F17" s="41" t="s">
        <v>3266</v>
      </c>
      <c r="G17" s="22" t="s">
        <v>248</v>
      </c>
    </row>
    <row r="18" ht="30" customHeight="1" spans="1:7">
      <c r="A18" s="10">
        <v>8</v>
      </c>
      <c r="B18" s="27"/>
      <c r="C18" s="41" t="s">
        <v>3267</v>
      </c>
      <c r="D18" s="43" t="s">
        <v>3268</v>
      </c>
      <c r="E18" s="41" t="s">
        <v>3269</v>
      </c>
      <c r="F18" s="41" t="s">
        <v>3270</v>
      </c>
      <c r="G18" s="22" t="s">
        <v>248</v>
      </c>
    </row>
    <row r="19" ht="30" customHeight="1" spans="1:7">
      <c r="A19" s="10">
        <v>9</v>
      </c>
      <c r="B19" s="27"/>
      <c r="C19" s="41" t="s">
        <v>3271</v>
      </c>
      <c r="D19" s="43" t="s">
        <v>3272</v>
      </c>
      <c r="E19" s="41" t="s">
        <v>3273</v>
      </c>
      <c r="F19" s="41" t="s">
        <v>3274</v>
      </c>
      <c r="G19" s="22" t="s">
        <v>248</v>
      </c>
    </row>
    <row r="20" ht="30" customHeight="1" spans="1:7">
      <c r="A20" s="10">
        <v>10</v>
      </c>
      <c r="B20" s="27"/>
      <c r="C20" s="41" t="s">
        <v>3275</v>
      </c>
      <c r="D20" s="43" t="s">
        <v>3276</v>
      </c>
      <c r="E20" s="41" t="s">
        <v>3277</v>
      </c>
      <c r="F20" s="44" t="s">
        <v>3278</v>
      </c>
      <c r="G20" s="22" t="s">
        <v>248</v>
      </c>
    </row>
    <row r="21" ht="30" customHeight="1" spans="1:7">
      <c r="A21" s="10">
        <v>11</v>
      </c>
      <c r="B21" s="27"/>
      <c r="C21" s="41" t="s">
        <v>3279</v>
      </c>
      <c r="D21" s="43" t="s">
        <v>3280</v>
      </c>
      <c r="E21" s="41" t="s">
        <v>3281</v>
      </c>
      <c r="F21" s="41" t="s">
        <v>3282</v>
      </c>
      <c r="G21" s="22" t="s">
        <v>248</v>
      </c>
    </row>
    <row r="22" ht="30" customHeight="1" spans="1:7">
      <c r="A22" s="10">
        <v>12</v>
      </c>
      <c r="B22" s="27"/>
      <c r="C22" s="41" t="s">
        <v>3283</v>
      </c>
      <c r="D22" s="43" t="s">
        <v>3284</v>
      </c>
      <c r="E22" s="41" t="s">
        <v>3285</v>
      </c>
      <c r="F22" s="44" t="s">
        <v>3286</v>
      </c>
      <c r="G22" s="22" t="s">
        <v>248</v>
      </c>
    </row>
    <row r="23" ht="30" customHeight="1" spans="1:7">
      <c r="A23" s="10">
        <v>13</v>
      </c>
      <c r="B23" s="27"/>
      <c r="C23" s="41" t="s">
        <v>3287</v>
      </c>
      <c r="D23" s="43" t="s">
        <v>3288</v>
      </c>
      <c r="E23" s="41" t="s">
        <v>3289</v>
      </c>
      <c r="F23" s="44" t="s">
        <v>3290</v>
      </c>
      <c r="G23" s="22" t="s">
        <v>248</v>
      </c>
    </row>
    <row r="24" ht="30" customHeight="1" spans="1:7">
      <c r="A24" s="10">
        <v>14</v>
      </c>
      <c r="B24" s="27"/>
      <c r="C24" s="41" t="s">
        <v>3291</v>
      </c>
      <c r="D24" s="43" t="s">
        <v>3291</v>
      </c>
      <c r="E24" s="41" t="s">
        <v>3292</v>
      </c>
      <c r="F24" s="44" t="s">
        <v>3293</v>
      </c>
      <c r="G24" s="22" t="s">
        <v>248</v>
      </c>
    </row>
    <row r="25" ht="30" customHeight="1" spans="1:7">
      <c r="A25" s="10">
        <v>15</v>
      </c>
      <c r="B25" s="27"/>
      <c r="C25" s="41" t="s">
        <v>3294</v>
      </c>
      <c r="D25" s="43" t="s">
        <v>3294</v>
      </c>
      <c r="E25" s="41" t="s">
        <v>3295</v>
      </c>
      <c r="F25" s="44" t="s">
        <v>3296</v>
      </c>
      <c r="G25" s="22" t="s">
        <v>248</v>
      </c>
    </row>
    <row r="26" ht="30" customHeight="1" spans="1:7">
      <c r="A26" s="10">
        <v>16</v>
      </c>
      <c r="B26" s="27"/>
      <c r="C26" s="41" t="s">
        <v>3297</v>
      </c>
      <c r="D26" s="43" t="s">
        <v>3297</v>
      </c>
      <c r="E26" s="41" t="s">
        <v>3298</v>
      </c>
      <c r="F26" s="44" t="s">
        <v>3299</v>
      </c>
      <c r="G26" s="22" t="s">
        <v>248</v>
      </c>
    </row>
    <row r="27" ht="30" customHeight="1" spans="1:7">
      <c r="A27" s="10">
        <v>17</v>
      </c>
      <c r="B27" s="27"/>
      <c r="C27" s="41" t="s">
        <v>3300</v>
      </c>
      <c r="D27" s="43" t="s">
        <v>3300</v>
      </c>
      <c r="E27" s="41" t="s">
        <v>3301</v>
      </c>
      <c r="F27" s="41" t="s">
        <v>3302</v>
      </c>
      <c r="G27" s="22" t="s">
        <v>248</v>
      </c>
    </row>
    <row r="28" ht="30" customHeight="1" spans="1:7">
      <c r="A28" s="10">
        <v>18</v>
      </c>
      <c r="B28" s="27"/>
      <c r="C28" s="41" t="s">
        <v>3303</v>
      </c>
      <c r="D28" s="43" t="s">
        <v>3303</v>
      </c>
      <c r="E28" s="41" t="s">
        <v>3304</v>
      </c>
      <c r="F28" s="41" t="s">
        <v>3305</v>
      </c>
      <c r="G28" s="22" t="s">
        <v>248</v>
      </c>
    </row>
    <row r="29" ht="30" customHeight="1" spans="1:7">
      <c r="A29" s="10">
        <v>19</v>
      </c>
      <c r="B29" s="27"/>
      <c r="C29" s="41" t="s">
        <v>3306</v>
      </c>
      <c r="D29" s="43" t="s">
        <v>3306</v>
      </c>
      <c r="E29" s="41" t="s">
        <v>3307</v>
      </c>
      <c r="F29" s="41" t="s">
        <v>3308</v>
      </c>
      <c r="G29" s="22" t="s">
        <v>248</v>
      </c>
    </row>
    <row r="30" ht="30" customHeight="1" spans="1:7">
      <c r="A30" s="10">
        <v>20</v>
      </c>
      <c r="B30" s="27"/>
      <c r="C30" s="41" t="s">
        <v>3309</v>
      </c>
      <c r="D30" s="43" t="s">
        <v>3309</v>
      </c>
      <c r="E30" s="41" t="s">
        <v>3310</v>
      </c>
      <c r="F30" s="41" t="s">
        <v>3311</v>
      </c>
      <c r="G30" s="22" t="s">
        <v>248</v>
      </c>
    </row>
    <row r="31" ht="30" customHeight="1" spans="1:7">
      <c r="A31" s="10">
        <v>21</v>
      </c>
      <c r="B31" s="27"/>
      <c r="C31" s="41" t="s">
        <v>330</v>
      </c>
      <c r="D31" s="43" t="s">
        <v>330</v>
      </c>
      <c r="E31" s="41" t="s">
        <v>629</v>
      </c>
      <c r="F31" s="10"/>
      <c r="G31" s="22" t="s">
        <v>248</v>
      </c>
    </row>
    <row r="32" ht="30" customHeight="1" spans="1:7">
      <c r="A32" s="10">
        <v>22</v>
      </c>
      <c r="B32" s="27"/>
      <c r="C32" s="41" t="s">
        <v>3312</v>
      </c>
      <c r="D32" s="43" t="s">
        <v>3312</v>
      </c>
      <c r="E32" s="41" t="s">
        <v>3313</v>
      </c>
      <c r="F32" s="45"/>
      <c r="G32" s="22" t="s">
        <v>248</v>
      </c>
    </row>
    <row r="33" ht="30" customHeight="1" spans="1:7">
      <c r="A33" s="10">
        <v>23</v>
      </c>
      <c r="B33" s="27"/>
      <c r="C33" s="41" t="s">
        <v>3314</v>
      </c>
      <c r="D33" s="43" t="s">
        <v>3314</v>
      </c>
      <c r="E33" s="41" t="s">
        <v>3315</v>
      </c>
      <c r="F33" s="46"/>
      <c r="G33" s="22" t="s">
        <v>248</v>
      </c>
    </row>
    <row r="34" ht="30" customHeight="1" spans="1:7">
      <c r="A34" s="10">
        <v>24</v>
      </c>
      <c r="B34" s="27"/>
      <c r="C34" s="41" t="s">
        <v>3316</v>
      </c>
      <c r="D34" s="43" t="s">
        <v>3316</v>
      </c>
      <c r="E34" s="41" t="s">
        <v>3317</v>
      </c>
      <c r="F34" s="46"/>
      <c r="G34" s="22" t="s">
        <v>248</v>
      </c>
    </row>
    <row r="35" ht="30" customHeight="1" spans="1:7">
      <c r="A35" s="10">
        <v>25</v>
      </c>
      <c r="B35" s="27"/>
      <c r="C35" s="41" t="s">
        <v>3318</v>
      </c>
      <c r="D35" s="43" t="s">
        <v>3318</v>
      </c>
      <c r="E35" s="41" t="s">
        <v>3319</v>
      </c>
      <c r="F35" s="46"/>
      <c r="G35" s="22" t="s">
        <v>248</v>
      </c>
    </row>
    <row r="36" ht="30" customHeight="1" spans="1:7">
      <c r="A36" s="10">
        <v>26</v>
      </c>
      <c r="B36" s="27"/>
      <c r="C36" s="41" t="s">
        <v>3225</v>
      </c>
      <c r="D36" s="43" t="s">
        <v>3225</v>
      </c>
      <c r="E36" s="41" t="s">
        <v>3320</v>
      </c>
      <c r="F36" s="46"/>
      <c r="G36" s="22" t="s">
        <v>248</v>
      </c>
    </row>
    <row r="37" ht="30" customHeight="1" spans="1:7">
      <c r="A37" s="10">
        <v>27</v>
      </c>
      <c r="B37" s="27"/>
      <c r="C37" s="41" t="s">
        <v>3321</v>
      </c>
      <c r="D37" s="43" t="s">
        <v>3321</v>
      </c>
      <c r="E37" s="41" t="s">
        <v>3322</v>
      </c>
      <c r="F37" s="46"/>
      <c r="G37" s="22" t="s">
        <v>248</v>
      </c>
    </row>
    <row r="38" ht="30" customHeight="1" spans="1:7">
      <c r="A38" s="10">
        <v>28</v>
      </c>
      <c r="B38" s="27"/>
      <c r="C38" s="41" t="s">
        <v>3323</v>
      </c>
      <c r="D38" s="43" t="s">
        <v>3323</v>
      </c>
      <c r="E38" s="41" t="s">
        <v>3324</v>
      </c>
      <c r="F38" s="41" t="s">
        <v>3325</v>
      </c>
      <c r="G38" s="22" t="s">
        <v>248</v>
      </c>
    </row>
    <row r="39" ht="30" customHeight="1" spans="1:7">
      <c r="A39" s="10">
        <v>29</v>
      </c>
      <c r="B39" s="27"/>
      <c r="C39" s="41" t="s">
        <v>3326</v>
      </c>
      <c r="D39" s="43" t="s">
        <v>3326</v>
      </c>
      <c r="E39" s="41" t="s">
        <v>3327</v>
      </c>
      <c r="F39" s="46"/>
      <c r="G39" s="22" t="s">
        <v>248</v>
      </c>
    </row>
    <row r="40" ht="30" customHeight="1" spans="1:7">
      <c r="A40" s="10">
        <v>30</v>
      </c>
      <c r="B40" s="27"/>
      <c r="C40" s="41" t="s">
        <v>3328</v>
      </c>
      <c r="D40" s="43" t="s">
        <v>3328</v>
      </c>
      <c r="E40" s="41" t="s">
        <v>3329</v>
      </c>
      <c r="F40" s="41" t="s">
        <v>3330</v>
      </c>
      <c r="G40" s="22" t="s">
        <v>248</v>
      </c>
    </row>
    <row r="41" ht="30" customHeight="1" spans="1:7">
      <c r="A41" s="10">
        <v>31</v>
      </c>
      <c r="B41" s="27"/>
      <c r="C41" s="41" t="s">
        <v>3331</v>
      </c>
      <c r="D41" s="43" t="s">
        <v>3331</v>
      </c>
      <c r="E41" s="41" t="s">
        <v>3332</v>
      </c>
      <c r="F41" s="41" t="s">
        <v>3333</v>
      </c>
      <c r="G41" s="22" t="s">
        <v>248</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opLeftCell="A19" workbookViewId="0">
      <selection activeCell="A29" sqref="$A29:$XFD47"/>
    </sheetView>
  </sheetViews>
  <sheetFormatPr defaultColWidth="10.8333333333333" defaultRowHeight="35" customHeight="1" outlineLevelCol="7"/>
  <cols>
    <col min="1" max="1" width="5.66666666666667" style="23" customWidth="1"/>
    <col min="2" max="2" width="5.83333333333333" style="23" customWidth="1"/>
    <col min="3" max="4" width="20.5" style="23" customWidth="1"/>
    <col min="5" max="5" width="20.8333333333333" style="24" customWidth="1"/>
    <col min="6" max="6" width="22.75" style="23" customWidth="1"/>
    <col min="7" max="7" width="19.6666666666667" style="23" customWidth="1"/>
    <col min="8" max="8" width="10.125" style="25" customWidth="1"/>
    <col min="9" max="16384" width="10.8333333333333" style="23"/>
  </cols>
  <sheetData>
    <row r="1" customHeight="1" spans="1:8">
      <c r="A1" s="1" t="s">
        <v>223</v>
      </c>
      <c r="B1" s="2" t="s">
        <v>161</v>
      </c>
      <c r="C1" s="3"/>
      <c r="D1" s="3"/>
      <c r="E1" s="3"/>
      <c r="F1" s="3"/>
      <c r="G1" s="4"/>
      <c r="H1" s="2"/>
    </row>
    <row r="2" customHeight="1" spans="1:8">
      <c r="A2" s="5"/>
      <c r="B2" s="3"/>
      <c r="C2" s="3"/>
      <c r="D2" s="3"/>
      <c r="E2" s="3"/>
      <c r="F2" s="3"/>
      <c r="G2" s="4"/>
      <c r="H2" s="2"/>
    </row>
    <row r="3" customHeight="1" spans="1:8">
      <c r="A3" s="6" t="s">
        <v>225</v>
      </c>
      <c r="B3" s="6"/>
      <c r="C3" s="6"/>
      <c r="D3" s="6"/>
      <c r="E3" s="7"/>
      <c r="F3" s="6"/>
      <c r="G3" s="8"/>
      <c r="H3" s="9"/>
    </row>
    <row r="4" ht="27" customHeight="1" spans="1:8">
      <c r="A4" s="10">
        <v>1</v>
      </c>
      <c r="B4" s="10" t="s">
        <v>226</v>
      </c>
      <c r="C4" s="10"/>
      <c r="D4" s="10"/>
      <c r="E4" s="10" t="s">
        <v>3334</v>
      </c>
      <c r="F4" s="11"/>
      <c r="G4" s="12"/>
      <c r="H4" s="13"/>
    </row>
    <row r="5" ht="27" customHeight="1" spans="1:8">
      <c r="A5" s="10">
        <v>2</v>
      </c>
      <c r="B5" s="10" t="s">
        <v>228</v>
      </c>
      <c r="C5" s="10"/>
      <c r="D5" s="10"/>
      <c r="E5" s="10"/>
      <c r="F5" s="11"/>
      <c r="G5" s="12"/>
      <c r="H5" s="13"/>
    </row>
    <row r="6" ht="27" customHeight="1" spans="1:8">
      <c r="A6" s="10">
        <v>3</v>
      </c>
      <c r="B6" s="10" t="s">
        <v>229</v>
      </c>
      <c r="C6" s="10"/>
      <c r="D6" s="10"/>
      <c r="E6" s="10"/>
      <c r="F6" s="11"/>
      <c r="G6" s="12"/>
      <c r="H6" s="13"/>
    </row>
    <row r="7" ht="27" customHeight="1" spans="1:8">
      <c r="A7" s="10">
        <v>4</v>
      </c>
      <c r="B7" s="10" t="s">
        <v>231</v>
      </c>
      <c r="C7" s="10"/>
      <c r="D7" s="10"/>
      <c r="E7" s="10"/>
      <c r="F7" s="11"/>
      <c r="G7" s="12"/>
      <c r="H7" s="13"/>
    </row>
    <row r="8" ht="27"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ht="28" customHeight="1" spans="1:8">
      <c r="A11" s="10">
        <v>1</v>
      </c>
      <c r="B11" s="27" t="s">
        <v>242</v>
      </c>
      <c r="C11" s="32" t="s">
        <v>243</v>
      </c>
      <c r="D11" s="16" t="s">
        <v>243</v>
      </c>
      <c r="E11" s="28" t="s">
        <v>243</v>
      </c>
      <c r="F11" s="30"/>
      <c r="G11" s="22" t="s">
        <v>248</v>
      </c>
      <c r="H11" s="30"/>
    </row>
    <row r="12" ht="28" customHeight="1" spans="1:8">
      <c r="A12" s="10">
        <v>2</v>
      </c>
      <c r="B12" s="27"/>
      <c r="C12" s="41" t="s">
        <v>3335</v>
      </c>
      <c r="D12" s="16" t="s">
        <v>3335</v>
      </c>
      <c r="E12" s="41" t="s">
        <v>3139</v>
      </c>
      <c r="F12" s="30"/>
      <c r="G12" s="22" t="s">
        <v>248</v>
      </c>
      <c r="H12" s="30"/>
    </row>
    <row r="13" ht="28" customHeight="1" spans="1:8">
      <c r="A13" s="10">
        <v>3</v>
      </c>
      <c r="B13" s="27"/>
      <c r="C13" s="41" t="s">
        <v>3336</v>
      </c>
      <c r="D13" s="16" t="s">
        <v>3336</v>
      </c>
      <c r="E13" s="41" t="s">
        <v>3337</v>
      </c>
      <c r="F13" s="28"/>
      <c r="G13" s="22" t="s">
        <v>248</v>
      </c>
      <c r="H13" s="30"/>
    </row>
    <row r="14" ht="28" customHeight="1" spans="1:8">
      <c r="A14" s="10">
        <v>4</v>
      </c>
      <c r="B14" s="27"/>
      <c r="C14" s="41" t="s">
        <v>3338</v>
      </c>
      <c r="D14" s="16" t="s">
        <v>3338</v>
      </c>
      <c r="E14" s="41" t="s">
        <v>3339</v>
      </c>
      <c r="F14" s="30"/>
      <c r="G14" s="22" t="s">
        <v>248</v>
      </c>
      <c r="H14" s="30"/>
    </row>
    <row r="15" ht="28" customHeight="1" spans="1:7">
      <c r="A15" s="10">
        <v>5</v>
      </c>
      <c r="B15" s="27"/>
      <c r="C15" s="41" t="s">
        <v>3340</v>
      </c>
      <c r="D15" s="16" t="s">
        <v>3340</v>
      </c>
      <c r="E15" s="41" t="s">
        <v>3341</v>
      </c>
      <c r="F15" s="10"/>
      <c r="G15" s="22" t="s">
        <v>248</v>
      </c>
    </row>
    <row r="16" ht="28" customHeight="1" spans="1:7">
      <c r="A16" s="10">
        <v>6</v>
      </c>
      <c r="B16" s="27"/>
      <c r="C16" s="41" t="s">
        <v>3342</v>
      </c>
      <c r="D16" s="16" t="s">
        <v>3342</v>
      </c>
      <c r="E16" s="41" t="s">
        <v>3343</v>
      </c>
      <c r="F16" s="10"/>
      <c r="G16" s="22" t="s">
        <v>248</v>
      </c>
    </row>
    <row r="17" ht="28" customHeight="1" spans="1:7">
      <c r="A17" s="10">
        <v>7</v>
      </c>
      <c r="B17" s="27"/>
      <c r="C17" s="41" t="s">
        <v>3344</v>
      </c>
      <c r="D17" s="16" t="s">
        <v>3344</v>
      </c>
      <c r="E17" s="41" t="s">
        <v>3345</v>
      </c>
      <c r="F17" s="10"/>
      <c r="G17" s="22" t="s">
        <v>248</v>
      </c>
    </row>
    <row r="18" ht="28" customHeight="1" spans="1:7">
      <c r="A18" s="10">
        <v>8</v>
      </c>
      <c r="B18" s="27"/>
      <c r="C18" s="41" t="s">
        <v>3323</v>
      </c>
      <c r="D18" s="16" t="s">
        <v>3323</v>
      </c>
      <c r="E18" s="41" t="s">
        <v>3324</v>
      </c>
      <c r="F18" s="10"/>
      <c r="G18" s="22" t="s">
        <v>248</v>
      </c>
    </row>
    <row r="19" ht="28" customHeight="1" spans="1:7">
      <c r="A19" s="10">
        <v>9</v>
      </c>
      <c r="B19" s="27"/>
      <c r="C19" s="41" t="s">
        <v>3346</v>
      </c>
      <c r="D19" s="16" t="s">
        <v>3346</v>
      </c>
      <c r="E19" s="41" t="s">
        <v>3347</v>
      </c>
      <c r="F19" s="10"/>
      <c r="G19" s="22" t="s">
        <v>248</v>
      </c>
    </row>
    <row r="20" ht="28" customHeight="1" spans="1:7">
      <c r="A20" s="10">
        <v>10</v>
      </c>
      <c r="B20" s="27"/>
      <c r="C20" s="41" t="s">
        <v>3348</v>
      </c>
      <c r="D20" s="16" t="s">
        <v>3348</v>
      </c>
      <c r="E20" s="41" t="s">
        <v>3349</v>
      </c>
      <c r="F20" s="10"/>
      <c r="G20" s="22" t="s">
        <v>248</v>
      </c>
    </row>
    <row r="21" ht="28" customHeight="1" spans="1:7">
      <c r="A21" s="10">
        <v>11</v>
      </c>
      <c r="B21" s="27"/>
      <c r="C21" s="41" t="s">
        <v>3350</v>
      </c>
      <c r="D21" s="16" t="s">
        <v>3350</v>
      </c>
      <c r="E21" s="41" t="s">
        <v>3351</v>
      </c>
      <c r="F21" s="42" t="s">
        <v>3352</v>
      </c>
      <c r="G21" s="22" t="s">
        <v>248</v>
      </c>
    </row>
    <row r="22" ht="28" customHeight="1" spans="1:7">
      <c r="A22" s="10">
        <v>12</v>
      </c>
      <c r="B22" s="27"/>
      <c r="C22" s="41" t="s">
        <v>3353</v>
      </c>
      <c r="D22" s="16" t="s">
        <v>3353</v>
      </c>
      <c r="E22" s="41" t="s">
        <v>3354</v>
      </c>
      <c r="F22" s="10"/>
      <c r="G22" s="22" t="s">
        <v>248</v>
      </c>
    </row>
    <row r="23" ht="28" customHeight="1" spans="1:7">
      <c r="A23" s="10">
        <v>13</v>
      </c>
      <c r="B23" s="27"/>
      <c r="C23" s="41" t="s">
        <v>3355</v>
      </c>
      <c r="D23" s="16" t="s">
        <v>3355</v>
      </c>
      <c r="E23" s="41" t="s">
        <v>3356</v>
      </c>
      <c r="F23" s="10"/>
      <c r="G23" s="22" t="s">
        <v>248</v>
      </c>
    </row>
    <row r="24" ht="28" customHeight="1" spans="1:7">
      <c r="A24" s="10">
        <v>14</v>
      </c>
      <c r="B24" s="27"/>
      <c r="C24" s="41" t="s">
        <v>3357</v>
      </c>
      <c r="D24" s="16" t="s">
        <v>3357</v>
      </c>
      <c r="E24" s="41" t="s">
        <v>3358</v>
      </c>
      <c r="F24" s="42" t="s">
        <v>3359</v>
      </c>
      <c r="G24" s="22" t="s">
        <v>248</v>
      </c>
    </row>
    <row r="25" ht="28" customHeight="1" spans="1:7">
      <c r="A25" s="10">
        <v>15</v>
      </c>
      <c r="B25" s="27"/>
      <c r="C25" s="41" t="s">
        <v>3360</v>
      </c>
      <c r="D25" s="16" t="s">
        <v>3360</v>
      </c>
      <c r="E25" s="41" t="s">
        <v>3361</v>
      </c>
      <c r="F25" s="10"/>
      <c r="G25" s="22" t="s">
        <v>248</v>
      </c>
    </row>
    <row r="26" ht="28" customHeight="1" spans="1:7">
      <c r="A26" s="10">
        <v>16</v>
      </c>
      <c r="B26" s="27"/>
      <c r="C26" s="41" t="s">
        <v>3362</v>
      </c>
      <c r="D26" s="16" t="s">
        <v>3362</v>
      </c>
      <c r="E26" s="41" t="s">
        <v>3363</v>
      </c>
      <c r="F26" s="10"/>
      <c r="G26" s="22" t="s">
        <v>248</v>
      </c>
    </row>
    <row r="27" ht="28" customHeight="1" spans="1:7">
      <c r="A27" s="10">
        <v>17</v>
      </c>
      <c r="B27" s="27"/>
      <c r="C27" s="41" t="s">
        <v>3364</v>
      </c>
      <c r="D27" s="16" t="s">
        <v>3364</v>
      </c>
      <c r="E27" s="41" t="s">
        <v>3365</v>
      </c>
      <c r="F27" s="10"/>
      <c r="G27" s="22" t="s">
        <v>248</v>
      </c>
    </row>
    <row r="28" ht="28" customHeight="1" spans="1:7">
      <c r="A28" s="10">
        <v>18</v>
      </c>
      <c r="B28" s="27"/>
      <c r="C28" s="41" t="s">
        <v>3366</v>
      </c>
      <c r="D28" s="16" t="s">
        <v>3366</v>
      </c>
      <c r="E28" s="41" t="s">
        <v>3367</v>
      </c>
      <c r="F28" s="10"/>
      <c r="G28" s="22" t="s">
        <v>248</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
  <sheetViews>
    <sheetView zoomScale="115" zoomScaleNormal="115"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0.9833333333333" style="23" customWidth="1"/>
    <col min="7" max="7" width="19.6666666666667" style="23" customWidth="1"/>
    <col min="8" max="8" width="16.625" style="25" customWidth="1"/>
    <col min="9" max="9" width="13" style="23" customWidth="1"/>
    <col min="10" max="16384" width="10.8333333333333" style="23"/>
  </cols>
  <sheetData>
    <row r="1" ht="20" customHeight="1" spans="1:8">
      <c r="A1" s="1" t="s">
        <v>223</v>
      </c>
      <c r="B1" s="2" t="s">
        <v>3368</v>
      </c>
      <c r="C1" s="3"/>
      <c r="D1" s="3"/>
      <c r="E1" s="3"/>
      <c r="F1" s="3"/>
      <c r="G1" s="4"/>
      <c r="H1" s="2"/>
    </row>
    <row r="2" ht="20" customHeight="1" spans="1:8">
      <c r="A2" s="5"/>
      <c r="B2" s="3"/>
      <c r="C2" s="3"/>
      <c r="D2" s="3"/>
      <c r="E2" s="3"/>
      <c r="F2" s="3"/>
      <c r="G2" s="4"/>
      <c r="H2" s="2"/>
    </row>
    <row r="3" customHeight="1" spans="1:8">
      <c r="A3" s="6" t="s">
        <v>225</v>
      </c>
      <c r="B3" s="6"/>
      <c r="C3" s="6"/>
      <c r="D3" s="6"/>
      <c r="E3" s="7"/>
      <c r="F3" s="6"/>
      <c r="G3" s="8"/>
      <c r="H3" s="9"/>
    </row>
    <row r="4" ht="23" customHeight="1" spans="1:8">
      <c r="A4" s="10">
        <v>1</v>
      </c>
      <c r="B4" s="10" t="s">
        <v>226</v>
      </c>
      <c r="C4" s="10"/>
      <c r="D4" s="10"/>
      <c r="E4" s="10" t="s">
        <v>3369</v>
      </c>
      <c r="F4" s="11"/>
      <c r="G4" s="12"/>
      <c r="H4" s="13"/>
    </row>
    <row r="5" ht="23" customHeight="1" spans="1:8">
      <c r="A5" s="10">
        <v>2</v>
      </c>
      <c r="B5" s="10" t="s">
        <v>228</v>
      </c>
      <c r="C5" s="10"/>
      <c r="D5" s="10"/>
      <c r="E5" s="10"/>
      <c r="F5" s="11"/>
      <c r="G5" s="12"/>
      <c r="H5" s="13"/>
    </row>
    <row r="6" ht="23" customHeight="1" spans="1:8">
      <c r="A6" s="10">
        <v>3</v>
      </c>
      <c r="B6" s="10" t="s">
        <v>229</v>
      </c>
      <c r="C6" s="10"/>
      <c r="D6" s="10"/>
      <c r="E6" s="10"/>
      <c r="F6" s="11"/>
      <c r="G6" s="12"/>
      <c r="H6" s="13"/>
    </row>
    <row r="7" ht="23" customHeight="1" spans="1:8">
      <c r="A7" s="10">
        <v>4</v>
      </c>
      <c r="B7" s="10" t="s">
        <v>231</v>
      </c>
      <c r="C7" s="10"/>
      <c r="D7" s="10"/>
      <c r="E7" s="10"/>
      <c r="F7" s="11"/>
      <c r="G7" s="12"/>
      <c r="H7" s="13"/>
    </row>
    <row r="8" ht="23"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ht="30" customHeight="1" spans="1:8">
      <c r="A11" s="10">
        <v>1</v>
      </c>
      <c r="B11" s="27" t="s">
        <v>242</v>
      </c>
      <c r="C11" s="28" t="s">
        <v>243</v>
      </c>
      <c r="D11" s="29" t="s">
        <v>243</v>
      </c>
      <c r="E11" s="28" t="s">
        <v>243</v>
      </c>
      <c r="F11" s="30" t="s">
        <v>1073</v>
      </c>
      <c r="G11" s="31" t="s">
        <v>248</v>
      </c>
      <c r="H11" s="30" t="s">
        <v>3370</v>
      </c>
    </row>
    <row r="12" ht="30" customHeight="1" spans="1:8">
      <c r="A12" s="10">
        <v>2</v>
      </c>
      <c r="B12" s="27" t="s">
        <v>242</v>
      </c>
      <c r="C12" s="32" t="s">
        <v>3371</v>
      </c>
      <c r="D12" s="33" t="s">
        <v>3371</v>
      </c>
      <c r="E12" s="32" t="s">
        <v>3372</v>
      </c>
      <c r="F12" s="34"/>
      <c r="G12" s="31" t="s">
        <v>248</v>
      </c>
      <c r="H12" s="30"/>
    </row>
    <row r="13" ht="30" customHeight="1" spans="1:8">
      <c r="A13" s="10">
        <v>3</v>
      </c>
      <c r="B13" s="27" t="s">
        <v>242</v>
      </c>
      <c r="C13" s="32" t="s">
        <v>3373</v>
      </c>
      <c r="D13" s="33" t="s">
        <v>3373</v>
      </c>
      <c r="E13" s="32" t="s">
        <v>3374</v>
      </c>
      <c r="F13" s="34"/>
      <c r="G13" s="31" t="s">
        <v>248</v>
      </c>
      <c r="H13" s="30"/>
    </row>
    <row r="14" ht="30" customHeight="1" spans="1:8">
      <c r="A14" s="10">
        <v>4</v>
      </c>
      <c r="B14" s="27" t="s">
        <v>242</v>
      </c>
      <c r="C14" s="32" t="s">
        <v>3375</v>
      </c>
      <c r="D14" s="33" t="s">
        <v>3375</v>
      </c>
      <c r="E14" s="32" t="s">
        <v>3376</v>
      </c>
      <c r="F14" s="32" t="s">
        <v>3377</v>
      </c>
      <c r="G14" s="31" t="s">
        <v>248</v>
      </c>
      <c r="H14" s="30"/>
    </row>
    <row r="15" ht="30" customHeight="1" spans="1:12">
      <c r="A15" s="10">
        <v>5</v>
      </c>
      <c r="B15" s="27" t="s">
        <v>242</v>
      </c>
      <c r="C15" s="32" t="s">
        <v>2989</v>
      </c>
      <c r="D15" s="33" t="s">
        <v>2989</v>
      </c>
      <c r="E15" s="32" t="s">
        <v>2990</v>
      </c>
      <c r="F15" s="32" t="s">
        <v>3378</v>
      </c>
      <c r="G15" s="31" t="s">
        <v>248</v>
      </c>
      <c r="I15" s="23" t="s">
        <v>352</v>
      </c>
      <c r="J15" s="23" t="s">
        <v>353</v>
      </c>
      <c r="L15" s="40" t="s">
        <v>365</v>
      </c>
    </row>
    <row r="16" ht="30" customHeight="1" spans="1:8">
      <c r="A16" s="10">
        <v>6</v>
      </c>
      <c r="B16" s="27" t="s">
        <v>242</v>
      </c>
      <c r="C16" s="32" t="s">
        <v>3379</v>
      </c>
      <c r="D16" s="33" t="s">
        <v>3379</v>
      </c>
      <c r="E16" s="32" t="s">
        <v>3380</v>
      </c>
      <c r="F16" s="32" t="s">
        <v>3381</v>
      </c>
      <c r="G16" s="31" t="s">
        <v>248</v>
      </c>
      <c r="H16" s="39"/>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zoomScale="115" zoomScaleNormal="115" topLeftCell="A2" workbookViewId="0">
      <selection activeCell="E4" sqref="E4:H4"/>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25.2166666666667" style="23" customWidth="1"/>
    <col min="7" max="7" width="19.6666666666667" style="23" customWidth="1"/>
    <col min="8" max="8" width="9.88333333333333" style="25" customWidth="1"/>
    <col min="9" max="9" width="27.3333333333333" style="23" customWidth="1"/>
    <col min="10" max="11" width="10.8333333333333" style="23"/>
    <col min="12" max="12" width="16.1916666666667" style="23" customWidth="1"/>
    <col min="13" max="16384" width="10.8333333333333" style="23"/>
  </cols>
  <sheetData>
    <row r="1" ht="27" customHeight="1" spans="1:8">
      <c r="A1" s="1" t="s">
        <v>223</v>
      </c>
      <c r="B1" s="2" t="s">
        <v>163</v>
      </c>
      <c r="C1" s="3"/>
      <c r="D1" s="3"/>
      <c r="E1" s="3"/>
      <c r="F1" s="3"/>
      <c r="G1" s="4"/>
      <c r="H1" s="2"/>
    </row>
    <row r="2" ht="27" customHeight="1" spans="1:8">
      <c r="A2" s="5"/>
      <c r="B2" s="3"/>
      <c r="C2" s="3"/>
      <c r="D2" s="3"/>
      <c r="E2" s="3"/>
      <c r="F2" s="3"/>
      <c r="G2" s="4"/>
      <c r="H2" s="2"/>
    </row>
    <row r="3" customHeight="1" spans="1:8">
      <c r="A3" s="6" t="s">
        <v>225</v>
      </c>
      <c r="B3" s="6"/>
      <c r="C3" s="6"/>
      <c r="D3" s="6"/>
      <c r="E3" s="7"/>
      <c r="F3" s="6"/>
      <c r="G3" s="8"/>
      <c r="H3" s="9"/>
    </row>
    <row r="4" ht="26" customHeight="1" spans="1:8">
      <c r="A4" s="10">
        <v>1</v>
      </c>
      <c r="B4" s="10" t="s">
        <v>226</v>
      </c>
      <c r="C4" s="10"/>
      <c r="D4" s="10"/>
      <c r="E4" s="10" t="s">
        <v>3382</v>
      </c>
      <c r="F4" s="11"/>
      <c r="G4" s="12"/>
      <c r="H4" s="13"/>
    </row>
    <row r="5" ht="26" customHeight="1" spans="1:8">
      <c r="A5" s="10">
        <v>2</v>
      </c>
      <c r="B5" s="10" t="s">
        <v>228</v>
      </c>
      <c r="C5" s="10"/>
      <c r="D5" s="10"/>
      <c r="E5" s="10"/>
      <c r="F5" s="11"/>
      <c r="G5" s="12"/>
      <c r="H5" s="13"/>
    </row>
    <row r="6" ht="26" customHeight="1" spans="1:8">
      <c r="A6" s="10">
        <v>3</v>
      </c>
      <c r="B6" s="10" t="s">
        <v>229</v>
      </c>
      <c r="C6" s="10"/>
      <c r="D6" s="10"/>
      <c r="E6" s="10"/>
      <c r="F6" s="11"/>
      <c r="G6" s="12"/>
      <c r="H6" s="13"/>
    </row>
    <row r="7" ht="26" customHeight="1" spans="1:8">
      <c r="A7" s="10">
        <v>4</v>
      </c>
      <c r="B7" s="10" t="s">
        <v>231</v>
      </c>
      <c r="C7" s="10"/>
      <c r="D7" s="10"/>
      <c r="E7" s="10"/>
      <c r="F7" s="11"/>
      <c r="G7" s="12"/>
      <c r="H7" s="13"/>
    </row>
    <row r="8" ht="26"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6" t="s">
        <v>237</v>
      </c>
      <c r="E10" s="17" t="s">
        <v>238</v>
      </c>
      <c r="F10" s="14" t="s">
        <v>239</v>
      </c>
      <c r="G10" s="26" t="s">
        <v>240</v>
      </c>
      <c r="H10" s="17" t="s">
        <v>241</v>
      </c>
    </row>
    <row r="11" ht="27" customHeight="1" spans="1:8">
      <c r="A11" s="10">
        <v>1</v>
      </c>
      <c r="B11" s="18" t="s">
        <v>242</v>
      </c>
      <c r="C11" s="28" t="s">
        <v>243</v>
      </c>
      <c r="D11" s="29" t="s">
        <v>243</v>
      </c>
      <c r="E11" s="28" t="s">
        <v>243</v>
      </c>
      <c r="F11" s="30"/>
      <c r="G11" s="31" t="s">
        <v>248</v>
      </c>
      <c r="H11" s="30"/>
    </row>
    <row r="12" ht="27" customHeight="1" spans="1:8">
      <c r="A12" s="10">
        <v>2</v>
      </c>
      <c r="B12" s="18" t="s">
        <v>242</v>
      </c>
      <c r="C12" s="28" t="s">
        <v>1073</v>
      </c>
      <c r="D12" s="29" t="s">
        <v>1073</v>
      </c>
      <c r="E12" s="28" t="s">
        <v>3383</v>
      </c>
      <c r="F12" s="30" t="s">
        <v>2859</v>
      </c>
      <c r="G12" s="31" t="s">
        <v>248</v>
      </c>
      <c r="H12" s="30"/>
    </row>
    <row r="13" ht="27" customHeight="1" spans="1:8">
      <c r="A13" s="10">
        <v>3</v>
      </c>
      <c r="B13" s="18" t="s">
        <v>242</v>
      </c>
      <c r="C13" s="37" t="s">
        <v>3384</v>
      </c>
      <c r="D13" s="38" t="s">
        <v>3384</v>
      </c>
      <c r="E13" s="37" t="s">
        <v>365</v>
      </c>
      <c r="F13" s="34"/>
      <c r="G13" s="31" t="s">
        <v>248</v>
      </c>
      <c r="H13" s="36"/>
    </row>
    <row r="14" ht="27" customHeight="1" spans="1:8">
      <c r="A14" s="10">
        <v>4</v>
      </c>
      <c r="B14" s="18" t="s">
        <v>242</v>
      </c>
      <c r="C14" s="37" t="s">
        <v>3385</v>
      </c>
      <c r="D14" s="38" t="s">
        <v>3385</v>
      </c>
      <c r="E14" s="37" t="s">
        <v>3386</v>
      </c>
      <c r="F14" s="34"/>
      <c r="G14" s="31" t="s">
        <v>263</v>
      </c>
      <c r="H14" s="36"/>
    </row>
    <row r="15" ht="27" customHeight="1" spans="1:8">
      <c r="A15" s="10">
        <v>5</v>
      </c>
      <c r="B15" s="18" t="s">
        <v>242</v>
      </c>
      <c r="C15" s="37" t="s">
        <v>3387</v>
      </c>
      <c r="D15" s="38" t="s">
        <v>3387</v>
      </c>
      <c r="E15" s="37" t="s">
        <v>296</v>
      </c>
      <c r="F15" s="32"/>
      <c r="G15" s="31" t="s">
        <v>273</v>
      </c>
      <c r="H15" s="30"/>
    </row>
    <row r="16" ht="27" customHeight="1" spans="1:7">
      <c r="A16" s="10">
        <v>6</v>
      </c>
      <c r="B16" s="18" t="s">
        <v>242</v>
      </c>
      <c r="C16" s="37" t="s">
        <v>3388</v>
      </c>
      <c r="D16" s="38" t="s">
        <v>3388</v>
      </c>
      <c r="E16" s="37" t="s">
        <v>299</v>
      </c>
      <c r="F16" s="32"/>
      <c r="G16" s="31" t="s">
        <v>282</v>
      </c>
    </row>
    <row r="17" ht="27" customHeight="1" spans="1:12">
      <c r="A17" s="10">
        <v>7</v>
      </c>
      <c r="B17" s="18"/>
      <c r="C17" s="37" t="s">
        <v>3389</v>
      </c>
      <c r="D17" s="38" t="s">
        <v>3389</v>
      </c>
      <c r="E17" s="37" t="s">
        <v>367</v>
      </c>
      <c r="F17" s="30"/>
      <c r="G17" s="31" t="s">
        <v>248</v>
      </c>
      <c r="I17" s="37" t="s">
        <v>1491</v>
      </c>
      <c r="J17" s="37" t="s">
        <v>243</v>
      </c>
      <c r="K17" s="37"/>
      <c r="L17" s="37" t="s">
        <v>365</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699305555555556" right="0.699305555555556" top="0.75" bottom="0.75" header="0.3" footer="0.3"/>
  <pageSetup paperSize="9" orientation="portrait" horizontalDpi="200" verticalDpi="300"/>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A13" workbookViewId="0">
      <selection activeCell="K20" sqref="K20"/>
    </sheetView>
  </sheetViews>
  <sheetFormatPr defaultColWidth="10.8333333333333" defaultRowHeight="35" customHeight="1"/>
  <cols>
    <col min="1" max="1" width="5.66666666666667" style="23" customWidth="1"/>
    <col min="2" max="2" width="5.83333333333333" style="23" customWidth="1"/>
    <col min="3" max="4" width="20.5" style="23" customWidth="1"/>
    <col min="5" max="5" width="20.8333333333333" style="24" customWidth="1"/>
    <col min="6" max="6" width="36.625" style="23" customWidth="1"/>
    <col min="7" max="7" width="19.6666666666667" style="23" customWidth="1"/>
    <col min="8" max="8" width="27.8333333333333" style="25" customWidth="1"/>
    <col min="9" max="10" width="10.8333333333333" style="23"/>
    <col min="11" max="11" width="18.75" style="23" customWidth="1"/>
    <col min="12" max="16384" width="10.8333333333333" style="23"/>
  </cols>
  <sheetData>
    <row r="1" ht="26" customHeight="1" spans="1:8">
      <c r="A1" s="1" t="s">
        <v>223</v>
      </c>
      <c r="B1" s="2" t="s">
        <v>164</v>
      </c>
      <c r="C1" s="3"/>
      <c r="D1" s="3"/>
      <c r="E1" s="3"/>
      <c r="F1" s="3"/>
      <c r="G1" s="4"/>
      <c r="H1" s="2"/>
    </row>
    <row r="2" ht="26" customHeight="1" spans="1:8">
      <c r="A2" s="5"/>
      <c r="B2" s="3"/>
      <c r="C2" s="3"/>
      <c r="D2" s="3"/>
      <c r="E2" s="3"/>
      <c r="F2" s="3"/>
      <c r="G2" s="4"/>
      <c r="H2" s="2"/>
    </row>
    <row r="3" ht="26" customHeight="1" spans="1:8">
      <c r="A3" s="6" t="s">
        <v>225</v>
      </c>
      <c r="B3" s="6"/>
      <c r="C3" s="6"/>
      <c r="D3" s="6"/>
      <c r="E3" s="7"/>
      <c r="F3" s="6"/>
      <c r="G3" s="8"/>
      <c r="H3" s="9"/>
    </row>
    <row r="4" ht="26" customHeight="1" spans="1:8">
      <c r="A4" s="10">
        <v>1</v>
      </c>
      <c r="B4" s="10" t="s">
        <v>226</v>
      </c>
      <c r="C4" s="10"/>
      <c r="D4" s="10"/>
      <c r="E4" s="10" t="s">
        <v>3390</v>
      </c>
      <c r="F4" s="11"/>
      <c r="G4" s="12"/>
      <c r="H4" s="13"/>
    </row>
    <row r="5" ht="26" customHeight="1" spans="1:8">
      <c r="A5" s="10">
        <v>2</v>
      </c>
      <c r="B5" s="10" t="s">
        <v>228</v>
      </c>
      <c r="C5" s="10"/>
      <c r="D5" s="10"/>
      <c r="E5" s="10"/>
      <c r="F5" s="11"/>
      <c r="G5" s="12"/>
      <c r="H5" s="13"/>
    </row>
    <row r="6" ht="26" customHeight="1" spans="1:8">
      <c r="A6" s="10">
        <v>3</v>
      </c>
      <c r="B6" s="10" t="s">
        <v>229</v>
      </c>
      <c r="C6" s="10"/>
      <c r="D6" s="10"/>
      <c r="E6" s="10"/>
      <c r="F6" s="11"/>
      <c r="G6" s="12"/>
      <c r="H6" s="13"/>
    </row>
    <row r="7" ht="26" customHeight="1" spans="1:8">
      <c r="A7" s="10">
        <v>4</v>
      </c>
      <c r="B7" s="10" t="s">
        <v>231</v>
      </c>
      <c r="C7" s="10"/>
      <c r="D7" s="10"/>
      <c r="E7" s="10"/>
      <c r="F7" s="11"/>
      <c r="G7" s="12"/>
      <c r="H7" s="13"/>
    </row>
    <row r="8" ht="26" customHeight="1" spans="1:8">
      <c r="A8" s="10">
        <v>5</v>
      </c>
      <c r="B8" s="10" t="s">
        <v>233</v>
      </c>
      <c r="C8" s="10"/>
      <c r="D8" s="10"/>
      <c r="E8" s="10"/>
      <c r="F8" s="11"/>
      <c r="G8" s="12"/>
      <c r="H8" s="13"/>
    </row>
    <row r="9" customHeight="1" spans="1:8">
      <c r="A9" s="6" t="s">
        <v>234</v>
      </c>
      <c r="B9" s="6"/>
      <c r="C9" s="6"/>
      <c r="D9" s="6"/>
      <c r="E9" s="7"/>
      <c r="F9" s="6"/>
      <c r="G9" s="8"/>
      <c r="H9" s="9"/>
    </row>
    <row r="10" customHeight="1" spans="1:8">
      <c r="A10" s="14"/>
      <c r="B10" s="15" t="s">
        <v>235</v>
      </c>
      <c r="C10" s="14" t="s">
        <v>236</v>
      </c>
      <c r="D10" s="14" t="s">
        <v>237</v>
      </c>
      <c r="E10" s="17" t="s">
        <v>238</v>
      </c>
      <c r="F10" s="14" t="s">
        <v>239</v>
      </c>
      <c r="G10" s="26" t="s">
        <v>240</v>
      </c>
      <c r="H10" s="17" t="s">
        <v>241</v>
      </c>
    </row>
    <row r="11" ht="30" customHeight="1" spans="1:8">
      <c r="A11" s="10">
        <v>1</v>
      </c>
      <c r="B11" s="27" t="s">
        <v>242</v>
      </c>
      <c r="C11" s="28" t="s">
        <v>243</v>
      </c>
      <c r="D11" s="29" t="s">
        <v>243</v>
      </c>
      <c r="E11" s="28" t="s">
        <v>243</v>
      </c>
      <c r="F11" s="30"/>
      <c r="G11" s="31" t="s">
        <v>248</v>
      </c>
      <c r="H11" s="30"/>
    </row>
    <row r="12" ht="30" customHeight="1" spans="1:8">
      <c r="A12" s="10">
        <v>2</v>
      </c>
      <c r="B12" s="27" t="s">
        <v>242</v>
      </c>
      <c r="C12" s="32" t="s">
        <v>3391</v>
      </c>
      <c r="D12" s="33" t="s">
        <v>3391</v>
      </c>
      <c r="E12" s="32" t="s">
        <v>3392</v>
      </c>
      <c r="F12" s="32" t="s">
        <v>2859</v>
      </c>
      <c r="G12" s="31" t="s">
        <v>248</v>
      </c>
      <c r="H12" s="30"/>
    </row>
    <row r="13" ht="30" customHeight="1" spans="1:8">
      <c r="A13" s="10">
        <v>3</v>
      </c>
      <c r="B13" s="27" t="s">
        <v>242</v>
      </c>
      <c r="C13" s="32" t="s">
        <v>3393</v>
      </c>
      <c r="D13" s="33" t="s">
        <v>3393</v>
      </c>
      <c r="E13" s="32" t="s">
        <v>3394</v>
      </c>
      <c r="F13" s="34"/>
      <c r="G13" s="31" t="s">
        <v>248</v>
      </c>
      <c r="H13" s="30"/>
    </row>
    <row r="14" ht="30" customHeight="1" spans="1:8">
      <c r="A14" s="10">
        <v>4</v>
      </c>
      <c r="B14" s="27" t="s">
        <v>242</v>
      </c>
      <c r="C14" s="32" t="s">
        <v>3395</v>
      </c>
      <c r="D14" s="35" t="s">
        <v>3395</v>
      </c>
      <c r="E14" s="32" t="s">
        <v>3396</v>
      </c>
      <c r="F14" s="34"/>
      <c r="G14" s="31" t="s">
        <v>248</v>
      </c>
      <c r="H14" s="36" t="s">
        <v>3397</v>
      </c>
    </row>
    <row r="15" ht="30" customHeight="1" spans="1:7">
      <c r="A15" s="10">
        <v>5</v>
      </c>
      <c r="B15" s="27" t="s">
        <v>242</v>
      </c>
      <c r="C15" s="32" t="s">
        <v>3398</v>
      </c>
      <c r="D15" s="33" t="s">
        <v>3398</v>
      </c>
      <c r="E15" s="32" t="s">
        <v>3399</v>
      </c>
      <c r="F15" s="34"/>
      <c r="G15" s="31" t="s">
        <v>248</v>
      </c>
    </row>
    <row r="16" ht="30" customHeight="1" spans="1:7">
      <c r="A16" s="10">
        <v>6</v>
      </c>
      <c r="B16" s="27" t="s">
        <v>242</v>
      </c>
      <c r="C16" s="32" t="s">
        <v>3400</v>
      </c>
      <c r="D16" s="33" t="s">
        <v>3400</v>
      </c>
      <c r="E16" s="32" t="s">
        <v>3401</v>
      </c>
      <c r="F16" s="34"/>
      <c r="G16" s="31" t="s">
        <v>248</v>
      </c>
    </row>
    <row r="17" ht="30" customHeight="1" spans="1:7">
      <c r="A17" s="10">
        <v>7</v>
      </c>
      <c r="B17" s="27" t="s">
        <v>242</v>
      </c>
      <c r="C17" s="32" t="s">
        <v>3402</v>
      </c>
      <c r="D17" s="33" t="s">
        <v>3402</v>
      </c>
      <c r="E17" s="32" t="s">
        <v>3403</v>
      </c>
      <c r="F17" s="34"/>
      <c r="G17" s="31" t="s">
        <v>248</v>
      </c>
    </row>
    <row r="18" ht="30" customHeight="1" spans="1:7">
      <c r="A18" s="10">
        <v>8</v>
      </c>
      <c r="B18" s="27" t="s">
        <v>242</v>
      </c>
      <c r="C18" s="32" t="s">
        <v>3404</v>
      </c>
      <c r="D18" s="33" t="s">
        <v>3404</v>
      </c>
      <c r="E18" s="32" t="s">
        <v>3405</v>
      </c>
      <c r="F18" s="32" t="s">
        <v>3406</v>
      </c>
      <c r="G18" s="31" t="s">
        <v>248</v>
      </c>
    </row>
    <row r="19" ht="30" customHeight="1" spans="1:12">
      <c r="A19" s="10">
        <v>9</v>
      </c>
      <c r="B19" s="27" t="s">
        <v>242</v>
      </c>
      <c r="C19" s="32" t="s">
        <v>3201</v>
      </c>
      <c r="D19" s="33" t="s">
        <v>3201</v>
      </c>
      <c r="E19" s="32" t="s">
        <v>3132</v>
      </c>
      <c r="F19" s="34"/>
      <c r="G19" s="31" t="s">
        <v>248</v>
      </c>
      <c r="I19" s="23" t="s">
        <v>264</v>
      </c>
      <c r="J19" s="23" t="s">
        <v>265</v>
      </c>
      <c r="K19" s="23" t="s">
        <v>3132</v>
      </c>
      <c r="L19" s="23" t="s">
        <v>365</v>
      </c>
    </row>
    <row r="20" ht="30" customHeight="1" spans="1:12">
      <c r="A20" s="10">
        <v>10</v>
      </c>
      <c r="B20" s="27" t="s">
        <v>242</v>
      </c>
      <c r="C20" s="32" t="s">
        <v>3135</v>
      </c>
      <c r="D20" s="33" t="s">
        <v>3135</v>
      </c>
      <c r="E20" s="32" t="s">
        <v>3136</v>
      </c>
      <c r="F20" s="34"/>
      <c r="G20" s="31" t="s">
        <v>248</v>
      </c>
      <c r="I20" s="23" t="s">
        <v>264</v>
      </c>
      <c r="J20" s="23" t="s">
        <v>265</v>
      </c>
      <c r="K20" s="23" t="s">
        <v>3136</v>
      </c>
      <c r="L20" s="23" t="s">
        <v>365</v>
      </c>
    </row>
    <row r="21" ht="30" customHeight="1" spans="1:7">
      <c r="A21" s="10">
        <v>11</v>
      </c>
      <c r="B21" s="27" t="s">
        <v>242</v>
      </c>
      <c r="C21" s="32" t="s">
        <v>3138</v>
      </c>
      <c r="D21" s="33" t="s">
        <v>3138</v>
      </c>
      <c r="E21" s="32" t="s">
        <v>3139</v>
      </c>
      <c r="F21" s="34"/>
      <c r="G21" s="31" t="s">
        <v>248</v>
      </c>
    </row>
    <row r="22" ht="30" customHeight="1" spans="1:7">
      <c r="A22" s="10">
        <v>12</v>
      </c>
      <c r="B22" s="27" t="s">
        <v>242</v>
      </c>
      <c r="C22" s="32" t="s">
        <v>3140</v>
      </c>
      <c r="D22" s="33" t="s">
        <v>3140</v>
      </c>
      <c r="E22" s="32" t="s">
        <v>3141</v>
      </c>
      <c r="F22" s="34"/>
      <c r="G22" s="31" t="s">
        <v>248</v>
      </c>
    </row>
    <row r="23" ht="30" customHeight="1" spans="1:7">
      <c r="A23" s="10">
        <v>13</v>
      </c>
      <c r="B23" s="27" t="s">
        <v>242</v>
      </c>
      <c r="C23" s="32" t="s">
        <v>3143</v>
      </c>
      <c r="D23" s="33" t="s">
        <v>3143</v>
      </c>
      <c r="E23" s="32" t="s">
        <v>3144</v>
      </c>
      <c r="F23" s="34"/>
      <c r="G23" s="31" t="s">
        <v>248</v>
      </c>
    </row>
    <row r="24" ht="30" customHeight="1" spans="1:7">
      <c r="A24" s="10">
        <v>14</v>
      </c>
      <c r="B24" s="27" t="s">
        <v>242</v>
      </c>
      <c r="C24" s="32" t="s">
        <v>3146</v>
      </c>
      <c r="D24" s="33" t="s">
        <v>3146</v>
      </c>
      <c r="E24" s="32" t="s">
        <v>3147</v>
      </c>
      <c r="F24" s="34"/>
      <c r="G24" s="31" t="s">
        <v>248</v>
      </c>
    </row>
    <row r="25" ht="30" customHeight="1" spans="1:7">
      <c r="A25" s="10">
        <v>15</v>
      </c>
      <c r="B25" s="27" t="s">
        <v>242</v>
      </c>
      <c r="C25" s="32" t="s">
        <v>3407</v>
      </c>
      <c r="D25" s="33" t="s">
        <v>3407</v>
      </c>
      <c r="E25" s="32" t="s">
        <v>3408</v>
      </c>
      <c r="F25" s="32" t="s">
        <v>3409</v>
      </c>
      <c r="G25" s="31" t="s">
        <v>248</v>
      </c>
    </row>
    <row r="26" ht="30" customHeight="1" spans="1:7">
      <c r="A26" s="10">
        <v>16</v>
      </c>
      <c r="B26" s="27" t="s">
        <v>242</v>
      </c>
      <c r="C26" s="32" t="s">
        <v>3410</v>
      </c>
      <c r="D26" s="33" t="s">
        <v>3410</v>
      </c>
      <c r="E26" s="32" t="s">
        <v>3411</v>
      </c>
      <c r="F26" s="32" t="s">
        <v>3412</v>
      </c>
      <c r="G26" s="31" t="s">
        <v>248</v>
      </c>
    </row>
    <row r="27" ht="30" customHeight="1" spans="1:7">
      <c r="A27" s="10">
        <v>17</v>
      </c>
      <c r="B27" s="27" t="s">
        <v>242</v>
      </c>
      <c r="C27" s="32" t="s">
        <v>3413</v>
      </c>
      <c r="D27" s="33" t="s">
        <v>3413</v>
      </c>
      <c r="E27" s="32" t="s">
        <v>3414</v>
      </c>
      <c r="F27" s="32" t="s">
        <v>3415</v>
      </c>
      <c r="G27" s="31" t="s">
        <v>248</v>
      </c>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 ref="H14" location="'教学仪器设备产品（物资）分类与代码'!A1" display="教学仪器设备 产品（物资） 分类与代码"/>
  </hyperlinks>
  <pageMargins left="0.699305555555556" right="0.699305555555556" top="0.75" bottom="0.75" header="0.3" footer="0.3"/>
  <pageSetup paperSize="9" orientation="portrait" horizontalDpi="200" verticalDpi="300"/>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5"/>
  <sheetViews>
    <sheetView topLeftCell="C12" workbookViewId="0">
      <selection activeCell="I31" sqref="I31"/>
    </sheetView>
  </sheetViews>
  <sheetFormatPr defaultColWidth="9" defaultRowHeight="13.5"/>
  <cols>
    <col min="1" max="1" width="6" customWidth="1"/>
    <col min="3" max="3" width="21.75" customWidth="1"/>
    <col min="4" max="4" width="20.75" customWidth="1"/>
    <col min="5" max="5" width="29.1666666666667" customWidth="1"/>
    <col min="6" max="6" width="11.5" customWidth="1"/>
    <col min="7" max="7" width="20.625" customWidth="1"/>
    <col min="8" max="8" width="10.875" customWidth="1"/>
    <col min="9" max="9" width="22.375" customWidth="1"/>
    <col min="11" max="11" width="22.375" customWidth="1"/>
    <col min="13" max="13" width="23.25" customWidth="1"/>
  </cols>
  <sheetData>
    <row r="1" ht="14.25" spans="1:8">
      <c r="A1" s="1" t="s">
        <v>223</v>
      </c>
      <c r="B1" s="2" t="s">
        <v>165</v>
      </c>
      <c r="C1" s="3"/>
      <c r="D1" s="3"/>
      <c r="E1" s="3"/>
      <c r="F1" s="3"/>
      <c r="G1" s="4"/>
      <c r="H1" s="2"/>
    </row>
    <row r="2" ht="14.25" spans="1:8">
      <c r="A2" s="5"/>
      <c r="B2" s="3"/>
      <c r="C2" s="3"/>
      <c r="D2" s="3"/>
      <c r="E2" s="3"/>
      <c r="F2" s="3"/>
      <c r="G2" s="4"/>
      <c r="H2" s="2"/>
    </row>
    <row r="3" ht="17.25" spans="1:8">
      <c r="A3" s="6" t="s">
        <v>225</v>
      </c>
      <c r="B3" s="6"/>
      <c r="C3" s="6"/>
      <c r="D3" s="6"/>
      <c r="E3" s="7"/>
      <c r="F3" s="6"/>
      <c r="G3" s="8"/>
      <c r="H3" s="9"/>
    </row>
    <row r="4" ht="17.25" spans="1:8">
      <c r="A4" s="10">
        <v>1</v>
      </c>
      <c r="B4" s="10" t="s">
        <v>226</v>
      </c>
      <c r="C4" s="10"/>
      <c r="D4" s="10"/>
      <c r="E4" s="10" t="s">
        <v>3416</v>
      </c>
      <c r="F4" s="11"/>
      <c r="G4" s="12"/>
      <c r="H4" s="13"/>
    </row>
    <row r="5" ht="17.25" spans="1:8">
      <c r="A5" s="10">
        <v>2</v>
      </c>
      <c r="B5" s="10" t="s">
        <v>228</v>
      </c>
      <c r="C5" s="10"/>
      <c r="D5" s="10"/>
      <c r="E5" s="10"/>
      <c r="F5" s="11"/>
      <c r="G5" s="12"/>
      <c r="H5" s="13"/>
    </row>
    <row r="6" ht="17.25" spans="1:8">
      <c r="A6" s="10">
        <v>3</v>
      </c>
      <c r="B6" s="10" t="s">
        <v>229</v>
      </c>
      <c r="C6" s="10"/>
      <c r="D6" s="10"/>
      <c r="E6" s="10"/>
      <c r="F6" s="11"/>
      <c r="G6" s="12"/>
      <c r="H6" s="13"/>
    </row>
    <row r="7" ht="17.25" spans="1:8">
      <c r="A7" s="10">
        <v>4</v>
      </c>
      <c r="B7" s="10" t="s">
        <v>231</v>
      </c>
      <c r="C7" s="10"/>
      <c r="D7" s="10"/>
      <c r="E7" s="10"/>
      <c r="F7" s="11"/>
      <c r="G7" s="12"/>
      <c r="H7" s="13"/>
    </row>
    <row r="8" ht="17.25" spans="1:8">
      <c r="A8" s="10">
        <v>5</v>
      </c>
      <c r="B8" s="10" t="s">
        <v>233</v>
      </c>
      <c r="C8" s="10"/>
      <c r="D8" s="10"/>
      <c r="E8" s="10"/>
      <c r="F8" s="11"/>
      <c r="G8" s="12"/>
      <c r="H8" s="13"/>
    </row>
    <row r="9" ht="17.25" spans="1:8">
      <c r="A9" s="6" t="s">
        <v>234</v>
      </c>
      <c r="B9" s="6"/>
      <c r="C9" s="6"/>
      <c r="D9" s="6"/>
      <c r="E9" s="7"/>
      <c r="F9" s="6"/>
      <c r="G9" s="8"/>
      <c r="H9" s="9"/>
    </row>
    <row r="10" ht="18" spans="1:8">
      <c r="A10" s="14"/>
      <c r="B10" s="15" t="s">
        <v>235</v>
      </c>
      <c r="C10" s="14" t="s">
        <v>236</v>
      </c>
      <c r="D10" s="16" t="s">
        <v>237</v>
      </c>
      <c r="E10" s="17" t="s">
        <v>238</v>
      </c>
      <c r="F10" s="14" t="s">
        <v>239</v>
      </c>
      <c r="G10" s="14" t="s">
        <v>240</v>
      </c>
      <c r="H10" s="17" t="s">
        <v>241</v>
      </c>
    </row>
    <row r="11" ht="27.75" spans="1:8">
      <c r="A11" s="10">
        <v>1</v>
      </c>
      <c r="B11" s="18" t="s">
        <v>242</v>
      </c>
      <c r="C11" s="19" t="s">
        <v>243</v>
      </c>
      <c r="D11" s="20" t="s">
        <v>243</v>
      </c>
      <c r="E11" t="s">
        <v>243</v>
      </c>
      <c r="F11" s="21"/>
      <c r="G11" s="22" t="s">
        <v>303</v>
      </c>
      <c r="H11" s="21"/>
    </row>
    <row r="12" ht="27.75" spans="1:8">
      <c r="A12" s="10">
        <v>2</v>
      </c>
      <c r="B12" s="18"/>
      <c r="C12" s="19" t="s">
        <v>3417</v>
      </c>
      <c r="D12" s="20" t="s">
        <v>3417</v>
      </c>
      <c r="E12" t="s">
        <v>983</v>
      </c>
      <c r="F12" s="21"/>
      <c r="G12" s="22" t="s">
        <v>303</v>
      </c>
      <c r="H12" s="21"/>
    </row>
    <row r="13" ht="27.75" spans="1:8">
      <c r="A13" s="10">
        <v>3</v>
      </c>
      <c r="B13" s="18"/>
      <c r="C13" s="19" t="s">
        <v>3418</v>
      </c>
      <c r="D13" s="20" t="s">
        <v>3418</v>
      </c>
      <c r="E13" t="s">
        <v>365</v>
      </c>
      <c r="F13" s="21"/>
      <c r="G13" s="22" t="s">
        <v>320</v>
      </c>
      <c r="H13" s="21"/>
    </row>
    <row r="14" ht="27.75" spans="1:12">
      <c r="A14" s="10">
        <v>4</v>
      </c>
      <c r="B14" s="18"/>
      <c r="C14" s="19" t="s">
        <v>3419</v>
      </c>
      <c r="D14" s="20" t="s">
        <v>3419</v>
      </c>
      <c r="E14" t="s">
        <v>3420</v>
      </c>
      <c r="F14" s="21"/>
      <c r="G14" s="22" t="s">
        <v>303</v>
      </c>
      <c r="H14" s="21"/>
      <c r="I14" t="s">
        <v>3421</v>
      </c>
      <c r="J14" t="s">
        <v>265</v>
      </c>
      <c r="L14" t="s">
        <v>365</v>
      </c>
    </row>
    <row r="15" ht="27.75" spans="1:8">
      <c r="A15" s="10">
        <v>5</v>
      </c>
      <c r="B15" s="18"/>
      <c r="C15" s="19" t="s">
        <v>3422</v>
      </c>
      <c r="D15" s="20" t="s">
        <v>3422</v>
      </c>
      <c r="E15" t="s">
        <v>3423</v>
      </c>
      <c r="F15" s="21"/>
      <c r="G15" s="22" t="s">
        <v>303</v>
      </c>
      <c r="H15" s="21"/>
    </row>
    <row r="16" ht="27.75" spans="1:8">
      <c r="A16" s="10">
        <v>6</v>
      </c>
      <c r="B16" s="18"/>
      <c r="C16" s="19" t="s">
        <v>3424</v>
      </c>
      <c r="D16" s="20" t="s">
        <v>3424</v>
      </c>
      <c r="E16" t="s">
        <v>3425</v>
      </c>
      <c r="F16" s="21"/>
      <c r="G16" s="22" t="s">
        <v>359</v>
      </c>
      <c r="H16" s="21"/>
    </row>
    <row r="17" ht="27.75" spans="1:12">
      <c r="A17" s="10">
        <v>7</v>
      </c>
      <c r="B17" s="18"/>
      <c r="C17" s="19" t="s">
        <v>3426</v>
      </c>
      <c r="D17" s="20" t="s">
        <v>3426</v>
      </c>
      <c r="E17" t="s">
        <v>3427</v>
      </c>
      <c r="F17" s="21"/>
      <c r="G17" s="22" t="s">
        <v>263</v>
      </c>
      <c r="H17" s="21"/>
      <c r="I17" t="s">
        <v>264</v>
      </c>
      <c r="J17" t="s">
        <v>265</v>
      </c>
      <c r="K17" t="s">
        <v>3427</v>
      </c>
      <c r="L17" t="s">
        <v>365</v>
      </c>
    </row>
    <row r="18" ht="27.75" spans="1:12">
      <c r="A18" s="10">
        <v>8</v>
      </c>
      <c r="B18" s="18"/>
      <c r="C18" s="19" t="s">
        <v>3428</v>
      </c>
      <c r="D18" s="20" t="s">
        <v>3428</v>
      </c>
      <c r="E18" t="s">
        <v>2869</v>
      </c>
      <c r="F18" s="21"/>
      <c r="G18" s="22" t="s">
        <v>263</v>
      </c>
      <c r="H18" s="21"/>
      <c r="I18" t="s">
        <v>264</v>
      </c>
      <c r="J18" t="s">
        <v>265</v>
      </c>
      <c r="K18" t="s">
        <v>2869</v>
      </c>
      <c r="L18" t="s">
        <v>365</v>
      </c>
    </row>
    <row r="19" ht="27.75" spans="1:8">
      <c r="A19" s="10">
        <v>9</v>
      </c>
      <c r="B19" s="18"/>
      <c r="C19" s="19" t="s">
        <v>3407</v>
      </c>
      <c r="D19" s="20" t="s">
        <v>3407</v>
      </c>
      <c r="E19" t="s">
        <v>3429</v>
      </c>
      <c r="F19" s="21"/>
      <c r="G19" s="22" t="s">
        <v>3430</v>
      </c>
      <c r="H19" s="21"/>
    </row>
    <row r="20" ht="27.75" spans="1:8">
      <c r="A20" s="10">
        <v>10</v>
      </c>
      <c r="B20" s="18"/>
      <c r="C20" s="19" t="s">
        <v>3431</v>
      </c>
      <c r="D20" s="20" t="s">
        <v>3431</v>
      </c>
      <c r="E20" t="s">
        <v>3432</v>
      </c>
      <c r="F20" s="21"/>
      <c r="G20" s="22" t="s">
        <v>263</v>
      </c>
      <c r="H20" s="21"/>
    </row>
    <row r="21" ht="27.75" spans="1:8">
      <c r="A21" s="10">
        <v>11</v>
      </c>
      <c r="B21" s="18"/>
      <c r="C21" s="19" t="s">
        <v>3433</v>
      </c>
      <c r="D21" s="20" t="s">
        <v>3433</v>
      </c>
      <c r="E21" t="s">
        <v>279</v>
      </c>
      <c r="F21" s="21"/>
      <c r="G21" s="22" t="s">
        <v>3430</v>
      </c>
      <c r="H21" s="21"/>
    </row>
    <row r="22" ht="27.75" spans="1:8">
      <c r="A22" s="10">
        <v>12</v>
      </c>
      <c r="B22" s="18"/>
      <c r="C22" s="19" t="s">
        <v>3434</v>
      </c>
      <c r="D22" s="20" t="s">
        <v>3434</v>
      </c>
      <c r="E22" t="s">
        <v>3435</v>
      </c>
      <c r="F22" s="21"/>
      <c r="G22" s="22" t="s">
        <v>3430</v>
      </c>
      <c r="H22" s="21"/>
    </row>
    <row r="23" ht="27.75" spans="1:8">
      <c r="A23" s="10">
        <v>13</v>
      </c>
      <c r="B23" s="18"/>
      <c r="C23" s="19" t="s">
        <v>3436</v>
      </c>
      <c r="D23" s="20" t="s">
        <v>3436</v>
      </c>
      <c r="E23" t="s">
        <v>3437</v>
      </c>
      <c r="F23" s="21"/>
      <c r="G23" s="22" t="s">
        <v>3430</v>
      </c>
      <c r="H23" s="21"/>
    </row>
    <row r="24" ht="27.75" spans="1:12">
      <c r="A24" s="10">
        <v>14</v>
      </c>
      <c r="B24" s="18"/>
      <c r="C24" s="19" t="s">
        <v>3438</v>
      </c>
      <c r="D24" s="20" t="s">
        <v>3438</v>
      </c>
      <c r="E24" t="s">
        <v>3439</v>
      </c>
      <c r="F24" s="21"/>
      <c r="G24" s="22" t="s">
        <v>248</v>
      </c>
      <c r="H24" s="21"/>
      <c r="I24" t="s">
        <v>352</v>
      </c>
      <c r="J24" t="s">
        <v>353</v>
      </c>
      <c r="L24" t="s">
        <v>365</v>
      </c>
    </row>
    <row r="25" ht="27.75" spans="1:12">
      <c r="A25" s="10">
        <v>15</v>
      </c>
      <c r="B25" s="18"/>
      <c r="C25" s="19" t="s">
        <v>3440</v>
      </c>
      <c r="D25" s="20" t="s">
        <v>3440</v>
      </c>
      <c r="E25" t="s">
        <v>3441</v>
      </c>
      <c r="F25" s="21"/>
      <c r="G25" s="22" t="s">
        <v>248</v>
      </c>
      <c r="H25" s="21"/>
      <c r="I25" t="s">
        <v>258</v>
      </c>
      <c r="J25" t="s">
        <v>243</v>
      </c>
      <c r="L25" t="s">
        <v>365</v>
      </c>
    </row>
    <row r="26" ht="27.75" spans="1:12">
      <c r="A26" s="10">
        <v>16</v>
      </c>
      <c r="B26" s="18"/>
      <c r="C26" s="19" t="s">
        <v>3442</v>
      </c>
      <c r="D26" s="20" t="s">
        <v>3442</v>
      </c>
      <c r="E26" t="s">
        <v>3211</v>
      </c>
      <c r="F26" s="21"/>
      <c r="G26" s="22" t="s">
        <v>248</v>
      </c>
      <c r="H26" s="21"/>
      <c r="I26" t="s">
        <v>264</v>
      </c>
      <c r="J26" t="s">
        <v>265</v>
      </c>
      <c r="K26" t="s">
        <v>3211</v>
      </c>
      <c r="L26" t="s">
        <v>365</v>
      </c>
    </row>
    <row r="27" ht="27.75" spans="1:12">
      <c r="A27" s="10">
        <v>17</v>
      </c>
      <c r="B27" s="18"/>
      <c r="C27" s="19" t="s">
        <v>3346</v>
      </c>
      <c r="D27" s="20" t="s">
        <v>3346</v>
      </c>
      <c r="E27" t="s">
        <v>3136</v>
      </c>
      <c r="F27" s="21"/>
      <c r="G27" s="22" t="s">
        <v>248</v>
      </c>
      <c r="H27" s="21"/>
      <c r="I27" t="s">
        <v>264</v>
      </c>
      <c r="J27" t="s">
        <v>265</v>
      </c>
      <c r="K27" t="s">
        <v>3136</v>
      </c>
      <c r="L27" t="s">
        <v>365</v>
      </c>
    </row>
    <row r="28" ht="27.75" spans="1:12">
      <c r="A28" s="10">
        <v>18</v>
      </c>
      <c r="B28" s="18"/>
      <c r="C28" s="19" t="s">
        <v>3443</v>
      </c>
      <c r="D28" s="20" t="s">
        <v>3443</v>
      </c>
      <c r="E28" t="s">
        <v>3444</v>
      </c>
      <c r="F28" s="21"/>
      <c r="G28" s="22" t="s">
        <v>248</v>
      </c>
      <c r="H28" s="21"/>
      <c r="I28" t="s">
        <v>264</v>
      </c>
      <c r="J28" t="s">
        <v>265</v>
      </c>
      <c r="K28" t="s">
        <v>3444</v>
      </c>
      <c r="L28" t="s">
        <v>365</v>
      </c>
    </row>
    <row r="29" ht="27.75" spans="1:12">
      <c r="A29" s="10">
        <v>19</v>
      </c>
      <c r="B29" s="18"/>
      <c r="C29" s="19" t="s">
        <v>3445</v>
      </c>
      <c r="D29" s="20" t="s">
        <v>3445</v>
      </c>
      <c r="E29" t="s">
        <v>3446</v>
      </c>
      <c r="F29" s="21"/>
      <c r="G29" s="22" t="s">
        <v>248</v>
      </c>
      <c r="H29" s="21"/>
      <c r="I29" t="s">
        <v>264</v>
      </c>
      <c r="J29" t="s">
        <v>265</v>
      </c>
      <c r="K29" t="s">
        <v>3446</v>
      </c>
      <c r="L29" t="s">
        <v>365</v>
      </c>
    </row>
    <row r="30" ht="27.75" spans="1:12">
      <c r="A30" s="10">
        <v>20</v>
      </c>
      <c r="B30" s="18"/>
      <c r="C30" s="19" t="s">
        <v>3447</v>
      </c>
      <c r="D30" s="20" t="s">
        <v>3447</v>
      </c>
      <c r="E30" t="s">
        <v>3448</v>
      </c>
      <c r="F30" s="21"/>
      <c r="G30" s="22" t="s">
        <v>248</v>
      </c>
      <c r="H30" s="21"/>
      <c r="I30" t="s">
        <v>264</v>
      </c>
      <c r="J30" t="s">
        <v>265</v>
      </c>
      <c r="K30" t="s">
        <v>3448</v>
      </c>
      <c r="L30" t="s">
        <v>365</v>
      </c>
    </row>
    <row r="31" ht="27.75" spans="1:12">
      <c r="A31" s="10">
        <v>21</v>
      </c>
      <c r="B31" s="18"/>
      <c r="C31" s="19" t="s">
        <v>3449</v>
      </c>
      <c r="D31" s="20" t="s">
        <v>3449</v>
      </c>
      <c r="E31" t="s">
        <v>3450</v>
      </c>
      <c r="F31" s="21"/>
      <c r="G31" s="22" t="s">
        <v>248</v>
      </c>
      <c r="H31" s="21"/>
      <c r="I31" t="s">
        <v>3421</v>
      </c>
      <c r="J31" t="s">
        <v>265</v>
      </c>
      <c r="L31" t="s">
        <v>365</v>
      </c>
    </row>
    <row r="32" ht="27.75" spans="1:12">
      <c r="A32" s="10">
        <v>22</v>
      </c>
      <c r="B32" s="18"/>
      <c r="C32" s="19" t="s">
        <v>3451</v>
      </c>
      <c r="D32" s="20" t="s">
        <v>3451</v>
      </c>
      <c r="E32" t="s">
        <v>3452</v>
      </c>
      <c r="F32" s="21"/>
      <c r="G32" s="22" t="s">
        <v>248</v>
      </c>
      <c r="H32" s="21"/>
      <c r="I32" t="s">
        <v>3453</v>
      </c>
      <c r="J32" t="s">
        <v>265</v>
      </c>
      <c r="L32" t="s">
        <v>365</v>
      </c>
    </row>
    <row r="33" ht="27.75" spans="1:8">
      <c r="A33" s="10">
        <v>23</v>
      </c>
      <c r="B33" s="18"/>
      <c r="C33" s="19" t="s">
        <v>3138</v>
      </c>
      <c r="D33" s="20" t="s">
        <v>3138</v>
      </c>
      <c r="E33" t="s">
        <v>3454</v>
      </c>
      <c r="F33" s="21"/>
      <c r="G33" s="22" t="s">
        <v>248</v>
      </c>
      <c r="H33" s="21"/>
    </row>
    <row r="34" ht="27.75" spans="1:8">
      <c r="A34" s="10">
        <v>24</v>
      </c>
      <c r="B34" s="18"/>
      <c r="C34" s="19" t="s">
        <v>3455</v>
      </c>
      <c r="D34" s="20" t="s">
        <v>3455</v>
      </c>
      <c r="E34" t="s">
        <v>3456</v>
      </c>
      <c r="F34" s="21"/>
      <c r="G34" s="22" t="s">
        <v>248</v>
      </c>
      <c r="H34" s="21"/>
    </row>
    <row r="35" ht="27.75" spans="1:8">
      <c r="A35" s="10">
        <v>25</v>
      </c>
      <c r="B35" s="18"/>
      <c r="C35" s="19" t="s">
        <v>3457</v>
      </c>
      <c r="D35" s="20" t="s">
        <v>3457</v>
      </c>
      <c r="E35" t="s">
        <v>3458</v>
      </c>
      <c r="F35" s="21"/>
      <c r="G35" s="22" t="s">
        <v>248</v>
      </c>
      <c r="H35" s="21"/>
    </row>
    <row r="36" ht="27.75" spans="1:12">
      <c r="A36" s="10">
        <v>26</v>
      </c>
      <c r="B36" s="18"/>
      <c r="C36" s="19" t="s">
        <v>3459</v>
      </c>
      <c r="D36" s="20" t="s">
        <v>3459</v>
      </c>
      <c r="E36" t="s">
        <v>3460</v>
      </c>
      <c r="F36" s="21"/>
      <c r="G36" s="22" t="s">
        <v>248</v>
      </c>
      <c r="H36" s="21"/>
      <c r="I36" t="s">
        <v>352</v>
      </c>
      <c r="J36" t="s">
        <v>353</v>
      </c>
      <c r="L36" t="s">
        <v>365</v>
      </c>
    </row>
    <row r="37" ht="27.75" spans="1:8">
      <c r="A37" s="10">
        <v>27</v>
      </c>
      <c r="B37" s="18"/>
      <c r="C37" s="19" t="s">
        <v>3461</v>
      </c>
      <c r="D37" s="20" t="s">
        <v>3461</v>
      </c>
      <c r="E37" t="s">
        <v>3462</v>
      </c>
      <c r="F37" s="21"/>
      <c r="G37" s="22" t="s">
        <v>248</v>
      </c>
      <c r="H37" s="21"/>
    </row>
    <row r="38" ht="27.75" spans="1:12">
      <c r="A38" s="10">
        <v>28</v>
      </c>
      <c r="B38" s="18"/>
      <c r="C38" s="19" t="s">
        <v>3463</v>
      </c>
      <c r="D38" s="20" t="s">
        <v>3463</v>
      </c>
      <c r="E38" t="s">
        <v>3464</v>
      </c>
      <c r="F38" s="21"/>
      <c r="G38" s="22" t="s">
        <v>248</v>
      </c>
      <c r="H38" s="21"/>
      <c r="I38" t="s">
        <v>352</v>
      </c>
      <c r="J38" t="s">
        <v>353</v>
      </c>
      <c r="L38" t="s">
        <v>365</v>
      </c>
    </row>
    <row r="39" ht="27.75" spans="1:12">
      <c r="A39" s="10">
        <v>29</v>
      </c>
      <c r="B39" s="18"/>
      <c r="C39" s="19" t="s">
        <v>3465</v>
      </c>
      <c r="D39" s="20" t="s">
        <v>3465</v>
      </c>
      <c r="E39" t="s">
        <v>3466</v>
      </c>
      <c r="F39" s="21"/>
      <c r="G39" s="22" t="s">
        <v>248</v>
      </c>
      <c r="H39" s="21"/>
      <c r="I39" t="s">
        <v>352</v>
      </c>
      <c r="J39" t="s">
        <v>353</v>
      </c>
      <c r="L39" t="s">
        <v>365</v>
      </c>
    </row>
    <row r="40" ht="27.75" spans="1:12">
      <c r="A40" s="10">
        <v>30</v>
      </c>
      <c r="B40" s="18"/>
      <c r="C40" s="19" t="s">
        <v>3467</v>
      </c>
      <c r="D40" s="20" t="s">
        <v>3467</v>
      </c>
      <c r="E40" t="s">
        <v>3468</v>
      </c>
      <c r="F40" s="21"/>
      <c r="G40" s="22" t="s">
        <v>248</v>
      </c>
      <c r="H40" s="21"/>
      <c r="I40" t="s">
        <v>258</v>
      </c>
      <c r="J40" t="s">
        <v>243</v>
      </c>
      <c r="L40" t="s">
        <v>365</v>
      </c>
    </row>
    <row r="41" ht="27.75" spans="1:8">
      <c r="A41" s="10">
        <v>31</v>
      </c>
      <c r="B41" s="18"/>
      <c r="C41" s="19" t="s">
        <v>3469</v>
      </c>
      <c r="D41" s="20" t="s">
        <v>3469</v>
      </c>
      <c r="E41" t="s">
        <v>3470</v>
      </c>
      <c r="F41" s="21"/>
      <c r="G41" s="22" t="s">
        <v>455</v>
      </c>
      <c r="H41" s="21"/>
    </row>
    <row r="42" ht="27.75" spans="1:8">
      <c r="A42" s="10">
        <v>32</v>
      </c>
      <c r="B42" s="18"/>
      <c r="C42" s="19" t="s">
        <v>3471</v>
      </c>
      <c r="D42" s="20" t="s">
        <v>3471</v>
      </c>
      <c r="E42" t="s">
        <v>3472</v>
      </c>
      <c r="F42" s="21"/>
      <c r="G42" s="22" t="s">
        <v>3430</v>
      </c>
      <c r="H42" s="21"/>
    </row>
    <row r="43" ht="27.75" spans="1:8">
      <c r="A43" s="10">
        <v>33</v>
      </c>
      <c r="B43" s="18"/>
      <c r="C43" s="19" t="s">
        <v>3473</v>
      </c>
      <c r="D43" s="20" t="s">
        <v>3473</v>
      </c>
      <c r="E43" t="s">
        <v>3474</v>
      </c>
      <c r="F43" s="21"/>
      <c r="G43" s="22" t="s">
        <v>472</v>
      </c>
      <c r="H43" s="21"/>
    </row>
    <row r="44" ht="27.75" spans="1:8">
      <c r="A44" s="10">
        <v>34</v>
      </c>
      <c r="B44" s="18"/>
      <c r="C44" s="19" t="s">
        <v>3475</v>
      </c>
      <c r="D44" s="20" t="s">
        <v>3475</v>
      </c>
      <c r="E44" t="s">
        <v>3476</v>
      </c>
      <c r="F44" s="21"/>
      <c r="G44" s="22" t="s">
        <v>320</v>
      </c>
      <c r="H44" s="21"/>
    </row>
    <row r="45" ht="27.75" spans="1:8">
      <c r="A45" s="10">
        <v>35</v>
      </c>
      <c r="B45" s="18"/>
      <c r="C45" s="19" t="s">
        <v>3477</v>
      </c>
      <c r="D45" s="20" t="s">
        <v>3477</v>
      </c>
      <c r="E45" t="s">
        <v>3478</v>
      </c>
      <c r="F45" s="21"/>
      <c r="G45" s="22" t="s">
        <v>1352</v>
      </c>
      <c r="H45" s="21"/>
    </row>
    <row r="46" ht="27.75" spans="1:8">
      <c r="A46" s="10">
        <v>36</v>
      </c>
      <c r="B46" s="18"/>
      <c r="C46" s="19" t="s">
        <v>3479</v>
      </c>
      <c r="D46" s="20" t="s">
        <v>3479</v>
      </c>
      <c r="E46" t="s">
        <v>3480</v>
      </c>
      <c r="F46" s="21"/>
      <c r="G46" s="22" t="s">
        <v>1352</v>
      </c>
      <c r="H46" s="21"/>
    </row>
    <row r="47" ht="27.75" spans="1:8">
      <c r="A47" s="10">
        <v>37</v>
      </c>
      <c r="B47" s="18"/>
      <c r="C47" s="19" t="s">
        <v>3140</v>
      </c>
      <c r="D47" s="20" t="s">
        <v>3140</v>
      </c>
      <c r="E47" t="s">
        <v>3481</v>
      </c>
      <c r="F47" s="21"/>
      <c r="G47" s="22" t="s">
        <v>1352</v>
      </c>
      <c r="H47" s="21"/>
    </row>
    <row r="48" ht="27.75" spans="1:8">
      <c r="A48" s="10">
        <v>38</v>
      </c>
      <c r="B48" s="18"/>
      <c r="C48" s="19" t="s">
        <v>3482</v>
      </c>
      <c r="D48" s="20" t="s">
        <v>3482</v>
      </c>
      <c r="E48" t="s">
        <v>3483</v>
      </c>
      <c r="F48" s="21"/>
      <c r="G48" s="22" t="s">
        <v>1352</v>
      </c>
      <c r="H48" s="21"/>
    </row>
    <row r="49" ht="27.75" spans="1:12">
      <c r="A49" s="10">
        <v>39</v>
      </c>
      <c r="B49" s="18"/>
      <c r="C49" s="19" t="s">
        <v>3484</v>
      </c>
      <c r="D49" s="20" t="s">
        <v>3484</v>
      </c>
      <c r="E49" t="s">
        <v>3485</v>
      </c>
      <c r="F49" s="21"/>
      <c r="G49" s="22" t="s">
        <v>248</v>
      </c>
      <c r="H49" s="21"/>
      <c r="I49" t="s">
        <v>264</v>
      </c>
      <c r="J49" t="s">
        <v>265</v>
      </c>
      <c r="K49" t="s">
        <v>3485</v>
      </c>
      <c r="L49" t="s">
        <v>365</v>
      </c>
    </row>
    <row r="50" ht="27.75" spans="1:12">
      <c r="A50" s="10">
        <v>40</v>
      </c>
      <c r="B50" s="18"/>
      <c r="C50" s="19" t="s">
        <v>3486</v>
      </c>
      <c r="D50" s="20" t="s">
        <v>3486</v>
      </c>
      <c r="E50" t="s">
        <v>3487</v>
      </c>
      <c r="F50" s="21"/>
      <c r="G50" s="22" t="s">
        <v>248</v>
      </c>
      <c r="H50" s="21"/>
      <c r="I50" t="s">
        <v>264</v>
      </c>
      <c r="J50" t="s">
        <v>265</v>
      </c>
      <c r="K50" t="s">
        <v>3487</v>
      </c>
      <c r="L50" t="s">
        <v>365</v>
      </c>
    </row>
    <row r="51" ht="27.75" spans="1:8">
      <c r="A51" s="10">
        <v>41</v>
      </c>
      <c r="B51" s="18"/>
      <c r="C51" s="19" t="s">
        <v>3488</v>
      </c>
      <c r="D51" s="20" t="s">
        <v>3488</v>
      </c>
      <c r="E51" t="s">
        <v>3489</v>
      </c>
      <c r="F51" s="21"/>
      <c r="G51" s="22" t="s">
        <v>3430</v>
      </c>
      <c r="H51" s="21"/>
    </row>
    <row r="52" ht="27.75" spans="1:8">
      <c r="A52" s="10">
        <v>42</v>
      </c>
      <c r="B52" s="18"/>
      <c r="C52" s="19" t="s">
        <v>3490</v>
      </c>
      <c r="D52" s="20" t="s">
        <v>3490</v>
      </c>
      <c r="E52" t="s">
        <v>3491</v>
      </c>
      <c r="F52" s="21"/>
      <c r="G52" s="22" t="s">
        <v>303</v>
      </c>
      <c r="H52" s="21"/>
    </row>
    <row r="53" ht="27.75" spans="1:8">
      <c r="A53" s="10">
        <v>43</v>
      </c>
      <c r="B53" s="18"/>
      <c r="C53" s="19" t="s">
        <v>3492</v>
      </c>
      <c r="D53" s="20" t="s">
        <v>3492</v>
      </c>
      <c r="E53" t="s">
        <v>3493</v>
      </c>
      <c r="F53" s="21"/>
      <c r="G53" s="22" t="s">
        <v>303</v>
      </c>
      <c r="H53" s="21"/>
    </row>
    <row r="54" ht="27.75" spans="1:12">
      <c r="A54" s="10">
        <v>44</v>
      </c>
      <c r="B54" s="18"/>
      <c r="C54" s="19" t="s">
        <v>3494</v>
      </c>
      <c r="D54" s="20" t="s">
        <v>3494</v>
      </c>
      <c r="E54" t="s">
        <v>3495</v>
      </c>
      <c r="F54" s="21"/>
      <c r="G54" s="22" t="s">
        <v>248</v>
      </c>
      <c r="H54" s="21"/>
      <c r="I54" t="s">
        <v>352</v>
      </c>
      <c r="J54" t="s">
        <v>353</v>
      </c>
      <c r="L54" t="s">
        <v>365</v>
      </c>
    </row>
    <row r="55" ht="27.75" spans="1:8">
      <c r="A55" s="10">
        <v>45</v>
      </c>
      <c r="B55" s="18"/>
      <c r="C55" s="19" t="s">
        <v>3496</v>
      </c>
      <c r="D55" s="20" t="s">
        <v>3496</v>
      </c>
      <c r="E55" t="s">
        <v>3497</v>
      </c>
      <c r="F55" s="21"/>
      <c r="G55" s="22" t="s">
        <v>263</v>
      </c>
      <c r="H55" s="21"/>
    </row>
  </sheetData>
  <mergeCells count="13">
    <mergeCell ref="A3:H3"/>
    <mergeCell ref="B4:C4"/>
    <mergeCell ref="E4:H4"/>
    <mergeCell ref="B5:C5"/>
    <mergeCell ref="E5:H5"/>
    <mergeCell ref="B6:C6"/>
    <mergeCell ref="E6:H6"/>
    <mergeCell ref="B7:C7"/>
    <mergeCell ref="E7:H7"/>
    <mergeCell ref="B8:C8"/>
    <mergeCell ref="E8:H8"/>
    <mergeCell ref="A9:H9"/>
    <mergeCell ref="B1:H2"/>
  </mergeCells>
  <hyperlinks>
    <hyperlink ref="A1" location="总览!A1" display="首页"/>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181</vt:i4>
      </vt:variant>
    </vt:vector>
  </HeadingPairs>
  <TitlesOfParts>
    <vt:vector size="181" baseType="lpstr">
      <vt:lpstr>总览</vt:lpstr>
      <vt:lpstr>勤工助学信息</vt:lpstr>
      <vt:lpstr>困难补助信息</vt:lpstr>
      <vt:lpstr>顶岗实习</vt:lpstr>
      <vt:lpstr>顶岗实习-学生实习信息</vt:lpstr>
      <vt:lpstr>顶岗实习-实习单位</vt:lpstr>
      <vt:lpstr>顶岗实习-实习批次</vt:lpstr>
      <vt:lpstr>顶岗实习-学生考勤信息</vt:lpstr>
      <vt:lpstr>顶岗实习-学生考勤统计</vt:lpstr>
      <vt:lpstr>顶岗实习-班级考勤统计</vt:lpstr>
      <vt:lpstr>顶岗实习-学生请假信息</vt:lpstr>
      <vt:lpstr>顶岗实习-学生实习总结</vt:lpstr>
      <vt:lpstr>顶岗实习-学生实习汇报</vt:lpstr>
      <vt:lpstr>校区基本信息</vt:lpstr>
      <vt:lpstr>组织机构-教研室-课程</vt:lpstr>
      <vt:lpstr>教研团队</vt:lpstr>
      <vt:lpstr>教研团队-成员</vt:lpstr>
      <vt:lpstr>招生-招生计划</vt:lpstr>
      <vt:lpstr>招生录取表</vt:lpstr>
      <vt:lpstr>迎新报到表</vt:lpstr>
      <vt:lpstr>新生录取报到-统招</vt:lpstr>
      <vt:lpstr>新生录取报到-统招高考成绩</vt:lpstr>
      <vt:lpstr>新生录取报到-统招批次分数线</vt:lpstr>
      <vt:lpstr>新生录取报到-统招一分一段表</vt:lpstr>
      <vt:lpstr>新生录取报到-非统招</vt:lpstr>
      <vt:lpstr>就业信息表</vt:lpstr>
      <vt:lpstr>一卡通卡信息</vt:lpstr>
      <vt:lpstr>（AI不要）一卡通持卡人身份</vt:lpstr>
      <vt:lpstr>一卡通商户信息</vt:lpstr>
      <vt:lpstr>（AI不要）一卡通刷卡端口信息</vt:lpstr>
      <vt:lpstr>（AI不要）一卡通消费类型信息</vt:lpstr>
      <vt:lpstr>一卡通消费信息</vt:lpstr>
      <vt:lpstr>一卡通充值信息</vt:lpstr>
      <vt:lpstr>宿管门禁记录</vt:lpstr>
      <vt:lpstr>宿管门禁卡</vt:lpstr>
      <vt:lpstr>校园门禁卡信息</vt:lpstr>
      <vt:lpstr>校园门禁点信息</vt:lpstr>
      <vt:lpstr>校园门禁设备信息</vt:lpstr>
      <vt:lpstr>校园门禁读卡器信息</vt:lpstr>
      <vt:lpstr>校园门禁记录</vt:lpstr>
      <vt:lpstr>支付宝卡信息</vt:lpstr>
      <vt:lpstr>图书馆门禁记录</vt:lpstr>
      <vt:lpstr>图书-图书基本信息</vt:lpstr>
      <vt:lpstr>图书-图书借阅基本信息</vt:lpstr>
      <vt:lpstr>宿舍楼基本信息</vt:lpstr>
      <vt:lpstr>宿舍楼-管理员</vt:lpstr>
      <vt:lpstr>宿舍楼层信息</vt:lpstr>
      <vt:lpstr>宿舍基本信息</vt:lpstr>
      <vt:lpstr>宿舍床位基本信息</vt:lpstr>
      <vt:lpstr>教师技能证书表</vt:lpstr>
      <vt:lpstr>教师参赛获奖信息</vt:lpstr>
      <vt:lpstr>教师参赛成员</vt:lpstr>
      <vt:lpstr>行政获奖信息表</vt:lpstr>
      <vt:lpstr>培训进修记录</vt:lpstr>
      <vt:lpstr>社会实践记录表</vt:lpstr>
      <vt:lpstr>挂职锻炼表</vt:lpstr>
      <vt:lpstr>工作经历表</vt:lpstr>
      <vt:lpstr>名师信息表</vt:lpstr>
      <vt:lpstr>名师团队表</vt:lpstr>
      <vt:lpstr>名师团队成员表</vt:lpstr>
      <vt:lpstr>出版教材表</vt:lpstr>
      <vt:lpstr>出版教材参编人员</vt:lpstr>
      <vt:lpstr>出版教材支撑课程</vt:lpstr>
      <vt:lpstr>教师国境外访学</vt:lpstr>
      <vt:lpstr>论文信息</vt:lpstr>
      <vt:lpstr>论文作者信息</vt:lpstr>
      <vt:lpstr>论文转载信息</vt:lpstr>
      <vt:lpstr>论文收录信息</vt:lpstr>
      <vt:lpstr>纵向项目</vt:lpstr>
      <vt:lpstr>横向项目</vt:lpstr>
      <vt:lpstr>项目人员信息</vt:lpstr>
      <vt:lpstr>著作</vt:lpstr>
      <vt:lpstr>著作人员</vt:lpstr>
      <vt:lpstr>专利</vt:lpstr>
      <vt:lpstr>专利人员信息</vt:lpstr>
      <vt:lpstr>获奖成果信息</vt:lpstr>
      <vt:lpstr>获奖成果人员</vt:lpstr>
      <vt:lpstr>鉴定成果信息</vt:lpstr>
      <vt:lpstr>鉴定成果成员</vt:lpstr>
      <vt:lpstr>鉴定成果形式</vt:lpstr>
      <vt:lpstr>文艺作品</vt:lpstr>
      <vt:lpstr>文艺作品成员</vt:lpstr>
      <vt:lpstr>技术服务到款</vt:lpstr>
      <vt:lpstr>专利转化到款</vt:lpstr>
      <vt:lpstr>部门科研得分</vt:lpstr>
      <vt:lpstr>学术讲座</vt:lpstr>
      <vt:lpstr>研究机构</vt:lpstr>
      <vt:lpstr>研究机构-成员</vt:lpstr>
      <vt:lpstr>科研-横向-中期检查</vt:lpstr>
      <vt:lpstr>著作权</vt:lpstr>
      <vt:lpstr>著作权-成员</vt:lpstr>
      <vt:lpstr>学生基本扩展信息</vt:lpstr>
      <vt:lpstr>学生评优信息</vt:lpstr>
      <vt:lpstr>学生贷款信息</vt:lpstr>
      <vt:lpstr>学生奖学金</vt:lpstr>
      <vt:lpstr>学生助学金</vt:lpstr>
      <vt:lpstr>困难生信息</vt:lpstr>
      <vt:lpstr>违纪处分</vt:lpstr>
      <vt:lpstr>学生资格证书信息</vt:lpstr>
      <vt:lpstr>扩展信息-证书颁发机构</vt:lpstr>
      <vt:lpstr>扩展信息 - 职业技能鉴定记录</vt:lpstr>
      <vt:lpstr>学生参赛信息</vt:lpstr>
      <vt:lpstr>学生比赛-参赛学生</vt:lpstr>
      <vt:lpstr>学生比赛-指导教师</vt:lpstr>
      <vt:lpstr>体能测试</vt:lpstr>
      <vt:lpstr>学生心理健康信息</vt:lpstr>
      <vt:lpstr>学生历次心理健康测试信息</vt:lpstr>
      <vt:lpstr>学生床位变动信息</vt:lpstr>
      <vt:lpstr>床位基本信息</vt:lpstr>
      <vt:lpstr>校企合作-合作企业</vt:lpstr>
      <vt:lpstr>企业订单培养</vt:lpstr>
      <vt:lpstr>企业订单培养-学生</vt:lpstr>
      <vt:lpstr>学徒制培养</vt:lpstr>
      <vt:lpstr>学徒制培养-学生</vt:lpstr>
      <vt:lpstr>企业接受毕业生</vt:lpstr>
      <vt:lpstr>选课课程信息</vt:lpstr>
      <vt:lpstr>学生选课信息</vt:lpstr>
      <vt:lpstr>学生选课学分统计</vt:lpstr>
      <vt:lpstr>综合成绩表</vt:lpstr>
      <vt:lpstr>历次考试成绩表</vt:lpstr>
      <vt:lpstr>课堂教学-点名</vt:lpstr>
      <vt:lpstr>调停课信息</vt:lpstr>
      <vt:lpstr>课堂教学-点名-学生签到</vt:lpstr>
      <vt:lpstr>!课堂教学-消息</vt:lpstr>
      <vt:lpstr>！课堂教学-消息-学生阅读情况</vt:lpstr>
      <vt:lpstr>课堂教学-知识树</vt:lpstr>
      <vt:lpstr>课堂教学-题库-材料</vt:lpstr>
      <vt:lpstr>课堂教学-题库-题干</vt:lpstr>
      <vt:lpstr>课堂教学-题库-选项</vt:lpstr>
      <vt:lpstr>课堂教学-资源</vt:lpstr>
      <vt:lpstr>课堂教学-资源-学生浏览情况</vt:lpstr>
      <vt:lpstr>课堂教学-活动总表</vt:lpstr>
      <vt:lpstr>课堂教学-活动学生参与情况总表</vt:lpstr>
      <vt:lpstr>课堂教学-活动-即时问答-选项</vt:lpstr>
      <vt:lpstr>课堂教学-活动-头脑风暴-评论</vt:lpstr>
      <vt:lpstr>课堂教学-活动-头脑风暴-评论回复</vt:lpstr>
      <vt:lpstr>课堂教学-活动-头脑风暴-标签</vt:lpstr>
      <vt:lpstr>课堂教学-活动-随堂测验</vt:lpstr>
      <vt:lpstr>课堂教学-活动-随堂测验-试题</vt:lpstr>
      <vt:lpstr>课堂教学-活动-随堂测验-学生答题</vt:lpstr>
      <vt:lpstr>课堂教学-活动-随堂测验-学生答题明细</vt:lpstr>
      <vt:lpstr>课堂教学-活动-投票问卷-问卷题干</vt:lpstr>
      <vt:lpstr>课堂教学-活动-投票问卷-问卷选项</vt:lpstr>
      <vt:lpstr>课堂教学-活动-投票问卷-学生投票</vt:lpstr>
      <vt:lpstr>课堂教学-活动-答疑讨论-评论</vt:lpstr>
      <vt:lpstr>课堂教学-活动-答疑讨论-评论回复</vt:lpstr>
      <vt:lpstr>课堂教学-活动-答疑讨论-评论收藏</vt:lpstr>
      <vt:lpstr>课堂教学-活动-作业任务</vt:lpstr>
      <vt:lpstr>课堂教学-活动-作业任务-评分点</vt:lpstr>
      <vt:lpstr>课堂教学-活动-作业任务-小组</vt:lpstr>
      <vt:lpstr>课堂教学-活动-作业任务-小组人员</vt:lpstr>
      <vt:lpstr>课堂教学-活动-作业任务-学生作业</vt:lpstr>
      <vt:lpstr>课堂教学-活动-作业任务-学生作业附件</vt:lpstr>
      <vt:lpstr>课堂教学-活动-作业任务-学生作业提交日志</vt:lpstr>
      <vt:lpstr>课堂教学-活动-作业任务-学生作业评分</vt:lpstr>
      <vt:lpstr>课堂教学-活动-作业任务-学生作业评分明细</vt:lpstr>
      <vt:lpstr>课堂教学-活动-作业任务-学生作业评价</vt:lpstr>
      <vt:lpstr>课堂教学-活动-作业任务-学生作业评价点赞</vt:lpstr>
      <vt:lpstr>课堂教学-活动-小组评价</vt:lpstr>
      <vt:lpstr>课堂教学-活动-小组评价-小组人员</vt:lpstr>
      <vt:lpstr>!课堂教学-活动-电子白板</vt:lpstr>
      <vt:lpstr>课堂教学-活动-评分</vt:lpstr>
      <vt:lpstr>GXZC01 学校用地</vt:lpstr>
      <vt:lpstr>GXZC0201 建筑物基本数据</vt:lpstr>
      <vt:lpstr>GXZC0202 建筑物房间</vt:lpstr>
      <vt:lpstr>GXZC0203 建筑物修缮子类</vt:lpstr>
      <vt:lpstr>JCBX0203 学校设施</vt:lpstr>
      <vt:lpstr>GXZC0401 实验室基本数据</vt:lpstr>
      <vt:lpstr>GXZC0402 实验室运行</vt:lpstr>
      <vt:lpstr>GXZC0403 实验室人员</vt:lpstr>
      <vt:lpstr>GXZC0404 实验室评估</vt:lpstr>
      <vt:lpstr>GXZC0405 实验项目</vt:lpstr>
      <vt:lpstr>GXZC0501 (JCBX0301) 仪器设备基本数据</vt:lpstr>
      <vt:lpstr>GXZC0502（JCBX0302 ） 仪器设备附件</vt:lpstr>
      <vt:lpstr>GXZC0503(JCBX0303 ) 仪器设备管理</vt:lpstr>
      <vt:lpstr>GXZC0504 精密贵重仪器设备</vt:lpstr>
      <vt:lpstr>GXZC0505 仪器设备维修</vt:lpstr>
      <vt:lpstr>GXZC0506 仪器设备报损、报废</vt:lpstr>
      <vt:lpstr>仪器设备捐赠</vt:lpstr>
      <vt:lpstr>GXZC0507(JCBX0305) 软件资源</vt:lpstr>
      <vt:lpstr>固定资产基础表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企业用户_527534609</cp:lastModifiedBy>
  <dcterms:created xsi:type="dcterms:W3CDTF">2018-02-27T11:14:00Z</dcterms:created>
  <dcterms:modified xsi:type="dcterms:W3CDTF">2025-05-07T03:53:34Z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64508CBAA47F40738ACB1791E5375C70</vt:lpwstr>
  </property>
</Properties>
</file>